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esearch_Projects\GreenX_BaoTien_project\Data\"/>
    </mc:Choice>
  </mc:AlternateContent>
  <xr:revisionPtr revIDLastSave="0" documentId="13_ncr:1_{2E9B0B94-A170-4102-8A2C-388D528E678F}" xr6:coauthVersionLast="47" xr6:coauthVersionMax="47" xr10:uidLastSave="{00000000-0000-0000-0000-000000000000}"/>
  <bookViews>
    <workbookView xWindow="-108" yWindow="-108" windowWidth="23256" windowHeight="12576" tabRatio="582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Sheet1!$B$1:$B$1352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01" i="2" l="1"/>
  <c r="AC1300" i="2"/>
  <c r="AC1299" i="2"/>
  <c r="AC1298" i="2"/>
  <c r="AC1297" i="2"/>
  <c r="AC1296" i="2"/>
  <c r="AC1295" i="2"/>
  <c r="AC1294" i="2"/>
  <c r="AC1293" i="2"/>
  <c r="AC1292" i="2"/>
  <c r="AC1287" i="2"/>
  <c r="AC1288" i="2"/>
  <c r="AC1289" i="2"/>
  <c r="AC1290" i="2"/>
  <c r="AC1291" i="2"/>
  <c r="AC1286" i="2"/>
  <c r="AD578" i="2"/>
  <c r="AD579" i="2"/>
  <c r="AD580" i="2"/>
  <c r="AD581" i="2"/>
  <c r="AD582" i="2"/>
  <c r="AD583" i="2"/>
  <c r="AD584" i="2"/>
  <c r="AD577" i="2"/>
  <c r="AC358" i="2"/>
  <c r="AC359" i="2"/>
  <c r="AC360" i="2"/>
  <c r="AC361" i="2"/>
  <c r="AC362" i="2"/>
  <c r="AC363" i="2"/>
  <c r="AC249" i="2"/>
  <c r="AC150" i="2"/>
  <c r="AD1234" i="2"/>
  <c r="AD1233" i="2"/>
  <c r="AD1232" i="2"/>
  <c r="AD1231" i="2"/>
  <c r="AD1230" i="2"/>
  <c r="AD1229" i="2"/>
  <c r="AD1228" i="2"/>
  <c r="AD1227" i="2"/>
  <c r="AD1226" i="2"/>
  <c r="AD1225" i="2"/>
  <c r="AD1224" i="2"/>
  <c r="AD1223" i="2"/>
  <c r="AD1222" i="2"/>
  <c r="AD1221" i="2"/>
  <c r="AD1220" i="2"/>
  <c r="AD1219" i="2"/>
  <c r="AD1218" i="2"/>
  <c r="AD1217" i="2"/>
  <c r="AD1216" i="2"/>
  <c r="AD1215" i="2"/>
  <c r="AD1214" i="2"/>
  <c r="AD1213" i="2"/>
  <c r="AD1212" i="2"/>
  <c r="AD1211" i="2"/>
  <c r="AD1210" i="2"/>
  <c r="AD1209" i="2"/>
  <c r="AD1208" i="2"/>
  <c r="AD1207" i="2"/>
  <c r="AD1206" i="2"/>
  <c r="AD1205" i="2"/>
  <c r="AD1204" i="2"/>
  <c r="AD1203" i="2"/>
  <c r="AD1202" i="2"/>
  <c r="AD1201" i="2"/>
  <c r="AD1200" i="2"/>
  <c r="AD1199" i="2"/>
  <c r="AD1198" i="2"/>
  <c r="AD1197" i="2"/>
  <c r="AD1196" i="2"/>
  <c r="AD1195" i="2"/>
  <c r="AD1194" i="2"/>
  <c r="AD1193" i="2"/>
  <c r="AD1192" i="2"/>
  <c r="AD1191" i="2"/>
  <c r="AD1190" i="2"/>
  <c r="AD1189" i="2"/>
  <c r="AD1188" i="2"/>
  <c r="AD1187" i="2"/>
  <c r="AD1186" i="2"/>
  <c r="AD1185" i="2"/>
  <c r="AD1184" i="2"/>
  <c r="AD1183" i="2"/>
  <c r="AD1182" i="2"/>
  <c r="AD1181" i="2"/>
  <c r="AD1180" i="2"/>
  <c r="AD1179" i="2"/>
  <c r="AD1178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993" i="2"/>
  <c r="AD1118" i="2"/>
  <c r="AD1117" i="2"/>
  <c r="AD1116" i="2"/>
  <c r="AD1115" i="2"/>
  <c r="AD1114" i="2"/>
  <c r="AD1113" i="2"/>
  <c r="AD1112" i="2"/>
  <c r="AD1111" i="2"/>
  <c r="AD1110" i="2"/>
  <c r="AD1109" i="2"/>
  <c r="AD1108" i="2"/>
  <c r="AD1064" i="2"/>
  <c r="AD1063" i="2"/>
  <c r="AD1062" i="2"/>
  <c r="AD1061" i="2"/>
  <c r="AD1060" i="2"/>
  <c r="AD1059" i="2"/>
  <c r="AD1058" i="2"/>
  <c r="AD1057" i="2"/>
  <c r="AD1056" i="2"/>
  <c r="AD1055" i="2"/>
  <c r="AD1054" i="2"/>
  <c r="AD1053" i="2"/>
  <c r="AD1052" i="2"/>
  <c r="AD1051" i="2"/>
  <c r="AD1050" i="2"/>
  <c r="AD1049" i="2"/>
  <c r="AD1048" i="2"/>
  <c r="AD1047" i="2"/>
  <c r="AD1046" i="2"/>
  <c r="AD1045" i="2"/>
  <c r="AD1044" i="2"/>
  <c r="AD1043" i="2"/>
  <c r="AD1042" i="2"/>
  <c r="AD1041" i="2"/>
  <c r="AD1040" i="2"/>
  <c r="AD1039" i="2"/>
  <c r="AD1038" i="2"/>
  <c r="AD1037" i="2"/>
  <c r="AD1036" i="2"/>
  <c r="AD1026" i="2"/>
  <c r="AD1027" i="2"/>
  <c r="AD1028" i="2"/>
  <c r="AD1029" i="2"/>
  <c r="AD1030" i="2"/>
  <c r="AD1031" i="2"/>
  <c r="AD1032" i="2"/>
  <c r="AD1033" i="2"/>
  <c r="AD1034" i="2"/>
  <c r="AD1035" i="2"/>
  <c r="AD1025" i="2"/>
  <c r="AD982" i="2"/>
  <c r="AD983" i="2"/>
  <c r="AD984" i="2"/>
  <c r="AD985" i="2"/>
  <c r="AD986" i="2"/>
  <c r="AD987" i="2"/>
  <c r="AD988" i="2"/>
  <c r="AD989" i="2"/>
  <c r="AD990" i="2"/>
  <c r="AD991" i="2"/>
  <c r="AD992" i="2"/>
  <c r="AD981" i="2"/>
  <c r="AD970" i="2"/>
  <c r="AD971" i="2"/>
  <c r="AD972" i="2"/>
  <c r="AD973" i="2"/>
  <c r="AD974" i="2"/>
  <c r="AD975" i="2"/>
  <c r="AD976" i="2"/>
  <c r="AD977" i="2"/>
  <c r="AD978" i="2"/>
  <c r="AD979" i="2"/>
  <c r="AD980" i="2"/>
  <c r="AD969" i="2"/>
  <c r="AD958" i="2"/>
  <c r="AD959" i="2"/>
  <c r="AD960" i="2"/>
  <c r="AD961" i="2"/>
  <c r="AD962" i="2"/>
  <c r="AD963" i="2"/>
  <c r="AD964" i="2"/>
  <c r="AD965" i="2"/>
  <c r="AD966" i="2"/>
  <c r="AD967" i="2"/>
  <c r="AD968" i="2"/>
  <c r="AC950" i="2"/>
  <c r="AC949" i="2"/>
  <c r="AC948" i="2"/>
  <c r="AC947" i="2"/>
  <c r="AC946" i="2"/>
  <c r="AC945" i="2"/>
  <c r="AD944" i="2"/>
  <c r="AD945" i="2"/>
  <c r="AD946" i="2"/>
  <c r="AD947" i="2"/>
  <c r="AD948" i="2"/>
  <c r="AD949" i="2"/>
  <c r="AC944" i="2"/>
  <c r="AC939" i="2"/>
  <c r="AC940" i="2"/>
  <c r="AC941" i="2"/>
  <c r="AC942" i="2"/>
  <c r="AC943" i="2"/>
  <c r="AC938" i="2"/>
  <c r="AD943" i="2"/>
  <c r="AD942" i="2"/>
  <c r="AD941" i="2"/>
  <c r="AD940" i="2"/>
  <c r="AD937" i="2"/>
  <c r="AD939" i="2"/>
  <c r="AD938" i="2"/>
  <c r="AD935" i="2"/>
  <c r="AD936" i="2"/>
  <c r="AD934" i="2"/>
  <c r="AD933" i="2"/>
  <c r="AD932" i="2"/>
  <c r="AD931" i="2"/>
  <c r="AD930" i="2"/>
  <c r="AD929" i="2"/>
  <c r="AD928" i="2"/>
  <c r="AD927" i="2"/>
  <c r="AD926" i="2"/>
  <c r="AD925" i="2"/>
  <c r="AC913" i="2"/>
  <c r="AC909" i="2"/>
  <c r="AC910" i="2"/>
  <c r="AC911" i="2"/>
  <c r="AC912" i="2"/>
  <c r="AC908" i="2"/>
  <c r="AC907" i="2"/>
  <c r="AC906" i="2"/>
  <c r="AC905" i="2"/>
  <c r="AC904" i="2"/>
  <c r="AC903" i="2"/>
  <c r="AC899" i="2"/>
  <c r="AC898" i="2"/>
  <c r="AC897" i="2"/>
  <c r="AC896" i="2"/>
  <c r="AC895" i="2"/>
  <c r="AC894" i="2"/>
  <c r="AD893" i="2"/>
  <c r="AD892" i="2"/>
  <c r="AD891" i="2"/>
  <c r="AD890" i="2"/>
  <c r="AD889" i="2"/>
  <c r="AD888" i="2"/>
  <c r="AD887" i="2"/>
  <c r="AD886" i="2"/>
  <c r="AD885" i="2"/>
  <c r="AD884" i="2"/>
  <c r="AD883" i="2"/>
  <c r="AD882" i="2"/>
  <c r="AD881" i="2"/>
  <c r="AD880" i="2"/>
  <c r="AD879" i="2"/>
  <c r="AD878" i="2"/>
  <c r="AD877" i="2"/>
  <c r="AC864" i="2"/>
  <c r="AC863" i="2"/>
  <c r="AC862" i="2"/>
  <c r="AC861" i="2"/>
  <c r="AC860" i="2"/>
  <c r="AC859" i="2"/>
  <c r="AC858" i="2"/>
  <c r="AC857" i="2"/>
  <c r="AC856" i="2"/>
  <c r="AC855" i="2"/>
  <c r="AC854" i="2"/>
  <c r="AC853" i="2"/>
  <c r="AC852" i="2"/>
  <c r="AC851" i="2"/>
  <c r="AC850" i="2"/>
  <c r="AC849" i="2"/>
  <c r="AC848" i="2"/>
  <c r="AC847" i="2"/>
  <c r="AC846" i="2"/>
  <c r="AD845" i="2"/>
  <c r="AC845" i="2"/>
  <c r="AD844" i="2"/>
  <c r="AC844" i="2"/>
  <c r="AD843" i="2"/>
  <c r="AC843" i="2"/>
  <c r="AD842" i="2"/>
  <c r="AC842" i="2"/>
  <c r="AD841" i="2"/>
  <c r="AC841" i="2"/>
  <c r="AD840" i="2"/>
  <c r="AC840" i="2"/>
  <c r="AC839" i="2"/>
  <c r="AD839" i="2"/>
  <c r="AD831" i="2"/>
  <c r="AD832" i="2"/>
  <c r="AD833" i="2"/>
  <c r="AD834" i="2"/>
  <c r="AD835" i="2"/>
  <c r="AD836" i="2"/>
  <c r="AD837" i="2"/>
  <c r="AD838" i="2"/>
  <c r="AD830" i="2"/>
  <c r="AC829" i="2"/>
  <c r="AC828" i="2"/>
  <c r="AC827" i="2"/>
  <c r="AC826" i="2"/>
  <c r="AC825" i="2"/>
  <c r="AD829" i="2"/>
  <c r="AD828" i="2"/>
  <c r="AD827" i="2"/>
  <c r="AD826" i="2"/>
  <c r="AD825" i="2"/>
  <c r="AD824" i="2"/>
  <c r="AC824" i="2"/>
  <c r="AD823" i="2"/>
  <c r="AC823" i="2"/>
  <c r="AD822" i="2"/>
  <c r="AC822" i="2"/>
  <c r="AD821" i="2"/>
  <c r="AC821" i="2"/>
  <c r="AC798" i="2"/>
  <c r="AC797" i="2"/>
  <c r="AC796" i="2"/>
  <c r="AC795" i="2"/>
  <c r="AC794" i="2"/>
  <c r="AC793" i="2"/>
  <c r="AC792" i="2"/>
  <c r="AC791" i="2"/>
  <c r="AC790" i="2"/>
  <c r="AC789" i="2"/>
  <c r="AC769" i="2"/>
  <c r="AC770" i="2"/>
  <c r="AC771" i="2"/>
  <c r="AC772" i="2"/>
  <c r="AC773" i="2"/>
  <c r="AC774" i="2"/>
  <c r="AC775" i="2"/>
  <c r="AC776" i="2"/>
  <c r="AC777" i="2"/>
  <c r="AC778" i="2"/>
  <c r="AC779" i="2"/>
  <c r="AC788" i="2"/>
  <c r="AC787" i="2"/>
  <c r="AC786" i="2"/>
  <c r="AC785" i="2"/>
  <c r="AC784" i="2"/>
  <c r="AC782" i="2"/>
  <c r="AC781" i="2"/>
  <c r="AC780" i="2"/>
  <c r="AC760" i="2"/>
  <c r="AC761" i="2"/>
  <c r="AC762" i="2"/>
  <c r="AC764" i="2"/>
  <c r="AC765" i="2"/>
  <c r="AC766" i="2"/>
  <c r="AC767" i="2"/>
  <c r="AC768" i="2"/>
  <c r="AD755" i="2" l="1"/>
  <c r="AD756" i="2"/>
  <c r="AD757" i="2"/>
  <c r="AD758" i="2"/>
  <c r="AD759" i="2"/>
  <c r="AC753" i="2"/>
  <c r="AC752" i="2"/>
  <c r="AC751" i="2"/>
  <c r="AC750" i="2"/>
  <c r="AC749" i="2"/>
  <c r="AD750" i="2"/>
  <c r="AD751" i="2"/>
  <c r="AD752" i="2"/>
  <c r="AD753" i="2"/>
  <c r="AD754" i="2"/>
  <c r="AD749" i="2"/>
  <c r="AC748" i="2"/>
  <c r="AC747" i="2"/>
  <c r="AC746" i="2"/>
  <c r="AC745" i="2"/>
  <c r="AC743" i="2"/>
  <c r="AC742" i="2"/>
  <c r="AC741" i="2"/>
  <c r="AC740" i="2"/>
  <c r="AC733" i="2"/>
  <c r="AC732" i="2"/>
  <c r="AC731" i="2"/>
  <c r="AC730" i="2"/>
  <c r="AC728" i="2"/>
  <c r="AC727" i="2"/>
  <c r="AC726" i="2"/>
  <c r="AC725" i="2"/>
  <c r="AC718" i="2"/>
  <c r="AC717" i="2"/>
  <c r="AC716" i="2"/>
  <c r="AC715" i="2"/>
  <c r="AC713" i="2"/>
  <c r="AC712" i="2"/>
  <c r="AC711" i="2"/>
  <c r="AC710" i="2"/>
  <c r="AC695" i="2"/>
  <c r="AC694" i="2"/>
  <c r="AC692" i="2"/>
  <c r="AC691" i="2"/>
  <c r="AC690" i="2"/>
  <c r="AC689" i="2"/>
  <c r="AD683" i="2"/>
  <c r="AD682" i="2"/>
  <c r="AD681" i="2"/>
  <c r="AD680" i="2"/>
  <c r="AD679" i="2"/>
  <c r="AD673" i="2"/>
  <c r="AD674" i="2"/>
  <c r="AD675" i="2"/>
  <c r="AD676" i="2"/>
  <c r="AD677" i="2"/>
  <c r="AD678" i="2"/>
  <c r="AC678" i="2"/>
  <c r="AC675" i="2"/>
  <c r="AC677" i="2"/>
  <c r="AC676" i="2"/>
  <c r="AC674" i="2"/>
  <c r="AC673" i="2"/>
  <c r="AD672" i="2"/>
  <c r="AC672" i="2"/>
  <c r="AD668" i="2"/>
  <c r="AD669" i="2"/>
  <c r="AD670" i="2"/>
  <c r="AD671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C645" i="2"/>
  <c r="AD647" i="2"/>
  <c r="AD648" i="2"/>
  <c r="AD649" i="2"/>
  <c r="AD650" i="2"/>
  <c r="AD651" i="2"/>
  <c r="AD652" i="2"/>
  <c r="AD653" i="2"/>
  <c r="AD654" i="2"/>
  <c r="AC655" i="2"/>
  <c r="AC654" i="2"/>
  <c r="AC653" i="2"/>
  <c r="AC652" i="2"/>
  <c r="AC651" i="2"/>
  <c r="AC650" i="2"/>
  <c r="AC649" i="2"/>
  <c r="AC648" i="2"/>
  <c r="AC647" i="2"/>
  <c r="AC646" i="2"/>
  <c r="AC644" i="2"/>
  <c r="AC643" i="2"/>
  <c r="AD646" i="2"/>
  <c r="AD645" i="2"/>
  <c r="AD644" i="2"/>
  <c r="AD643" i="2"/>
  <c r="AD642" i="2"/>
  <c r="AD641" i="2"/>
  <c r="AD640" i="2"/>
  <c r="AD639" i="2"/>
  <c r="AD638" i="2"/>
  <c r="AD637" i="2"/>
  <c r="AD636" i="2"/>
  <c r="AD632" i="2"/>
  <c r="AD633" i="2"/>
  <c r="AD634" i="2"/>
  <c r="AD635" i="2"/>
  <c r="AC632" i="2"/>
  <c r="AC633" i="2"/>
  <c r="AC634" i="2"/>
  <c r="AC635" i="2"/>
  <c r="AC631" i="2"/>
  <c r="AC630" i="2"/>
  <c r="AD631" i="2"/>
  <c r="AC623" i="2"/>
  <c r="AC629" i="2"/>
  <c r="AC628" i="2"/>
  <c r="AC627" i="2"/>
  <c r="AC622" i="2"/>
  <c r="AC626" i="2"/>
  <c r="AC625" i="2"/>
  <c r="AC624" i="2"/>
  <c r="AC621" i="2"/>
  <c r="AC620" i="2"/>
  <c r="AD630" i="2"/>
  <c r="AD629" i="2"/>
  <c r="AD628" i="2"/>
  <c r="AD627" i="2"/>
  <c r="AD626" i="2"/>
  <c r="AD625" i="2"/>
  <c r="AD624" i="2"/>
  <c r="AD623" i="2"/>
  <c r="AD622" i="2"/>
  <c r="AD621" i="2"/>
  <c r="AD620" i="2"/>
  <c r="AD615" i="2"/>
  <c r="AD616" i="2"/>
  <c r="AD617" i="2"/>
  <c r="AD618" i="2"/>
  <c r="AD619" i="2"/>
  <c r="AD614" i="2"/>
  <c r="AC613" i="2"/>
  <c r="AC612" i="2"/>
  <c r="AC611" i="2"/>
  <c r="AC610" i="2"/>
  <c r="AC601" i="2"/>
  <c r="AD601" i="2"/>
  <c r="AD600" i="2"/>
  <c r="AC600" i="2"/>
  <c r="AD599" i="2"/>
  <c r="AC599" i="2"/>
  <c r="AD598" i="2"/>
  <c r="AC598" i="2"/>
  <c r="AD597" i="2"/>
  <c r="AC597" i="2"/>
  <c r="AC596" i="2"/>
  <c r="AD596" i="2"/>
  <c r="AD595" i="2"/>
  <c r="AC595" i="2"/>
  <c r="AC594" i="2"/>
  <c r="AD594" i="2"/>
  <c r="AC593" i="2"/>
  <c r="AD593" i="2"/>
  <c r="AD592" i="2"/>
  <c r="AC592" i="2"/>
  <c r="AD591" i="2"/>
  <c r="AC591" i="2"/>
  <c r="AD590" i="2"/>
  <c r="AC590" i="2"/>
  <c r="AD589" i="2"/>
  <c r="AC589" i="2"/>
  <c r="AD588" i="2"/>
  <c r="AC588" i="2"/>
  <c r="AD587" i="2"/>
  <c r="AC587" i="2"/>
  <c r="AD586" i="2"/>
  <c r="AC586" i="2"/>
  <c r="AC576" i="2"/>
  <c r="AD585" i="2"/>
  <c r="AC585" i="2"/>
  <c r="AD576" i="2"/>
  <c r="AD575" i="2"/>
  <c r="AC575" i="2"/>
  <c r="AD574" i="2"/>
  <c r="AC574" i="2"/>
  <c r="AD573" i="2"/>
  <c r="AC573" i="2"/>
  <c r="AC572" i="2"/>
  <c r="AD572" i="2"/>
  <c r="AD571" i="2"/>
  <c r="AC571" i="2"/>
  <c r="AD570" i="2"/>
  <c r="AC570" i="2"/>
  <c r="AD569" i="2"/>
  <c r="AC569" i="2"/>
  <c r="AC568" i="2"/>
  <c r="AD568" i="2"/>
  <c r="AD567" i="2"/>
  <c r="AC567" i="2"/>
  <c r="AD566" i="2"/>
  <c r="AC566" i="2"/>
  <c r="AD565" i="2"/>
  <c r="AC565" i="2"/>
  <c r="AD564" i="2"/>
  <c r="AC564" i="2"/>
  <c r="AD562" i="2"/>
  <c r="AD563" i="2"/>
  <c r="AC563" i="2"/>
  <c r="AC562" i="2"/>
  <c r="AD561" i="2"/>
  <c r="AC561" i="2"/>
  <c r="AD560" i="2"/>
  <c r="AC560" i="2"/>
  <c r="AC499" i="2"/>
  <c r="AC498" i="2"/>
  <c r="AC495" i="2"/>
  <c r="AC494" i="2"/>
  <c r="AC493" i="2"/>
  <c r="AC492" i="2"/>
  <c r="AC491" i="2"/>
  <c r="AC490" i="2"/>
  <c r="AC489" i="2"/>
  <c r="AC487" i="2"/>
  <c r="AC486" i="2"/>
  <c r="AC483" i="2"/>
  <c r="AC482" i="2"/>
  <c r="AC481" i="2"/>
  <c r="AC480" i="2"/>
  <c r="AC479" i="2"/>
  <c r="AC478" i="2"/>
  <c r="AC477" i="2"/>
  <c r="AC476" i="2"/>
  <c r="AC475" i="2"/>
  <c r="AC474" i="2"/>
  <c r="AC471" i="2"/>
  <c r="AC470" i="2"/>
  <c r="AC469" i="2"/>
  <c r="AC468" i="2"/>
  <c r="AC467" i="2"/>
  <c r="AC466" i="2"/>
  <c r="AC465" i="2"/>
  <c r="AC455" i="2" l="1"/>
  <c r="AC454" i="2"/>
  <c r="AC453" i="2"/>
  <c r="AC450" i="2"/>
  <c r="AC449" i="2"/>
  <c r="AC448" i="2"/>
  <c r="AC447" i="2"/>
  <c r="AC446" i="2"/>
  <c r="AC445" i="2"/>
  <c r="AC444" i="2"/>
  <c r="AC443" i="2"/>
  <c r="AC442" i="2"/>
  <c r="AC441" i="2"/>
  <c r="AC438" i="2"/>
  <c r="AC437" i="2"/>
  <c r="AC436" i="2"/>
  <c r="AC435" i="2"/>
  <c r="AC434" i="2"/>
  <c r="AC433" i="2"/>
  <c r="AC432" i="2"/>
  <c r="AC431" i="2"/>
  <c r="AC430" i="2"/>
  <c r="AC429" i="2"/>
  <c r="AC426" i="2"/>
  <c r="AC425" i="2"/>
  <c r="AC424" i="2"/>
  <c r="AC423" i="2"/>
  <c r="AC422" i="2"/>
  <c r="AC421" i="2"/>
  <c r="AC420" i="2"/>
  <c r="AC419" i="2" l="1"/>
  <c r="AC418" i="2"/>
  <c r="AC417" i="2"/>
  <c r="AC416" i="2"/>
  <c r="AC414" i="2"/>
  <c r="AC413" i="2"/>
  <c r="AC412" i="2"/>
  <c r="AC411" i="2"/>
  <c r="AC410" i="2"/>
  <c r="AC409" i="2"/>
  <c r="AC408" i="2"/>
  <c r="AC407" i="2"/>
  <c r="AC406" i="2"/>
  <c r="AC404" i="2"/>
  <c r="AC403" i="2"/>
  <c r="AC402" i="2"/>
  <c r="AC401" i="2"/>
  <c r="AC400" i="2"/>
  <c r="AC399" i="2"/>
  <c r="AC398" i="2"/>
  <c r="AC397" i="2"/>
  <c r="AC396" i="2"/>
  <c r="AC394" i="2"/>
  <c r="AC393" i="2"/>
  <c r="AC392" i="2"/>
  <c r="AC391" i="2"/>
  <c r="AC390" i="2"/>
  <c r="AC389" i="2"/>
  <c r="AC388" i="2"/>
  <c r="AC387" i="2"/>
  <c r="AC386" i="2"/>
  <c r="AC384" i="2"/>
  <c r="AC383" i="2"/>
  <c r="AC382" i="2"/>
  <c r="AC381" i="2"/>
  <c r="AC380" i="2"/>
  <c r="AC379" i="2"/>
  <c r="AC378" i="2"/>
  <c r="AC377" i="2"/>
  <c r="AC376" i="2"/>
  <c r="AC374" i="2"/>
  <c r="AC373" i="2"/>
  <c r="AC372" i="2"/>
  <c r="AC371" i="2"/>
  <c r="AC370" i="2"/>
  <c r="AC369" i="2"/>
  <c r="AC368" i="2"/>
  <c r="AC367" i="2"/>
  <c r="AC366" i="2"/>
  <c r="AC365" i="2"/>
  <c r="AC364" i="2"/>
  <c r="AC352" i="2" l="1"/>
  <c r="AC351" i="2"/>
  <c r="AC350" i="2"/>
  <c r="AC349" i="2"/>
  <c r="AC348" i="2"/>
  <c r="AC347" i="2"/>
  <c r="AC346" i="2"/>
  <c r="AC345" i="2"/>
  <c r="AC344" i="2"/>
  <c r="AC343" i="2"/>
  <c r="AC341" i="2"/>
  <c r="AC340" i="2"/>
  <c r="AC339" i="2"/>
  <c r="AC338" i="2"/>
  <c r="AC337" i="2"/>
  <c r="AC336" i="2"/>
  <c r="AC335" i="2"/>
  <c r="AC334" i="2"/>
  <c r="AC333" i="2"/>
  <c r="AC332" i="2"/>
  <c r="AC331" i="2"/>
  <c r="AC330" i="2"/>
  <c r="AC329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3" i="2"/>
  <c r="AC312" i="2"/>
  <c r="AC311" i="2"/>
  <c r="AC310" i="2"/>
  <c r="AC309" i="2"/>
  <c r="AC308" i="2"/>
  <c r="AC307" i="2"/>
  <c r="AC306" i="2"/>
  <c r="AC305" i="2"/>
  <c r="AC304" i="2"/>
  <c r="AC303" i="2"/>
  <c r="AC302" i="2"/>
  <c r="AC301" i="2"/>
  <c r="AC299" i="2"/>
  <c r="AC298" i="2"/>
  <c r="AC297" i="2"/>
  <c r="AC282" i="2" l="1"/>
  <c r="AC280" i="2"/>
  <c r="AC279" i="2"/>
  <c r="AC278" i="2"/>
  <c r="AC277" i="2"/>
  <c r="AC276" i="2"/>
  <c r="AC274" i="2"/>
  <c r="AC273" i="2"/>
  <c r="AC272" i="2"/>
  <c r="AC271" i="2"/>
  <c r="AC270" i="2"/>
  <c r="AC269" i="2"/>
  <c r="AC268" i="2"/>
  <c r="AC266" i="2"/>
  <c r="AC265" i="2"/>
  <c r="AC264" i="2"/>
  <c r="AC263" i="2"/>
  <c r="AC262" i="2"/>
  <c r="AC260" i="2"/>
  <c r="AC259" i="2"/>
  <c r="AC258" i="2"/>
  <c r="AC257" i="2"/>
  <c r="AC256" i="2"/>
  <c r="AC255" i="2"/>
  <c r="AC247" i="2" l="1"/>
  <c r="AC246" i="2"/>
  <c r="AC245" i="2"/>
  <c r="AC244" i="2"/>
  <c r="AC243" i="2"/>
  <c r="AC241" i="2"/>
  <c r="AC240" i="2"/>
  <c r="AC239" i="2"/>
  <c r="AC238" i="2"/>
  <c r="AC237" i="2"/>
  <c r="AC236" i="2"/>
  <c r="AC222" i="2"/>
  <c r="AC235" i="2" l="1"/>
  <c r="AC233" i="2"/>
  <c r="AC232" i="2"/>
  <c r="AC231" i="2"/>
  <c r="AC230" i="2"/>
  <c r="AC229" i="2"/>
  <c r="AC227" i="2"/>
  <c r="AC226" i="2"/>
  <c r="AC225" i="2"/>
  <c r="AC224" i="2"/>
  <c r="AC223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8" i="2"/>
  <c r="AC197" i="2"/>
  <c r="AC196" i="2"/>
  <c r="AC195" i="2"/>
  <c r="AC194" i="2"/>
  <c r="AC193" i="2"/>
  <c r="AC192" i="2"/>
  <c r="AC191" i="2"/>
  <c r="AC189" i="2"/>
  <c r="AC188" i="2"/>
  <c r="AC187" i="2"/>
  <c r="AC186" i="2"/>
  <c r="AC185" i="2"/>
  <c r="AC141" i="2" l="1"/>
  <c r="AC142" i="2"/>
  <c r="AC143" i="2"/>
  <c r="AC144" i="2"/>
  <c r="AC145" i="2"/>
  <c r="AC146" i="2"/>
  <c r="AC147" i="2"/>
  <c r="AC148" i="2"/>
  <c r="AC149" i="2"/>
  <c r="AC140" i="2"/>
  <c r="AC139" i="2" l="1"/>
  <c r="AC138" i="2"/>
  <c r="AC137" i="2"/>
  <c r="AC136" i="2"/>
  <c r="AC132" i="2"/>
  <c r="AC131" i="2"/>
  <c r="AC130" i="2"/>
  <c r="AC129" i="2"/>
  <c r="AC122" i="2"/>
  <c r="AC123" i="2"/>
  <c r="AC124" i="2"/>
  <c r="AC125" i="2"/>
  <c r="AC118" i="2"/>
  <c r="AC117" i="2"/>
  <c r="AC116" i="2"/>
  <c r="AC115" i="2"/>
  <c r="AC111" i="2"/>
  <c r="AC110" i="2"/>
  <c r="AC109" i="2"/>
  <c r="AC108" i="2"/>
  <c r="AC104" i="2"/>
  <c r="AC103" i="2"/>
  <c r="AC102" i="2"/>
  <c r="AC101" i="2"/>
  <c r="AD100" i="2" l="1"/>
  <c r="AD99" i="2"/>
  <c r="AD98" i="2"/>
  <c r="AD97" i="2"/>
  <c r="AC80" i="2" l="1"/>
  <c r="AC79" i="2"/>
  <c r="AC78" i="2"/>
  <c r="AC76" i="2"/>
  <c r="AC75" i="2"/>
  <c r="AC74" i="2"/>
  <c r="AC73" i="2"/>
  <c r="AC72" i="2"/>
  <c r="AC66" i="2" l="1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D47" i="2"/>
  <c r="AD46" i="2"/>
  <c r="AD45" i="2"/>
  <c r="AD44" i="2"/>
  <c r="AD43" i="2"/>
  <c r="AD42" i="2"/>
  <c r="AD41" i="2"/>
  <c r="AD40" i="2"/>
  <c r="AD39" i="2"/>
  <c r="AD31" i="2" l="1"/>
  <c r="AD30" i="2"/>
  <c r="AD29" i="2"/>
  <c r="AD28" i="2"/>
  <c r="AC29" i="2"/>
  <c r="AC30" i="2"/>
  <c r="AC31" i="2"/>
  <c r="AC32" i="2"/>
  <c r="AC33" i="2"/>
  <c r="AC28" i="2"/>
  <c r="AC26" i="2" l="1"/>
  <c r="AC27" i="2"/>
  <c r="AC25" i="2"/>
  <c r="AC24" i="2"/>
  <c r="AC23" i="2"/>
  <c r="AC22" i="2"/>
  <c r="AC21" i="2"/>
  <c r="AC17" i="2"/>
  <c r="AC18" i="2"/>
  <c r="AC19" i="2"/>
  <c r="AC20" i="2"/>
  <c r="AC16" i="2" l="1"/>
  <c r="AC12" i="2"/>
  <c r="AC5" i="2"/>
  <c r="AC11" i="2"/>
  <c r="AC10" i="2"/>
  <c r="AC9" i="2"/>
  <c r="AC8" i="2"/>
  <c r="AC7" i="2"/>
  <c r="AC6" i="2"/>
  <c r="AC4" i="2"/>
</calcChain>
</file>

<file path=xl/sharedStrings.xml><?xml version="1.0" encoding="utf-8"?>
<sst xmlns="http://schemas.openxmlformats.org/spreadsheetml/2006/main" count="9728" uniqueCount="169">
  <si>
    <t>Id</t>
  </si>
  <si>
    <t>TP</t>
  </si>
  <si>
    <t>E</t>
  </si>
  <si>
    <t>S</t>
  </si>
  <si>
    <t>A</t>
  </si>
  <si>
    <t>B</t>
  </si>
  <si>
    <t>V</t>
  </si>
  <si>
    <t>Tem</t>
  </si>
  <si>
    <t>Time</t>
  </si>
  <si>
    <t>AD</t>
  </si>
  <si>
    <t>Ci</t>
  </si>
  <si>
    <t>Ce</t>
  </si>
  <si>
    <t>Metronidazole</t>
  </si>
  <si>
    <t>Norfloxacin</t>
  </si>
  <si>
    <t>Tetracycline</t>
  </si>
  <si>
    <t>Ciprofloxacin</t>
  </si>
  <si>
    <t>Diclofenac</t>
  </si>
  <si>
    <t>Micropollutants</t>
  </si>
  <si>
    <t>Materials</t>
  </si>
  <si>
    <t>Experimental conditions</t>
  </si>
  <si>
    <t>Log Kow</t>
  </si>
  <si>
    <t>MW g/mol</t>
  </si>
  <si>
    <t>Metal(III)</t>
  </si>
  <si>
    <t>M(II)/(III)</t>
  </si>
  <si>
    <t>Method</t>
  </si>
  <si>
    <t>TemH oC</t>
  </si>
  <si>
    <t>HT hour</t>
  </si>
  <si>
    <t>2theta</t>
  </si>
  <si>
    <t>d(003)</t>
  </si>
  <si>
    <t>BET m2/g</t>
  </si>
  <si>
    <t>PV cm3/g</t>
  </si>
  <si>
    <t>APD nm</t>
  </si>
  <si>
    <t>pHpzc</t>
  </si>
  <si>
    <t>pH</t>
  </si>
  <si>
    <t>Time h</t>
  </si>
  <si>
    <t>AD g/L</t>
  </si>
  <si>
    <t>Ci mg/L</t>
  </si>
  <si>
    <t>Qt</t>
  </si>
  <si>
    <t>RR %</t>
  </si>
  <si>
    <t>Amir M. Ramezani_2024</t>
  </si>
  <si>
    <t>Doxycycline</t>
  </si>
  <si>
    <t>zn</t>
  </si>
  <si>
    <t>Urea hydrolysis</t>
  </si>
  <si>
    <t>Ali M. Abdelkawy_2025</t>
  </si>
  <si>
    <t>Levofloxacin</t>
  </si>
  <si>
    <t>Zn</t>
  </si>
  <si>
    <t>Fe</t>
  </si>
  <si>
    <t>Co-precipitation or aging</t>
  </si>
  <si>
    <t>Anfal Enad Khalaf1_2026</t>
  </si>
  <si>
    <t>Amoxicillin</t>
  </si>
  <si>
    <t>Ca</t>
  </si>
  <si>
    <t>Al</t>
  </si>
  <si>
    <t>co-precipitation</t>
  </si>
  <si>
    <t>Fernanda G. Corrêa_2025</t>
  </si>
  <si>
    <t xml:space="preserve"> Ibuprofen</t>
  </si>
  <si>
    <t>Mg</t>
  </si>
  <si>
    <t>Mehak Bansal_2025</t>
  </si>
  <si>
    <t>Cu</t>
  </si>
  <si>
    <t xml:space="preserve">co- precipitation </t>
  </si>
  <si>
    <t>Samar M. Mahgoub_2020</t>
  </si>
  <si>
    <t>Amina Elhaci_2020</t>
  </si>
  <si>
    <t>Mohammad Saood Manzar_2024</t>
  </si>
  <si>
    <t>Mohammad Noori Sepehr_2016</t>
  </si>
  <si>
    <t>Urea Hydrolysis</t>
  </si>
  <si>
    <t>N’guadi Blaise Allou_2018</t>
  </si>
  <si>
    <t>Methylparaben</t>
  </si>
  <si>
    <t>Minghao Sui_2012</t>
  </si>
  <si>
    <t>ID</t>
  </si>
  <si>
    <t>Meaning</t>
  </si>
  <si>
    <t>Unit</t>
  </si>
  <si>
    <t>Pharmaceuticals</t>
  </si>
  <si>
    <t>MW</t>
  </si>
  <si>
    <t>Molecular Weight </t>
  </si>
  <si>
    <t>(g/mol)</t>
  </si>
  <si>
    <t>LogKow</t>
  </si>
  <si>
    <t>The ratio of the concentration of a chemical in n octanol and water at equilibrium</t>
  </si>
  <si>
    <t>Metal(II)</t>
  </si>
  <si>
    <t>Name of divalent metal</t>
  </si>
  <si>
    <t>Name of trivalent metal</t>
  </si>
  <si>
    <t>Molar ratio of Metal(II)/Metal(III)</t>
  </si>
  <si>
    <t>In method to synthesize LDH we can fill 6 methods:</t>
  </si>
  <si>
    <t>"Co-precipitation or aging" using base such as Na2CO3, NaOH</t>
  </si>
  <si>
    <t>TemH</t>
  </si>
  <si>
    <t>Hydrothermal temperature</t>
  </si>
  <si>
    <t>"Urea Hydrolysis": using hydrolysis from Urea to release CO2 + H2O for OH generation</t>
  </si>
  <si>
    <t>HT</t>
  </si>
  <si>
    <t>Hydrothermal time</t>
  </si>
  <si>
    <t>"Reconstruction or memory effect": LDH calcinate to Calcinated LDO</t>
  </si>
  <si>
    <t>"Hydrothermal": High Temperature at high pressure in water in Teflon autoclave</t>
  </si>
  <si>
    <t>derived from 2Theta</t>
  </si>
  <si>
    <t>"Solvothermal": Similar to hydrothermal but using solvents such as Ethanol, elthylene glycol or DMF…</t>
  </si>
  <si>
    <t>Specific surface area</t>
  </si>
  <si>
    <t>nm</t>
  </si>
  <si>
    <t>"Thermal aging": Aging at high temp typically 80-120 oC (no pressure) long time</t>
  </si>
  <si>
    <t>Pore volume (total: micro+mes))</t>
  </si>
  <si>
    <t>m2/g</t>
  </si>
  <si>
    <t>"Microwave-assisted synthesis"</t>
  </si>
  <si>
    <t>APD</t>
  </si>
  <si>
    <t>Average Pore Diameter</t>
  </si>
  <si>
    <t>cm3/g</t>
  </si>
  <si>
    <t>"Ultrasound-assisted synthesis"</t>
  </si>
  <si>
    <t>pH point zero charge</t>
  </si>
  <si>
    <t>Operational conditions</t>
  </si>
  <si>
    <t>reaction temperature</t>
  </si>
  <si>
    <t>oC</t>
  </si>
  <si>
    <t>Reaction time</t>
  </si>
  <si>
    <t>h</t>
  </si>
  <si>
    <t>Initial concentration of micropollutant</t>
  </si>
  <si>
    <t>mg/L</t>
  </si>
  <si>
    <t>Asorbent dose</t>
  </si>
  <si>
    <t>g/L</t>
  </si>
  <si>
    <t>Ct</t>
  </si>
  <si>
    <t>Concentration of micropollutant at time t</t>
  </si>
  <si>
    <t>This concentration can be assigned as Ce at equilibrium</t>
  </si>
  <si>
    <t>Adsorption capacity at time t</t>
  </si>
  <si>
    <t>mg/g</t>
  </si>
  <si>
    <t>Adsorption capacity can assigned as Qe at equilibrium</t>
  </si>
  <si>
    <t>RR</t>
  </si>
  <si>
    <t xml:space="preserve">Removal efficiency </t>
  </si>
  <si>
    <t>%</t>
  </si>
  <si>
    <t>*note: Qe and RR can be used as output variables for ML while other parameters are set as input variables</t>
  </si>
  <si>
    <t>Make assumption that we use to optimize the adsorbents' properties at lab condition, in other word, we neglect the impact of water matrix such as DOM and competing anions</t>
  </si>
  <si>
    <t>Hanjun Wu_2017</t>
  </si>
  <si>
    <t>Reconstruction or memory effect</t>
  </si>
  <si>
    <t>B.A. Jimenez-L´ opez_2023</t>
  </si>
  <si>
    <t>Asmaa S. Hassan_2026</t>
  </si>
  <si>
    <t>Chaerin Park_2025</t>
  </si>
  <si>
    <t>Samar M․ Mahgouba_2025</t>
  </si>
  <si>
    <t>Delafloxacin</t>
  </si>
  <si>
    <t>Rehab Mahmoud_2024</t>
  </si>
  <si>
    <t>Moxifloxacin</t>
  </si>
  <si>
    <t>Morgana Rosset_2019</t>
  </si>
  <si>
    <t>Ni</t>
  </si>
  <si>
    <t>Mohamed E. M. Hassouna_2019</t>
  </si>
  <si>
    <t>Oxytetracycline</t>
  </si>
  <si>
    <t>Jianyang Gao_2022</t>
  </si>
  <si>
    <t>Ciprofloxacin </t>
  </si>
  <si>
    <t>ZnCo</t>
  </si>
  <si>
    <t>CoZn</t>
  </si>
  <si>
    <t>Asaad F. Hassan_2025</t>
  </si>
  <si>
    <t>Erythromycin</t>
  </si>
  <si>
    <t>A. Elrafey_2025</t>
  </si>
  <si>
    <t xml:space="preserve">Ni </t>
  </si>
  <si>
    <t>Hanan Taha_2025</t>
  </si>
  <si>
    <t>Zhenzhen Li_2024</t>
  </si>
  <si>
    <t>Ghulam Mujtaba_2023</t>
  </si>
  <si>
    <t>XingWang_2022</t>
  </si>
  <si>
    <t>Rehab Mahmoud_2026</t>
  </si>
  <si>
    <t>L. Santamaría_2020</t>
  </si>
  <si>
    <t>TiAl</t>
  </si>
  <si>
    <t>S. A. Abdel Moaty_2019</t>
  </si>
  <si>
    <t>Garima Rathee_2020</t>
  </si>
  <si>
    <t>NiAl</t>
  </si>
  <si>
    <t>Ti</t>
  </si>
  <si>
    <t>hydrothermal method.</t>
  </si>
  <si>
    <t>Caifeng Xia_2022</t>
  </si>
  <si>
    <t>Priyanka_2024</t>
  </si>
  <si>
    <t>TSPA</t>
  </si>
  <si>
    <t>d(003) nm</t>
  </si>
  <si>
    <t>average d-electron</t>
  </si>
  <si>
    <t>average atomic weight (g/mol)</t>
  </si>
  <si>
    <t>average Pauling electronegativity</t>
  </si>
  <si>
    <t xml:space="preserve">Calcination Temp </t>
  </si>
  <si>
    <t>Calcination time</t>
  </si>
  <si>
    <t>N/A</t>
  </si>
  <si>
    <t>Hatem Kh. MOHAMED_2024</t>
  </si>
  <si>
    <t>NA</t>
  </si>
  <si>
    <t>Target</t>
  </si>
  <si>
    <t xml:space="preserve">Meta(II)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</si>
</sst>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0.0%"/>
    <numFmt numFmtId="168" formatCode="#,##0.0"/>
  </numFmts>
  <fonts count="1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.5"/>
      <color rgb="FF000000"/>
      <name val="Times New Roman"/>
      <family val="1"/>
    </font>
    <font>
      <sz val="11"/>
      <color rgb="FF222222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165" fontId="0" fillId="0" borderId="0" xfId="0" applyNumberFormat="1"/>
    <xf numFmtId="0" fontId="2" fillId="0" borderId="0" xfId="0" applyFont="1"/>
    <xf numFmtId="1" fontId="0" fillId="0" borderId="0" xfId="0" applyNumberFormat="1"/>
    <xf numFmtId="166" fontId="0" fillId="0" borderId="0" xfId="0" applyNumberFormat="1"/>
    <xf numFmtId="9" fontId="0" fillId="0" borderId="0" xfId="1" applyFont="1"/>
    <xf numFmtId="9" fontId="0" fillId="2" borderId="0" xfId="1" applyFont="1" applyFill="1"/>
    <xf numFmtId="2" fontId="0" fillId="0" borderId="0" xfId="0" applyNumberFormat="1"/>
    <xf numFmtId="10" fontId="0" fillId="0" borderId="0" xfId="1" applyNumberFormat="1" applyFont="1"/>
    <xf numFmtId="9" fontId="0" fillId="0" borderId="0" xfId="1" applyFont="1" applyFill="1"/>
    <xf numFmtId="167" fontId="0" fillId="0" borderId="0" xfId="1" applyNumberFormat="1" applyFont="1"/>
    <xf numFmtId="0" fontId="6" fillId="0" borderId="0" xfId="0" applyFont="1"/>
    <xf numFmtId="1" fontId="6" fillId="0" borderId="0" xfId="0" applyNumberFormat="1" applyFont="1"/>
    <xf numFmtId="164" fontId="6" fillId="0" borderId="0" xfId="0" applyNumberFormat="1" applyFont="1"/>
    <xf numFmtId="166" fontId="6" fillId="0" borderId="0" xfId="0" applyNumberFormat="1" applyFont="1"/>
    <xf numFmtId="2" fontId="6" fillId="0" borderId="0" xfId="0" applyNumberFormat="1" applyFont="1"/>
    <xf numFmtId="0" fontId="0" fillId="0" borderId="0" xfId="0" applyAlignment="1">
      <alignment horizontal="center" textRotation="90"/>
    </xf>
    <xf numFmtId="0" fontId="8" fillId="0" borderId="0" xfId="0" applyFont="1"/>
    <xf numFmtId="0" fontId="9" fillId="0" borderId="0" xfId="0" applyFont="1"/>
    <xf numFmtId="0" fontId="10" fillId="0" borderId="0" xfId="0" applyFont="1"/>
    <xf numFmtId="168" fontId="6" fillId="0" borderId="0" xfId="0" applyNumberFormat="1" applyFont="1"/>
    <xf numFmtId="0" fontId="2" fillId="2" borderId="0" xfId="0" applyFont="1" applyFill="1" applyAlignment="1">
      <alignment horizontal="center"/>
    </xf>
    <xf numFmtId="0" fontId="11" fillId="0" borderId="0" xfId="0" applyFont="1"/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textRotation="9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44"/>
  <sheetViews>
    <sheetView tabSelected="1" zoomScale="72" zoomScaleNormal="5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6" sqref="M6"/>
    </sheetView>
  </sheetViews>
  <sheetFormatPr defaultRowHeight="14.4" x14ac:dyDescent="0.3"/>
  <cols>
    <col min="1" max="1" width="36.5546875" customWidth="1"/>
    <col min="2" max="2" width="19.33203125" customWidth="1"/>
    <col min="3" max="4" width="10.44140625" customWidth="1"/>
    <col min="11" max="11" width="9.109375"/>
    <col min="12" max="12" width="8.6640625"/>
    <col min="13" max="13" width="10.44140625" bestFit="1" customWidth="1"/>
    <col min="14" max="14" width="27" bestFit="1" customWidth="1"/>
    <col min="15" max="15" width="16.77734375" bestFit="1" customWidth="1"/>
    <col min="16" max="16" width="28.88671875" bestFit="1" customWidth="1"/>
    <col min="17" max="19" width="10.44140625" customWidth="1"/>
    <col min="20" max="20" width="16.109375" bestFit="1" customWidth="1"/>
    <col min="21" max="21" width="14.5546875" bestFit="1" customWidth="1"/>
    <col min="22" max="22" width="10.44140625" customWidth="1"/>
    <col min="23" max="23" width="11.88671875" customWidth="1"/>
    <col min="25" max="25" width="10.5546875" customWidth="1"/>
    <col min="26" max="27" width="8.33203125" customWidth="1"/>
    <col min="29" max="29" width="9.109375" style="17"/>
    <col min="32" max="32" width="8.88671875" style="11"/>
    <col min="33" max="33" width="16.5546875" customWidth="1"/>
    <col min="34" max="34" width="15.88671875" customWidth="1"/>
  </cols>
  <sheetData>
    <row r="1" spans="1:32" x14ac:dyDescent="0.3">
      <c r="B1" s="29" t="s">
        <v>17</v>
      </c>
      <c r="C1" s="29"/>
      <c r="D1" s="29"/>
      <c r="E1" s="29"/>
      <c r="F1" s="29"/>
      <c r="G1" s="29"/>
      <c r="H1" s="29"/>
      <c r="I1" s="29"/>
      <c r="J1" s="27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0" t="s">
        <v>19</v>
      </c>
      <c r="AB1" s="30"/>
      <c r="AC1" s="30"/>
      <c r="AD1" s="30"/>
      <c r="AE1" s="30"/>
      <c r="AF1" s="27" t="s">
        <v>167</v>
      </c>
    </row>
    <row r="2" spans="1:32" x14ac:dyDescent="0.3">
      <c r="A2" t="s">
        <v>0</v>
      </c>
      <c r="B2" t="s">
        <v>1</v>
      </c>
      <c r="C2" t="s">
        <v>20</v>
      </c>
      <c r="D2" t="s">
        <v>21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28" t="s">
        <v>157</v>
      </c>
      <c r="K2" s="2" t="s">
        <v>168</v>
      </c>
      <c r="L2" s="2" t="s">
        <v>22</v>
      </c>
      <c r="M2" t="s">
        <v>23</v>
      </c>
      <c r="N2" s="28" t="s">
        <v>160</v>
      </c>
      <c r="O2" s="28" t="s">
        <v>159</v>
      </c>
      <c r="P2" s="28" t="s">
        <v>161</v>
      </c>
      <c r="Q2" t="s">
        <v>24</v>
      </c>
      <c r="R2" t="s">
        <v>25</v>
      </c>
      <c r="S2" t="s">
        <v>26</v>
      </c>
      <c r="T2" s="28" t="s">
        <v>162</v>
      </c>
      <c r="U2" s="28" t="s">
        <v>163</v>
      </c>
      <c r="V2" t="s">
        <v>158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7</v>
      </c>
      <c r="AC2" s="17" t="s">
        <v>34</v>
      </c>
      <c r="AD2" t="s">
        <v>35</v>
      </c>
      <c r="AE2" t="s">
        <v>36</v>
      </c>
      <c r="AF2" s="12" t="s">
        <v>38</v>
      </c>
    </row>
    <row r="3" spans="1:32" x14ac:dyDescent="0.3">
      <c r="A3" t="s">
        <v>39</v>
      </c>
      <c r="B3" t="s">
        <v>40</v>
      </c>
      <c r="C3">
        <v>-0.02</v>
      </c>
      <c r="D3">
        <v>444.43</v>
      </c>
      <c r="E3">
        <v>2.1</v>
      </c>
      <c r="F3">
        <v>3.05</v>
      </c>
      <c r="G3">
        <v>1.55</v>
      </c>
      <c r="H3">
        <v>1.7</v>
      </c>
      <c r="I3">
        <v>2.86</v>
      </c>
      <c r="J3">
        <v>181.62</v>
      </c>
      <c r="K3" t="s">
        <v>41</v>
      </c>
      <c r="L3" t="s">
        <v>11</v>
      </c>
      <c r="M3">
        <v>8</v>
      </c>
      <c r="N3">
        <v>73.685000000000002</v>
      </c>
      <c r="O3">
        <v>8.89</v>
      </c>
      <c r="P3">
        <v>1.591</v>
      </c>
      <c r="Q3" t="s">
        <v>42</v>
      </c>
      <c r="R3">
        <v>100</v>
      </c>
      <c r="S3">
        <v>24</v>
      </c>
      <c r="T3" t="s">
        <v>164</v>
      </c>
      <c r="U3" t="s">
        <v>164</v>
      </c>
      <c r="V3" s="7">
        <v>0.68045771348797268</v>
      </c>
      <c r="W3">
        <v>45.17</v>
      </c>
      <c r="X3">
        <v>0.52400000000000002</v>
      </c>
      <c r="Y3">
        <v>46.37</v>
      </c>
      <c r="Z3">
        <v>6.9</v>
      </c>
      <c r="AA3">
        <v>6</v>
      </c>
      <c r="AB3">
        <v>25</v>
      </c>
      <c r="AC3" s="18">
        <v>1</v>
      </c>
      <c r="AD3">
        <v>0.4</v>
      </c>
      <c r="AE3">
        <v>50</v>
      </c>
      <c r="AF3" s="11">
        <v>0.68</v>
      </c>
    </row>
    <row r="4" spans="1:32" x14ac:dyDescent="0.3">
      <c r="A4" t="s">
        <v>39</v>
      </c>
      <c r="B4" t="s">
        <v>40</v>
      </c>
      <c r="C4">
        <v>-0.02</v>
      </c>
      <c r="D4">
        <v>444.43</v>
      </c>
      <c r="E4">
        <v>2.1</v>
      </c>
      <c r="F4">
        <v>3.05</v>
      </c>
      <c r="G4">
        <v>1.55</v>
      </c>
      <c r="H4">
        <v>1.7</v>
      </c>
      <c r="I4">
        <v>2.86</v>
      </c>
      <c r="J4">
        <v>181.62</v>
      </c>
      <c r="K4" t="s">
        <v>41</v>
      </c>
      <c r="L4" t="s">
        <v>11</v>
      </c>
      <c r="M4">
        <v>8</v>
      </c>
      <c r="N4">
        <v>73.685000000000002</v>
      </c>
      <c r="O4">
        <v>8.89</v>
      </c>
      <c r="P4">
        <v>1.591</v>
      </c>
      <c r="Q4" t="s">
        <v>42</v>
      </c>
      <c r="R4">
        <v>100</v>
      </c>
      <c r="S4">
        <v>24</v>
      </c>
      <c r="T4" t="s">
        <v>164</v>
      </c>
      <c r="U4" t="s">
        <v>164</v>
      </c>
      <c r="V4" s="7">
        <v>0.68045771348797268</v>
      </c>
      <c r="W4">
        <v>45.17</v>
      </c>
      <c r="X4">
        <v>0.52400000000000002</v>
      </c>
      <c r="Y4">
        <v>46.37</v>
      </c>
      <c r="Z4">
        <v>6.9</v>
      </c>
      <c r="AA4">
        <v>6</v>
      </c>
      <c r="AB4">
        <v>25</v>
      </c>
      <c r="AC4" s="19">
        <f>5/60</f>
        <v>8.3333333333333329E-2</v>
      </c>
      <c r="AD4">
        <v>0.4</v>
      </c>
      <c r="AE4">
        <v>50</v>
      </c>
      <c r="AF4" s="11">
        <v>0.12</v>
      </c>
    </row>
    <row r="5" spans="1:32" x14ac:dyDescent="0.3">
      <c r="A5" t="s">
        <v>39</v>
      </c>
      <c r="B5" t="s">
        <v>40</v>
      </c>
      <c r="C5">
        <v>-0.02</v>
      </c>
      <c r="D5">
        <v>444.43</v>
      </c>
      <c r="E5">
        <v>2.1</v>
      </c>
      <c r="F5">
        <v>3.05</v>
      </c>
      <c r="G5">
        <v>1.55</v>
      </c>
      <c r="H5">
        <v>1.7</v>
      </c>
      <c r="I5">
        <v>2.86</v>
      </c>
      <c r="J5">
        <v>181.62</v>
      </c>
      <c r="K5" t="s">
        <v>41</v>
      </c>
      <c r="L5" t="s">
        <v>11</v>
      </c>
      <c r="M5">
        <v>8</v>
      </c>
      <c r="N5">
        <v>73.685000000000002</v>
      </c>
      <c r="O5">
        <v>8.89</v>
      </c>
      <c r="P5">
        <v>1.591</v>
      </c>
      <c r="Q5" t="s">
        <v>42</v>
      </c>
      <c r="R5">
        <v>100</v>
      </c>
      <c r="S5">
        <v>24</v>
      </c>
      <c r="T5" t="s">
        <v>164</v>
      </c>
      <c r="U5" t="s">
        <v>164</v>
      </c>
      <c r="V5" s="7">
        <v>0.68045771348797268</v>
      </c>
      <c r="W5">
        <v>45.17</v>
      </c>
      <c r="X5">
        <v>0.52400000000000002</v>
      </c>
      <c r="Y5">
        <v>46.37</v>
      </c>
      <c r="Z5">
        <v>6.9</v>
      </c>
      <c r="AA5">
        <v>6</v>
      </c>
      <c r="AB5">
        <v>25</v>
      </c>
      <c r="AC5" s="19">
        <f>10/60</f>
        <v>0.16666666666666666</v>
      </c>
      <c r="AD5">
        <v>0.4</v>
      </c>
      <c r="AE5">
        <v>50</v>
      </c>
      <c r="AF5" s="11">
        <v>0.2</v>
      </c>
    </row>
    <row r="6" spans="1:32" x14ac:dyDescent="0.3">
      <c r="A6" t="s">
        <v>39</v>
      </c>
      <c r="B6" t="s">
        <v>40</v>
      </c>
      <c r="C6">
        <v>-0.02</v>
      </c>
      <c r="D6">
        <v>444.43</v>
      </c>
      <c r="E6">
        <v>2.1</v>
      </c>
      <c r="F6">
        <v>3.05</v>
      </c>
      <c r="G6">
        <v>1.55</v>
      </c>
      <c r="H6">
        <v>1.7</v>
      </c>
      <c r="I6">
        <v>2.86</v>
      </c>
      <c r="J6">
        <v>181.62</v>
      </c>
      <c r="K6" t="s">
        <v>41</v>
      </c>
      <c r="L6" t="s">
        <v>11</v>
      </c>
      <c r="M6">
        <v>8</v>
      </c>
      <c r="N6">
        <v>73.685000000000002</v>
      </c>
      <c r="O6">
        <v>8.89</v>
      </c>
      <c r="P6">
        <v>1.591</v>
      </c>
      <c r="Q6" t="s">
        <v>42</v>
      </c>
      <c r="R6">
        <v>100</v>
      </c>
      <c r="S6">
        <v>24</v>
      </c>
      <c r="T6" t="s">
        <v>164</v>
      </c>
      <c r="U6" t="s">
        <v>164</v>
      </c>
      <c r="V6" s="7">
        <v>0.68045771348797268</v>
      </c>
      <c r="W6">
        <v>45.17</v>
      </c>
      <c r="X6">
        <v>0.52400000000000002</v>
      </c>
      <c r="Y6">
        <v>46.37</v>
      </c>
      <c r="Z6">
        <v>6.9</v>
      </c>
      <c r="AA6">
        <v>6</v>
      </c>
      <c r="AB6">
        <v>25</v>
      </c>
      <c r="AC6" s="19">
        <f>15/60</f>
        <v>0.25</v>
      </c>
      <c r="AD6">
        <v>0.4</v>
      </c>
      <c r="AE6">
        <v>50</v>
      </c>
      <c r="AF6" s="11">
        <v>0.36</v>
      </c>
    </row>
    <row r="7" spans="1:32" x14ac:dyDescent="0.3">
      <c r="A7" t="s">
        <v>39</v>
      </c>
      <c r="B7" t="s">
        <v>40</v>
      </c>
      <c r="C7">
        <v>-0.02</v>
      </c>
      <c r="D7">
        <v>444.43</v>
      </c>
      <c r="E7">
        <v>2.1</v>
      </c>
      <c r="F7">
        <v>3.05</v>
      </c>
      <c r="G7">
        <v>1.55</v>
      </c>
      <c r="H7">
        <v>1.7</v>
      </c>
      <c r="I7">
        <v>2.86</v>
      </c>
      <c r="J7">
        <v>181.62</v>
      </c>
      <c r="K7" t="s">
        <v>41</v>
      </c>
      <c r="L7" t="s">
        <v>11</v>
      </c>
      <c r="M7">
        <v>8</v>
      </c>
      <c r="N7">
        <v>73.685000000000002</v>
      </c>
      <c r="O7">
        <v>8.89</v>
      </c>
      <c r="P7">
        <v>1.591</v>
      </c>
      <c r="Q7" t="s">
        <v>42</v>
      </c>
      <c r="R7">
        <v>100</v>
      </c>
      <c r="S7">
        <v>24</v>
      </c>
      <c r="T7" t="s">
        <v>164</v>
      </c>
      <c r="U7" t="s">
        <v>164</v>
      </c>
      <c r="V7" s="7">
        <v>0.68045771348797268</v>
      </c>
      <c r="W7">
        <v>45.17</v>
      </c>
      <c r="X7">
        <v>0.52400000000000002</v>
      </c>
      <c r="Y7">
        <v>46.37</v>
      </c>
      <c r="Z7">
        <v>6.9</v>
      </c>
      <c r="AA7">
        <v>6</v>
      </c>
      <c r="AB7">
        <v>25</v>
      </c>
      <c r="AC7" s="19">
        <f>20/60</f>
        <v>0.33333333333333331</v>
      </c>
      <c r="AD7">
        <v>0.4</v>
      </c>
      <c r="AE7">
        <v>50</v>
      </c>
      <c r="AF7" s="11">
        <v>0.45600000000000002</v>
      </c>
    </row>
    <row r="8" spans="1:32" x14ac:dyDescent="0.3">
      <c r="A8" t="s">
        <v>39</v>
      </c>
      <c r="B8" t="s">
        <v>40</v>
      </c>
      <c r="C8">
        <v>-0.02</v>
      </c>
      <c r="D8">
        <v>444.43</v>
      </c>
      <c r="E8">
        <v>2.1</v>
      </c>
      <c r="F8">
        <v>3.05</v>
      </c>
      <c r="G8">
        <v>1.55</v>
      </c>
      <c r="H8">
        <v>1.7</v>
      </c>
      <c r="I8">
        <v>2.86</v>
      </c>
      <c r="J8">
        <v>181.62</v>
      </c>
      <c r="K8" t="s">
        <v>41</v>
      </c>
      <c r="L8" t="s">
        <v>11</v>
      </c>
      <c r="M8">
        <v>8</v>
      </c>
      <c r="N8">
        <v>73.685000000000002</v>
      </c>
      <c r="O8">
        <v>8.89</v>
      </c>
      <c r="P8">
        <v>1.591</v>
      </c>
      <c r="Q8" t="s">
        <v>42</v>
      </c>
      <c r="R8">
        <v>100</v>
      </c>
      <c r="S8">
        <v>24</v>
      </c>
      <c r="T8" t="s">
        <v>164</v>
      </c>
      <c r="U8" t="s">
        <v>164</v>
      </c>
      <c r="V8" s="7">
        <v>0.68045771348797268</v>
      </c>
      <c r="W8">
        <v>45.17</v>
      </c>
      <c r="X8">
        <v>0.52400000000000002</v>
      </c>
      <c r="Y8">
        <v>46.37</v>
      </c>
      <c r="Z8">
        <v>6.9</v>
      </c>
      <c r="AA8">
        <v>6</v>
      </c>
      <c r="AB8">
        <v>25</v>
      </c>
      <c r="AC8" s="19">
        <f>25/60</f>
        <v>0.41666666666666669</v>
      </c>
      <c r="AD8">
        <v>0.4</v>
      </c>
      <c r="AE8">
        <v>50</v>
      </c>
      <c r="AF8" s="11">
        <v>0.60799999999999998</v>
      </c>
    </row>
    <row r="9" spans="1:32" x14ac:dyDescent="0.3">
      <c r="A9" t="s">
        <v>39</v>
      </c>
      <c r="B9" t="s">
        <v>40</v>
      </c>
      <c r="C9">
        <v>-0.02</v>
      </c>
      <c r="D9">
        <v>444.43</v>
      </c>
      <c r="E9">
        <v>2.1</v>
      </c>
      <c r="F9">
        <v>3.05</v>
      </c>
      <c r="G9">
        <v>1.55</v>
      </c>
      <c r="H9">
        <v>1.7</v>
      </c>
      <c r="I9">
        <v>2.86</v>
      </c>
      <c r="J9">
        <v>181.62</v>
      </c>
      <c r="K9" t="s">
        <v>41</v>
      </c>
      <c r="L9" t="s">
        <v>11</v>
      </c>
      <c r="M9">
        <v>8</v>
      </c>
      <c r="N9">
        <v>73.685000000000002</v>
      </c>
      <c r="O9">
        <v>8.89</v>
      </c>
      <c r="P9">
        <v>1.591</v>
      </c>
      <c r="Q9" t="s">
        <v>42</v>
      </c>
      <c r="R9">
        <v>100</v>
      </c>
      <c r="S9">
        <v>24</v>
      </c>
      <c r="T9" t="s">
        <v>164</v>
      </c>
      <c r="U9" t="s">
        <v>164</v>
      </c>
      <c r="V9" s="7">
        <v>0.68045771348797268</v>
      </c>
      <c r="W9">
        <v>45.17</v>
      </c>
      <c r="X9">
        <v>0.52400000000000002</v>
      </c>
      <c r="Y9">
        <v>46.37</v>
      </c>
      <c r="Z9">
        <v>6.9</v>
      </c>
      <c r="AA9">
        <v>6</v>
      </c>
      <c r="AB9">
        <v>25</v>
      </c>
      <c r="AC9" s="20">
        <f>3/6</f>
        <v>0.5</v>
      </c>
      <c r="AD9">
        <v>0.4</v>
      </c>
      <c r="AE9">
        <v>50</v>
      </c>
      <c r="AF9" s="11">
        <v>0.64800000000000002</v>
      </c>
    </row>
    <row r="10" spans="1:32" x14ac:dyDescent="0.3">
      <c r="A10" t="s">
        <v>39</v>
      </c>
      <c r="B10" t="s">
        <v>40</v>
      </c>
      <c r="C10">
        <v>-0.02</v>
      </c>
      <c r="D10">
        <v>444.43</v>
      </c>
      <c r="E10">
        <v>2.1</v>
      </c>
      <c r="F10">
        <v>3.05</v>
      </c>
      <c r="G10">
        <v>1.55</v>
      </c>
      <c r="H10">
        <v>1.7</v>
      </c>
      <c r="I10">
        <v>2.86</v>
      </c>
      <c r="J10">
        <v>181.62</v>
      </c>
      <c r="K10" t="s">
        <v>41</v>
      </c>
      <c r="L10" t="s">
        <v>11</v>
      </c>
      <c r="M10">
        <v>8</v>
      </c>
      <c r="N10">
        <v>73.685000000000002</v>
      </c>
      <c r="O10">
        <v>8.89</v>
      </c>
      <c r="P10">
        <v>1.591</v>
      </c>
      <c r="Q10" t="s">
        <v>42</v>
      </c>
      <c r="R10">
        <v>100</v>
      </c>
      <c r="S10">
        <v>24</v>
      </c>
      <c r="T10" t="s">
        <v>164</v>
      </c>
      <c r="U10" t="s">
        <v>164</v>
      </c>
      <c r="V10" s="7">
        <v>0.68045771348797268</v>
      </c>
      <c r="W10">
        <v>45.17</v>
      </c>
      <c r="X10">
        <v>0.52400000000000002</v>
      </c>
      <c r="Y10">
        <v>46.37</v>
      </c>
      <c r="Z10">
        <v>6.9</v>
      </c>
      <c r="AA10">
        <v>6</v>
      </c>
      <c r="AB10">
        <v>25</v>
      </c>
      <c r="AC10" s="19">
        <f>35/60</f>
        <v>0.58333333333333337</v>
      </c>
      <c r="AD10">
        <v>0.4</v>
      </c>
      <c r="AE10">
        <v>50</v>
      </c>
      <c r="AF10" s="11">
        <v>0.66400000000000003</v>
      </c>
    </row>
    <row r="11" spans="1:32" x14ac:dyDescent="0.3">
      <c r="A11" t="s">
        <v>39</v>
      </c>
      <c r="B11" t="s">
        <v>40</v>
      </c>
      <c r="C11">
        <v>-0.02</v>
      </c>
      <c r="D11">
        <v>444.43</v>
      </c>
      <c r="E11">
        <v>2.1</v>
      </c>
      <c r="F11">
        <v>3.05</v>
      </c>
      <c r="G11">
        <v>1.55</v>
      </c>
      <c r="H11">
        <v>1.7</v>
      </c>
      <c r="I11">
        <v>2.86</v>
      </c>
      <c r="J11">
        <v>181.62</v>
      </c>
      <c r="K11" t="s">
        <v>41</v>
      </c>
      <c r="L11" t="s">
        <v>11</v>
      </c>
      <c r="M11">
        <v>8</v>
      </c>
      <c r="N11">
        <v>73.685000000000002</v>
      </c>
      <c r="O11">
        <v>8.89</v>
      </c>
      <c r="P11">
        <v>1.591</v>
      </c>
      <c r="Q11" t="s">
        <v>42</v>
      </c>
      <c r="R11">
        <v>100</v>
      </c>
      <c r="S11">
        <v>24</v>
      </c>
      <c r="T11" t="s">
        <v>164</v>
      </c>
      <c r="U11" t="s">
        <v>164</v>
      </c>
      <c r="V11" s="7">
        <v>0.68045771348797268</v>
      </c>
      <c r="W11">
        <v>45.17</v>
      </c>
      <c r="X11">
        <v>0.52400000000000002</v>
      </c>
      <c r="Y11">
        <v>46.37</v>
      </c>
      <c r="Z11">
        <v>6.9</v>
      </c>
      <c r="AA11">
        <v>6</v>
      </c>
      <c r="AB11">
        <v>25</v>
      </c>
      <c r="AC11" s="19">
        <f>4/6</f>
        <v>0.66666666666666663</v>
      </c>
      <c r="AD11">
        <v>0.4</v>
      </c>
      <c r="AE11">
        <v>50</v>
      </c>
      <c r="AF11" s="11">
        <v>0.67199999999999993</v>
      </c>
    </row>
    <row r="12" spans="1:32" x14ac:dyDescent="0.3">
      <c r="A12" t="s">
        <v>39</v>
      </c>
      <c r="B12" t="s">
        <v>40</v>
      </c>
      <c r="C12">
        <v>-0.02</v>
      </c>
      <c r="D12">
        <v>444.43</v>
      </c>
      <c r="E12">
        <v>2.1</v>
      </c>
      <c r="F12">
        <v>3.05</v>
      </c>
      <c r="G12">
        <v>1.55</v>
      </c>
      <c r="H12">
        <v>1.7</v>
      </c>
      <c r="I12">
        <v>2.86</v>
      </c>
      <c r="J12">
        <v>181.62</v>
      </c>
      <c r="K12" t="s">
        <v>41</v>
      </c>
      <c r="L12" t="s">
        <v>11</v>
      </c>
      <c r="M12">
        <v>8</v>
      </c>
      <c r="N12">
        <v>73.685000000000002</v>
      </c>
      <c r="O12">
        <v>8.89</v>
      </c>
      <c r="P12">
        <v>1.591</v>
      </c>
      <c r="Q12" t="s">
        <v>42</v>
      </c>
      <c r="R12">
        <v>100</v>
      </c>
      <c r="S12">
        <v>24</v>
      </c>
      <c r="T12" t="s">
        <v>164</v>
      </c>
      <c r="U12" t="s">
        <v>164</v>
      </c>
      <c r="V12" s="7">
        <v>0.68045771348797268</v>
      </c>
      <c r="W12">
        <v>45.17</v>
      </c>
      <c r="X12">
        <v>0.52400000000000002</v>
      </c>
      <c r="Y12">
        <v>46.37</v>
      </c>
      <c r="Z12">
        <v>6.9</v>
      </c>
      <c r="AA12">
        <v>6</v>
      </c>
      <c r="AB12">
        <v>25</v>
      </c>
      <c r="AC12" s="19">
        <f>50/60</f>
        <v>0.83333333333333337</v>
      </c>
      <c r="AD12">
        <v>0.4</v>
      </c>
      <c r="AE12">
        <v>50</v>
      </c>
      <c r="AF12" s="11">
        <v>0.68</v>
      </c>
    </row>
    <row r="13" spans="1:32" x14ac:dyDescent="0.3">
      <c r="A13" t="s">
        <v>39</v>
      </c>
      <c r="B13" t="s">
        <v>40</v>
      </c>
      <c r="C13">
        <v>-0.02</v>
      </c>
      <c r="D13">
        <v>444.43</v>
      </c>
      <c r="E13">
        <v>2.1</v>
      </c>
      <c r="F13">
        <v>3.05</v>
      </c>
      <c r="G13">
        <v>1.55</v>
      </c>
      <c r="H13">
        <v>1.7</v>
      </c>
      <c r="I13">
        <v>2.86</v>
      </c>
      <c r="J13">
        <v>181.62</v>
      </c>
      <c r="K13" t="s">
        <v>41</v>
      </c>
      <c r="L13" t="s">
        <v>11</v>
      </c>
      <c r="M13">
        <v>8</v>
      </c>
      <c r="N13">
        <v>73.685000000000002</v>
      </c>
      <c r="O13">
        <v>8.89</v>
      </c>
      <c r="P13">
        <v>1.591</v>
      </c>
      <c r="Q13" t="s">
        <v>42</v>
      </c>
      <c r="R13">
        <v>100</v>
      </c>
      <c r="S13">
        <v>24</v>
      </c>
      <c r="T13" t="s">
        <v>164</v>
      </c>
      <c r="U13" t="s">
        <v>164</v>
      </c>
      <c r="V13" s="7">
        <v>0.68045771348797268</v>
      </c>
      <c r="W13">
        <v>45.17</v>
      </c>
      <c r="X13">
        <v>0.52400000000000002</v>
      </c>
      <c r="Y13">
        <v>46.37</v>
      </c>
      <c r="Z13">
        <v>6.9</v>
      </c>
      <c r="AA13">
        <v>6</v>
      </c>
      <c r="AB13">
        <v>25</v>
      </c>
      <c r="AC13" s="18">
        <v>1</v>
      </c>
      <c r="AD13">
        <v>0.4</v>
      </c>
      <c r="AE13">
        <v>50</v>
      </c>
      <c r="AF13" s="11">
        <v>0.68</v>
      </c>
    </row>
    <row r="14" spans="1:32" x14ac:dyDescent="0.3">
      <c r="A14" t="s">
        <v>39</v>
      </c>
      <c r="B14" t="s">
        <v>40</v>
      </c>
      <c r="C14">
        <v>-0.02</v>
      </c>
      <c r="D14">
        <v>444.43</v>
      </c>
      <c r="E14">
        <v>2.1</v>
      </c>
      <c r="F14">
        <v>3.05</v>
      </c>
      <c r="G14">
        <v>1.55</v>
      </c>
      <c r="H14">
        <v>1.7</v>
      </c>
      <c r="I14">
        <v>2.86</v>
      </c>
      <c r="J14">
        <v>181.62</v>
      </c>
      <c r="K14" t="s">
        <v>41</v>
      </c>
      <c r="L14" t="s">
        <v>11</v>
      </c>
      <c r="M14">
        <v>8</v>
      </c>
      <c r="N14">
        <v>73.685000000000002</v>
      </c>
      <c r="O14">
        <v>8.89</v>
      </c>
      <c r="P14">
        <v>1.591</v>
      </c>
      <c r="Q14" t="s">
        <v>42</v>
      </c>
      <c r="R14">
        <v>100</v>
      </c>
      <c r="S14">
        <v>24</v>
      </c>
      <c r="T14" t="s">
        <v>164</v>
      </c>
      <c r="U14" t="s">
        <v>164</v>
      </c>
      <c r="V14" s="7">
        <v>0.68045771348797268</v>
      </c>
      <c r="W14">
        <v>45.17</v>
      </c>
      <c r="X14">
        <v>0.52400000000000002</v>
      </c>
      <c r="Y14">
        <v>46.37</v>
      </c>
      <c r="Z14">
        <v>6.9</v>
      </c>
      <c r="AA14">
        <v>6</v>
      </c>
      <c r="AB14">
        <v>25</v>
      </c>
      <c r="AC14" s="17">
        <v>2</v>
      </c>
      <c r="AD14">
        <v>0.4</v>
      </c>
      <c r="AE14">
        <v>50</v>
      </c>
      <c r="AF14" s="11">
        <v>0.68</v>
      </c>
    </row>
    <row r="15" spans="1:32" x14ac:dyDescent="0.3">
      <c r="A15" t="s">
        <v>39</v>
      </c>
      <c r="B15" t="s">
        <v>40</v>
      </c>
      <c r="C15">
        <v>-0.02</v>
      </c>
      <c r="D15">
        <v>444.43</v>
      </c>
      <c r="E15">
        <v>2.1</v>
      </c>
      <c r="F15">
        <v>3.05</v>
      </c>
      <c r="G15">
        <v>1.55</v>
      </c>
      <c r="H15">
        <v>1.7</v>
      </c>
      <c r="I15">
        <v>2.86</v>
      </c>
      <c r="J15">
        <v>181.62</v>
      </c>
      <c r="K15" t="s">
        <v>41</v>
      </c>
      <c r="L15" t="s">
        <v>11</v>
      </c>
      <c r="M15">
        <v>8</v>
      </c>
      <c r="N15">
        <v>73.685000000000002</v>
      </c>
      <c r="O15">
        <v>8.89</v>
      </c>
      <c r="P15">
        <v>1.591</v>
      </c>
      <c r="Q15" t="s">
        <v>42</v>
      </c>
      <c r="R15">
        <v>100</v>
      </c>
      <c r="S15">
        <v>24</v>
      </c>
      <c r="T15" t="s">
        <v>164</v>
      </c>
      <c r="U15" t="s">
        <v>164</v>
      </c>
      <c r="V15" s="7">
        <v>0.68045771348797268</v>
      </c>
      <c r="W15">
        <v>45.17</v>
      </c>
      <c r="X15">
        <v>0.52400000000000002</v>
      </c>
      <c r="Y15">
        <v>46.37</v>
      </c>
      <c r="Z15">
        <v>6.9</v>
      </c>
      <c r="AA15">
        <v>6</v>
      </c>
      <c r="AB15">
        <v>25</v>
      </c>
      <c r="AC15" s="18">
        <v>3</v>
      </c>
      <c r="AD15">
        <v>0.4</v>
      </c>
      <c r="AE15">
        <v>50</v>
      </c>
      <c r="AF15" s="11">
        <v>0.68</v>
      </c>
    </row>
    <row r="16" spans="1:32" x14ac:dyDescent="0.3">
      <c r="A16" t="s">
        <v>39</v>
      </c>
      <c r="B16" t="s">
        <v>40</v>
      </c>
      <c r="C16">
        <v>-0.02</v>
      </c>
      <c r="D16">
        <v>444.43</v>
      </c>
      <c r="E16">
        <v>2.1</v>
      </c>
      <c r="F16">
        <v>3.05</v>
      </c>
      <c r="G16">
        <v>1.55</v>
      </c>
      <c r="H16">
        <v>1.7</v>
      </c>
      <c r="I16">
        <v>2.86</v>
      </c>
      <c r="J16">
        <v>181.62</v>
      </c>
      <c r="K16" t="s">
        <v>41</v>
      </c>
      <c r="L16" t="s">
        <v>11</v>
      </c>
      <c r="M16">
        <v>8</v>
      </c>
      <c r="N16">
        <v>73.685000000000002</v>
      </c>
      <c r="O16">
        <v>8.89</v>
      </c>
      <c r="P16">
        <v>1.591</v>
      </c>
      <c r="Q16" t="s">
        <v>42</v>
      </c>
      <c r="R16">
        <v>100</v>
      </c>
      <c r="S16">
        <v>24</v>
      </c>
      <c r="T16" t="s">
        <v>164</v>
      </c>
      <c r="U16" t="s">
        <v>164</v>
      </c>
      <c r="V16" s="7">
        <v>0.68045771348797268</v>
      </c>
      <c r="W16">
        <v>45.17</v>
      </c>
      <c r="X16">
        <v>0.52400000000000002</v>
      </c>
      <c r="Y16">
        <v>46.37</v>
      </c>
      <c r="Z16">
        <v>6.9</v>
      </c>
      <c r="AA16">
        <v>5</v>
      </c>
      <c r="AB16">
        <v>25</v>
      </c>
      <c r="AC16" s="17">
        <f>15/60</f>
        <v>0.25</v>
      </c>
      <c r="AD16">
        <v>0.4</v>
      </c>
      <c r="AE16">
        <v>50</v>
      </c>
      <c r="AF16" s="11">
        <v>0.31200000000000006</v>
      </c>
    </row>
    <row r="17" spans="1:32" x14ac:dyDescent="0.3">
      <c r="A17" t="s">
        <v>39</v>
      </c>
      <c r="B17" t="s">
        <v>40</v>
      </c>
      <c r="C17">
        <v>-0.02</v>
      </c>
      <c r="D17">
        <v>444.43</v>
      </c>
      <c r="E17">
        <v>2.1</v>
      </c>
      <c r="F17">
        <v>3.05</v>
      </c>
      <c r="G17">
        <v>1.55</v>
      </c>
      <c r="H17">
        <v>1.7</v>
      </c>
      <c r="I17">
        <v>2.86</v>
      </c>
      <c r="J17">
        <v>181.62</v>
      </c>
      <c r="K17" t="s">
        <v>41</v>
      </c>
      <c r="L17" t="s">
        <v>11</v>
      </c>
      <c r="M17">
        <v>8</v>
      </c>
      <c r="N17">
        <v>73.685000000000002</v>
      </c>
      <c r="O17">
        <v>8.89</v>
      </c>
      <c r="P17">
        <v>1.591</v>
      </c>
      <c r="Q17" t="s">
        <v>42</v>
      </c>
      <c r="R17">
        <v>100</v>
      </c>
      <c r="S17">
        <v>24</v>
      </c>
      <c r="T17" t="s">
        <v>164</v>
      </c>
      <c r="U17" t="s">
        <v>164</v>
      </c>
      <c r="V17" s="7">
        <v>0.68045771348797268</v>
      </c>
      <c r="W17">
        <v>45.17</v>
      </c>
      <c r="X17">
        <v>0.52400000000000002</v>
      </c>
      <c r="Y17">
        <v>46.37</v>
      </c>
      <c r="Z17">
        <v>6.9</v>
      </c>
      <c r="AA17">
        <v>5.5</v>
      </c>
      <c r="AB17">
        <v>25</v>
      </c>
      <c r="AC17" s="17">
        <f t="shared" ref="AC17:AC33" si="0">15/60</f>
        <v>0.25</v>
      </c>
      <c r="AD17">
        <v>0.4</v>
      </c>
      <c r="AE17">
        <v>50</v>
      </c>
      <c r="AF17" s="11">
        <v>0.56000000000000005</v>
      </c>
    </row>
    <row r="18" spans="1:32" x14ac:dyDescent="0.3">
      <c r="A18" t="s">
        <v>39</v>
      </c>
      <c r="B18" t="s">
        <v>40</v>
      </c>
      <c r="C18">
        <v>-0.02</v>
      </c>
      <c r="D18">
        <v>444.43</v>
      </c>
      <c r="E18">
        <v>2.1</v>
      </c>
      <c r="F18">
        <v>3.05</v>
      </c>
      <c r="G18">
        <v>1.55</v>
      </c>
      <c r="H18">
        <v>1.7</v>
      </c>
      <c r="I18">
        <v>2.86</v>
      </c>
      <c r="J18">
        <v>181.62</v>
      </c>
      <c r="K18" t="s">
        <v>41</v>
      </c>
      <c r="L18" t="s">
        <v>11</v>
      </c>
      <c r="M18">
        <v>8</v>
      </c>
      <c r="N18">
        <v>73.685000000000002</v>
      </c>
      <c r="O18">
        <v>8.89</v>
      </c>
      <c r="P18">
        <v>1.591</v>
      </c>
      <c r="Q18" t="s">
        <v>42</v>
      </c>
      <c r="R18">
        <v>100</v>
      </c>
      <c r="S18">
        <v>24</v>
      </c>
      <c r="T18" t="s">
        <v>164</v>
      </c>
      <c r="U18" t="s">
        <v>164</v>
      </c>
      <c r="V18" s="7">
        <v>0.68045771348797268</v>
      </c>
      <c r="W18">
        <v>45.17</v>
      </c>
      <c r="X18">
        <v>0.52400000000000002</v>
      </c>
      <c r="Y18">
        <v>46.37</v>
      </c>
      <c r="Z18">
        <v>6.9</v>
      </c>
      <c r="AA18">
        <v>6</v>
      </c>
      <c r="AB18">
        <v>25</v>
      </c>
      <c r="AC18" s="17">
        <f t="shared" si="0"/>
        <v>0.25</v>
      </c>
      <c r="AD18">
        <v>0.4</v>
      </c>
      <c r="AE18">
        <v>50</v>
      </c>
      <c r="AF18" s="11">
        <v>0.68</v>
      </c>
    </row>
    <row r="19" spans="1:32" x14ac:dyDescent="0.3">
      <c r="A19" t="s">
        <v>39</v>
      </c>
      <c r="B19" t="s">
        <v>40</v>
      </c>
      <c r="C19">
        <v>-0.02</v>
      </c>
      <c r="D19">
        <v>444.43</v>
      </c>
      <c r="E19">
        <v>2.1</v>
      </c>
      <c r="F19">
        <v>3.05</v>
      </c>
      <c r="G19">
        <v>1.55</v>
      </c>
      <c r="H19">
        <v>1.7</v>
      </c>
      <c r="I19">
        <v>2.86</v>
      </c>
      <c r="J19">
        <v>181.62</v>
      </c>
      <c r="K19" t="s">
        <v>41</v>
      </c>
      <c r="L19" t="s">
        <v>11</v>
      </c>
      <c r="M19">
        <v>8</v>
      </c>
      <c r="N19">
        <v>73.685000000000002</v>
      </c>
      <c r="O19">
        <v>8.89</v>
      </c>
      <c r="P19">
        <v>1.591</v>
      </c>
      <c r="Q19" t="s">
        <v>42</v>
      </c>
      <c r="R19">
        <v>100</v>
      </c>
      <c r="S19">
        <v>24</v>
      </c>
      <c r="T19" t="s">
        <v>164</v>
      </c>
      <c r="U19" t="s">
        <v>164</v>
      </c>
      <c r="V19" s="7">
        <v>0.68045771348797268</v>
      </c>
      <c r="W19">
        <v>45.17</v>
      </c>
      <c r="X19">
        <v>0.52400000000000002</v>
      </c>
      <c r="Y19">
        <v>46.37</v>
      </c>
      <c r="Z19">
        <v>6.9</v>
      </c>
      <c r="AA19">
        <v>6.5</v>
      </c>
      <c r="AB19">
        <v>25</v>
      </c>
      <c r="AC19" s="17">
        <f t="shared" si="0"/>
        <v>0.25</v>
      </c>
      <c r="AD19">
        <v>0.4</v>
      </c>
      <c r="AE19">
        <v>50</v>
      </c>
      <c r="AF19" s="11">
        <v>0.63200000000000001</v>
      </c>
    </row>
    <row r="20" spans="1:32" x14ac:dyDescent="0.3">
      <c r="A20" t="s">
        <v>39</v>
      </c>
      <c r="B20" t="s">
        <v>40</v>
      </c>
      <c r="C20">
        <v>-0.02</v>
      </c>
      <c r="D20">
        <v>444.43</v>
      </c>
      <c r="E20">
        <v>2.1</v>
      </c>
      <c r="F20">
        <v>3.05</v>
      </c>
      <c r="G20">
        <v>1.55</v>
      </c>
      <c r="H20">
        <v>1.7</v>
      </c>
      <c r="I20">
        <v>2.86</v>
      </c>
      <c r="J20">
        <v>181.62</v>
      </c>
      <c r="K20" t="s">
        <v>41</v>
      </c>
      <c r="L20" t="s">
        <v>11</v>
      </c>
      <c r="M20">
        <v>8</v>
      </c>
      <c r="N20">
        <v>73.685000000000002</v>
      </c>
      <c r="O20">
        <v>8.89</v>
      </c>
      <c r="P20">
        <v>1.591</v>
      </c>
      <c r="Q20" t="s">
        <v>42</v>
      </c>
      <c r="R20">
        <v>100</v>
      </c>
      <c r="S20">
        <v>24</v>
      </c>
      <c r="T20" t="s">
        <v>164</v>
      </c>
      <c r="U20" t="s">
        <v>164</v>
      </c>
      <c r="V20" s="7">
        <v>0.68045771348797268</v>
      </c>
      <c r="W20">
        <v>45.17</v>
      </c>
      <c r="X20">
        <v>0.52400000000000002</v>
      </c>
      <c r="Y20">
        <v>46.37</v>
      </c>
      <c r="Z20">
        <v>6.9</v>
      </c>
      <c r="AA20">
        <v>6.9</v>
      </c>
      <c r="AB20">
        <v>25</v>
      </c>
      <c r="AC20" s="17">
        <f t="shared" si="0"/>
        <v>0.25</v>
      </c>
      <c r="AD20">
        <v>0.4</v>
      </c>
      <c r="AE20">
        <v>50</v>
      </c>
      <c r="AF20" s="11">
        <v>0.47999999999999993</v>
      </c>
    </row>
    <row r="21" spans="1:32" x14ac:dyDescent="0.3">
      <c r="A21" t="s">
        <v>39</v>
      </c>
      <c r="B21" t="s">
        <v>40</v>
      </c>
      <c r="C21">
        <v>-0.02</v>
      </c>
      <c r="D21">
        <v>444.43</v>
      </c>
      <c r="E21">
        <v>2.1</v>
      </c>
      <c r="F21">
        <v>3.05</v>
      </c>
      <c r="G21">
        <v>1.55</v>
      </c>
      <c r="H21">
        <v>1.7</v>
      </c>
      <c r="I21">
        <v>2.86</v>
      </c>
      <c r="J21">
        <v>181.62</v>
      </c>
      <c r="K21" t="s">
        <v>41</v>
      </c>
      <c r="L21" t="s">
        <v>11</v>
      </c>
      <c r="M21">
        <v>8</v>
      </c>
      <c r="N21">
        <v>73.685000000000002</v>
      </c>
      <c r="O21">
        <v>8.89</v>
      </c>
      <c r="P21">
        <v>1.591</v>
      </c>
      <c r="Q21" t="s">
        <v>42</v>
      </c>
      <c r="R21">
        <v>100</v>
      </c>
      <c r="S21">
        <v>24</v>
      </c>
      <c r="T21" t="s">
        <v>164</v>
      </c>
      <c r="U21" t="s">
        <v>164</v>
      </c>
      <c r="V21" s="7">
        <v>0.68045771348797268</v>
      </c>
      <c r="W21">
        <v>45.17</v>
      </c>
      <c r="X21">
        <v>0.52400000000000002</v>
      </c>
      <c r="Y21">
        <v>46.37</v>
      </c>
      <c r="Z21">
        <v>6.9</v>
      </c>
      <c r="AA21">
        <v>8</v>
      </c>
      <c r="AB21">
        <v>25</v>
      </c>
      <c r="AC21" s="17">
        <f t="shared" si="0"/>
        <v>0.25</v>
      </c>
      <c r="AD21">
        <v>0.4</v>
      </c>
      <c r="AE21">
        <v>50</v>
      </c>
      <c r="AF21" s="11">
        <v>0.4</v>
      </c>
    </row>
    <row r="22" spans="1:32" x14ac:dyDescent="0.3">
      <c r="A22" t="s">
        <v>39</v>
      </c>
      <c r="B22" t="s">
        <v>40</v>
      </c>
      <c r="C22">
        <v>-0.02</v>
      </c>
      <c r="D22">
        <v>444.43</v>
      </c>
      <c r="E22">
        <v>2.1</v>
      </c>
      <c r="F22">
        <v>3.05</v>
      </c>
      <c r="G22">
        <v>1.55</v>
      </c>
      <c r="H22">
        <v>1.7</v>
      </c>
      <c r="I22">
        <v>2.86</v>
      </c>
      <c r="J22">
        <v>181.62</v>
      </c>
      <c r="K22" t="s">
        <v>41</v>
      </c>
      <c r="L22" t="s">
        <v>11</v>
      </c>
      <c r="M22">
        <v>8</v>
      </c>
      <c r="N22">
        <v>73.685000000000002</v>
      </c>
      <c r="O22">
        <v>8.89</v>
      </c>
      <c r="P22">
        <v>1.591</v>
      </c>
      <c r="Q22" t="s">
        <v>42</v>
      </c>
      <c r="R22">
        <v>100</v>
      </c>
      <c r="S22">
        <v>24</v>
      </c>
      <c r="T22" t="s">
        <v>164</v>
      </c>
      <c r="U22" t="s">
        <v>164</v>
      </c>
      <c r="V22" s="7">
        <v>0.68045771348797268</v>
      </c>
      <c r="W22">
        <v>45.17</v>
      </c>
      <c r="X22">
        <v>0.52400000000000002</v>
      </c>
      <c r="Y22">
        <v>46.37</v>
      </c>
      <c r="Z22">
        <v>6.9</v>
      </c>
      <c r="AA22">
        <v>9</v>
      </c>
      <c r="AB22">
        <v>25</v>
      </c>
      <c r="AC22" s="17">
        <f t="shared" si="0"/>
        <v>0.25</v>
      </c>
      <c r="AD22">
        <v>0.4</v>
      </c>
      <c r="AE22">
        <v>50</v>
      </c>
      <c r="AF22" s="11">
        <v>0.35199999999999987</v>
      </c>
    </row>
    <row r="23" spans="1:32" x14ac:dyDescent="0.3">
      <c r="A23" t="s">
        <v>39</v>
      </c>
      <c r="B23" t="s">
        <v>40</v>
      </c>
      <c r="C23">
        <v>-0.02</v>
      </c>
      <c r="D23">
        <v>444.43</v>
      </c>
      <c r="E23">
        <v>2.1</v>
      </c>
      <c r="F23">
        <v>3.05</v>
      </c>
      <c r="G23">
        <v>1.55</v>
      </c>
      <c r="H23">
        <v>1.7</v>
      </c>
      <c r="I23">
        <v>2.86</v>
      </c>
      <c r="J23">
        <v>181.62</v>
      </c>
      <c r="K23" t="s">
        <v>41</v>
      </c>
      <c r="L23" t="s">
        <v>11</v>
      </c>
      <c r="M23">
        <v>8</v>
      </c>
      <c r="N23">
        <v>73.685000000000002</v>
      </c>
      <c r="O23">
        <v>8.89</v>
      </c>
      <c r="P23">
        <v>1.591</v>
      </c>
      <c r="Q23" t="s">
        <v>42</v>
      </c>
      <c r="R23">
        <v>100</v>
      </c>
      <c r="S23">
        <v>24</v>
      </c>
      <c r="T23" t="s">
        <v>164</v>
      </c>
      <c r="U23" t="s">
        <v>164</v>
      </c>
      <c r="V23" s="7">
        <v>0.68045771348797268</v>
      </c>
      <c r="W23">
        <v>45.17</v>
      </c>
      <c r="X23">
        <v>0.52400000000000002</v>
      </c>
      <c r="Y23">
        <v>46.37</v>
      </c>
      <c r="Z23">
        <v>6.9</v>
      </c>
      <c r="AA23">
        <v>6</v>
      </c>
      <c r="AB23">
        <v>25</v>
      </c>
      <c r="AC23" s="17">
        <f t="shared" si="0"/>
        <v>0.25</v>
      </c>
      <c r="AD23">
        <v>0.4</v>
      </c>
      <c r="AE23">
        <v>50</v>
      </c>
      <c r="AF23" s="11">
        <v>0.68</v>
      </c>
    </row>
    <row r="24" spans="1:32" x14ac:dyDescent="0.3">
      <c r="A24" t="s">
        <v>39</v>
      </c>
      <c r="B24" t="s">
        <v>40</v>
      </c>
      <c r="C24">
        <v>-0.02</v>
      </c>
      <c r="D24">
        <v>444.43</v>
      </c>
      <c r="E24">
        <v>2.1</v>
      </c>
      <c r="F24">
        <v>3.05</v>
      </c>
      <c r="G24">
        <v>1.55</v>
      </c>
      <c r="H24">
        <v>1.7</v>
      </c>
      <c r="I24">
        <v>2.86</v>
      </c>
      <c r="J24">
        <v>181.62</v>
      </c>
      <c r="K24" t="s">
        <v>41</v>
      </c>
      <c r="L24" t="s">
        <v>11</v>
      </c>
      <c r="M24">
        <v>8</v>
      </c>
      <c r="N24">
        <v>73.685000000000002</v>
      </c>
      <c r="O24">
        <v>8.89</v>
      </c>
      <c r="P24">
        <v>1.591</v>
      </c>
      <c r="Q24" t="s">
        <v>42</v>
      </c>
      <c r="R24">
        <v>100</v>
      </c>
      <c r="S24">
        <v>24</v>
      </c>
      <c r="T24" t="s">
        <v>164</v>
      </c>
      <c r="U24" t="s">
        <v>164</v>
      </c>
      <c r="V24" s="7">
        <v>0.68045771348797268</v>
      </c>
      <c r="W24">
        <v>45.17</v>
      </c>
      <c r="X24">
        <v>0.52400000000000002</v>
      </c>
      <c r="Y24">
        <v>46.37</v>
      </c>
      <c r="Z24">
        <v>6.9</v>
      </c>
      <c r="AA24">
        <v>6</v>
      </c>
      <c r="AB24">
        <v>30</v>
      </c>
      <c r="AC24" s="17">
        <f t="shared" si="0"/>
        <v>0.25</v>
      </c>
      <c r="AD24">
        <v>0.4</v>
      </c>
      <c r="AE24">
        <v>50</v>
      </c>
      <c r="AF24" s="11">
        <v>0.63200000000000001</v>
      </c>
    </row>
    <row r="25" spans="1:32" x14ac:dyDescent="0.3">
      <c r="A25" t="s">
        <v>39</v>
      </c>
      <c r="B25" t="s">
        <v>40</v>
      </c>
      <c r="C25">
        <v>-0.02</v>
      </c>
      <c r="D25">
        <v>444.43</v>
      </c>
      <c r="E25">
        <v>2.1</v>
      </c>
      <c r="F25">
        <v>3.05</v>
      </c>
      <c r="G25">
        <v>1.55</v>
      </c>
      <c r="H25">
        <v>1.7</v>
      </c>
      <c r="I25">
        <v>2.86</v>
      </c>
      <c r="J25">
        <v>181.62</v>
      </c>
      <c r="K25" t="s">
        <v>41</v>
      </c>
      <c r="L25" t="s">
        <v>11</v>
      </c>
      <c r="M25">
        <v>8</v>
      </c>
      <c r="N25">
        <v>73.685000000000002</v>
      </c>
      <c r="O25">
        <v>8.89</v>
      </c>
      <c r="P25">
        <v>1.591</v>
      </c>
      <c r="Q25" t="s">
        <v>42</v>
      </c>
      <c r="R25">
        <v>100</v>
      </c>
      <c r="S25">
        <v>24</v>
      </c>
      <c r="T25" t="s">
        <v>164</v>
      </c>
      <c r="U25" t="s">
        <v>164</v>
      </c>
      <c r="V25" s="7">
        <v>0.68045771348797268</v>
      </c>
      <c r="W25">
        <v>45.17</v>
      </c>
      <c r="X25">
        <v>0.52400000000000002</v>
      </c>
      <c r="Y25">
        <v>46.37</v>
      </c>
      <c r="Z25">
        <v>6.9</v>
      </c>
      <c r="AA25">
        <v>6</v>
      </c>
      <c r="AB25">
        <v>35</v>
      </c>
      <c r="AC25" s="17">
        <f t="shared" si="0"/>
        <v>0.25</v>
      </c>
      <c r="AD25">
        <v>0.4</v>
      </c>
      <c r="AE25">
        <v>50</v>
      </c>
      <c r="AF25" s="11">
        <v>0.6</v>
      </c>
    </row>
    <row r="26" spans="1:32" x14ac:dyDescent="0.3">
      <c r="A26" t="s">
        <v>39</v>
      </c>
      <c r="B26" t="s">
        <v>40</v>
      </c>
      <c r="C26">
        <v>-0.02</v>
      </c>
      <c r="D26">
        <v>444.43</v>
      </c>
      <c r="E26">
        <v>2.1</v>
      </c>
      <c r="F26">
        <v>3.05</v>
      </c>
      <c r="G26">
        <v>1.55</v>
      </c>
      <c r="H26">
        <v>1.7</v>
      </c>
      <c r="I26">
        <v>2.86</v>
      </c>
      <c r="J26">
        <v>181.62</v>
      </c>
      <c r="K26" t="s">
        <v>41</v>
      </c>
      <c r="L26" t="s">
        <v>11</v>
      </c>
      <c r="M26">
        <v>8</v>
      </c>
      <c r="N26">
        <v>73.685000000000002</v>
      </c>
      <c r="O26">
        <v>8.89</v>
      </c>
      <c r="P26">
        <v>1.591</v>
      </c>
      <c r="Q26" t="s">
        <v>42</v>
      </c>
      <c r="R26">
        <v>100</v>
      </c>
      <c r="S26">
        <v>24</v>
      </c>
      <c r="T26" t="s">
        <v>164</v>
      </c>
      <c r="U26" t="s">
        <v>164</v>
      </c>
      <c r="V26" s="7">
        <v>0.68045771348797268</v>
      </c>
      <c r="W26">
        <v>45.17</v>
      </c>
      <c r="X26">
        <v>0.52400000000000002</v>
      </c>
      <c r="Y26">
        <v>46.37</v>
      </c>
      <c r="Z26">
        <v>6.9</v>
      </c>
      <c r="AA26">
        <v>6</v>
      </c>
      <c r="AB26">
        <v>40</v>
      </c>
      <c r="AC26" s="17">
        <f t="shared" si="0"/>
        <v>0.25</v>
      </c>
      <c r="AD26">
        <v>0.4</v>
      </c>
      <c r="AE26">
        <v>50</v>
      </c>
      <c r="AF26" s="11">
        <v>0.55200000000000005</v>
      </c>
    </row>
    <row r="27" spans="1:32" x14ac:dyDescent="0.3">
      <c r="A27" t="s">
        <v>39</v>
      </c>
      <c r="B27" t="s">
        <v>40</v>
      </c>
      <c r="C27">
        <v>-0.02</v>
      </c>
      <c r="D27">
        <v>444.43</v>
      </c>
      <c r="E27">
        <v>2.1</v>
      </c>
      <c r="F27">
        <v>3.05</v>
      </c>
      <c r="G27">
        <v>1.55</v>
      </c>
      <c r="H27">
        <v>1.7</v>
      </c>
      <c r="I27">
        <v>2.86</v>
      </c>
      <c r="J27">
        <v>181.62</v>
      </c>
      <c r="K27" t="s">
        <v>41</v>
      </c>
      <c r="L27" t="s">
        <v>11</v>
      </c>
      <c r="M27">
        <v>8</v>
      </c>
      <c r="N27">
        <v>73.685000000000002</v>
      </c>
      <c r="O27">
        <v>8.89</v>
      </c>
      <c r="P27">
        <v>1.591</v>
      </c>
      <c r="Q27" t="s">
        <v>42</v>
      </c>
      <c r="R27">
        <v>100</v>
      </c>
      <c r="S27">
        <v>24</v>
      </c>
      <c r="T27" t="s">
        <v>164</v>
      </c>
      <c r="U27" t="s">
        <v>164</v>
      </c>
      <c r="V27" s="7">
        <v>0.68045771348797268</v>
      </c>
      <c r="W27">
        <v>45.17</v>
      </c>
      <c r="X27">
        <v>0.52400000000000002</v>
      </c>
      <c r="Y27">
        <v>46.37</v>
      </c>
      <c r="Z27">
        <v>6.9</v>
      </c>
      <c r="AA27">
        <v>6</v>
      </c>
      <c r="AB27">
        <v>45</v>
      </c>
      <c r="AC27" s="17">
        <f t="shared" si="0"/>
        <v>0.25</v>
      </c>
      <c r="AD27">
        <v>0.4</v>
      </c>
      <c r="AE27">
        <v>50</v>
      </c>
      <c r="AF27" s="11">
        <v>0.43200000000000005</v>
      </c>
    </row>
    <row r="28" spans="1:32" x14ac:dyDescent="0.3">
      <c r="A28" t="s">
        <v>39</v>
      </c>
      <c r="B28" t="s">
        <v>40</v>
      </c>
      <c r="C28">
        <v>-0.02</v>
      </c>
      <c r="D28">
        <v>444.43</v>
      </c>
      <c r="E28">
        <v>2.1</v>
      </c>
      <c r="F28">
        <v>3.05</v>
      </c>
      <c r="G28">
        <v>1.55</v>
      </c>
      <c r="H28">
        <v>1.7</v>
      </c>
      <c r="I28">
        <v>2.86</v>
      </c>
      <c r="J28">
        <v>181.62</v>
      </c>
      <c r="K28" t="s">
        <v>41</v>
      </c>
      <c r="L28" t="s">
        <v>11</v>
      </c>
      <c r="M28">
        <v>8</v>
      </c>
      <c r="N28">
        <v>73.685000000000002</v>
      </c>
      <c r="O28">
        <v>8.89</v>
      </c>
      <c r="P28">
        <v>1.591</v>
      </c>
      <c r="Q28" t="s">
        <v>42</v>
      </c>
      <c r="R28">
        <v>100</v>
      </c>
      <c r="S28">
        <v>24</v>
      </c>
      <c r="T28" t="s">
        <v>164</v>
      </c>
      <c r="U28" t="s">
        <v>164</v>
      </c>
      <c r="V28" s="7">
        <v>0.68045771348797268</v>
      </c>
      <c r="W28">
        <v>45.17</v>
      </c>
      <c r="X28">
        <v>0.52400000000000002</v>
      </c>
      <c r="Y28">
        <v>46.37</v>
      </c>
      <c r="Z28">
        <v>6.9</v>
      </c>
      <c r="AA28">
        <v>6</v>
      </c>
      <c r="AB28">
        <v>25</v>
      </c>
      <c r="AC28" s="17">
        <f t="shared" si="0"/>
        <v>0.25</v>
      </c>
      <c r="AD28">
        <f>5/50</f>
        <v>0.1</v>
      </c>
      <c r="AE28">
        <v>50</v>
      </c>
      <c r="AF28" s="11">
        <v>0.1</v>
      </c>
    </row>
    <row r="29" spans="1:32" x14ac:dyDescent="0.3">
      <c r="A29" t="s">
        <v>39</v>
      </c>
      <c r="B29" t="s">
        <v>40</v>
      </c>
      <c r="C29">
        <v>-0.02</v>
      </c>
      <c r="D29">
        <v>444.43</v>
      </c>
      <c r="E29">
        <v>2.1</v>
      </c>
      <c r="F29">
        <v>3.05</v>
      </c>
      <c r="G29">
        <v>1.55</v>
      </c>
      <c r="H29">
        <v>1.7</v>
      </c>
      <c r="I29">
        <v>2.86</v>
      </c>
      <c r="J29">
        <v>181.62</v>
      </c>
      <c r="K29" t="s">
        <v>41</v>
      </c>
      <c r="L29" t="s">
        <v>11</v>
      </c>
      <c r="M29">
        <v>8</v>
      </c>
      <c r="N29">
        <v>73.685000000000002</v>
      </c>
      <c r="O29">
        <v>8.89</v>
      </c>
      <c r="P29">
        <v>1.591</v>
      </c>
      <c r="Q29" t="s">
        <v>42</v>
      </c>
      <c r="R29">
        <v>100</v>
      </c>
      <c r="S29">
        <v>24</v>
      </c>
      <c r="T29" t="s">
        <v>164</v>
      </c>
      <c r="U29" t="s">
        <v>164</v>
      </c>
      <c r="V29" s="7">
        <v>0.68045771348797268</v>
      </c>
      <c r="W29">
        <v>45.17</v>
      </c>
      <c r="X29">
        <v>0.52400000000000002</v>
      </c>
      <c r="Y29">
        <v>46.37</v>
      </c>
      <c r="Z29">
        <v>6.9</v>
      </c>
      <c r="AA29">
        <v>6</v>
      </c>
      <c r="AB29">
        <v>25</v>
      </c>
      <c r="AC29" s="17">
        <f t="shared" si="0"/>
        <v>0.25</v>
      </c>
      <c r="AD29">
        <f>10/50</f>
        <v>0.2</v>
      </c>
      <c r="AE29">
        <v>50</v>
      </c>
      <c r="AF29" s="11">
        <v>0.26</v>
      </c>
    </row>
    <row r="30" spans="1:32" x14ac:dyDescent="0.3">
      <c r="A30" t="s">
        <v>39</v>
      </c>
      <c r="B30" t="s">
        <v>40</v>
      </c>
      <c r="C30">
        <v>-0.02</v>
      </c>
      <c r="D30">
        <v>444.43</v>
      </c>
      <c r="E30">
        <v>2.1</v>
      </c>
      <c r="F30">
        <v>3.05</v>
      </c>
      <c r="G30">
        <v>1.55</v>
      </c>
      <c r="H30">
        <v>1.7</v>
      </c>
      <c r="I30">
        <v>2.86</v>
      </c>
      <c r="J30">
        <v>181.62</v>
      </c>
      <c r="K30" t="s">
        <v>41</v>
      </c>
      <c r="L30" t="s">
        <v>11</v>
      </c>
      <c r="M30">
        <v>8</v>
      </c>
      <c r="N30">
        <v>73.685000000000002</v>
      </c>
      <c r="O30">
        <v>8.89</v>
      </c>
      <c r="P30">
        <v>1.591</v>
      </c>
      <c r="Q30" t="s">
        <v>42</v>
      </c>
      <c r="R30">
        <v>100</v>
      </c>
      <c r="S30">
        <v>24</v>
      </c>
      <c r="T30" t="s">
        <v>164</v>
      </c>
      <c r="U30" t="s">
        <v>164</v>
      </c>
      <c r="V30" s="7">
        <v>0.68045771348797268</v>
      </c>
      <c r="W30">
        <v>45.17</v>
      </c>
      <c r="X30">
        <v>0.52400000000000002</v>
      </c>
      <c r="Y30">
        <v>46.37</v>
      </c>
      <c r="Z30">
        <v>6.9</v>
      </c>
      <c r="AA30">
        <v>6</v>
      </c>
      <c r="AB30">
        <v>25</v>
      </c>
      <c r="AC30" s="17">
        <f t="shared" si="0"/>
        <v>0.25</v>
      </c>
      <c r="AD30">
        <f>15/50</f>
        <v>0.3</v>
      </c>
      <c r="AE30">
        <v>50</v>
      </c>
      <c r="AF30" s="11">
        <v>0.504</v>
      </c>
    </row>
    <row r="31" spans="1:32" x14ac:dyDescent="0.3">
      <c r="A31" t="s">
        <v>39</v>
      </c>
      <c r="B31" t="s">
        <v>40</v>
      </c>
      <c r="C31">
        <v>-0.02</v>
      </c>
      <c r="D31">
        <v>444.43</v>
      </c>
      <c r="E31">
        <v>2.1</v>
      </c>
      <c r="F31">
        <v>3.05</v>
      </c>
      <c r="G31">
        <v>1.55</v>
      </c>
      <c r="H31">
        <v>1.7</v>
      </c>
      <c r="I31">
        <v>2.86</v>
      </c>
      <c r="J31">
        <v>181.62</v>
      </c>
      <c r="K31" t="s">
        <v>41</v>
      </c>
      <c r="L31" t="s">
        <v>11</v>
      </c>
      <c r="M31">
        <v>8</v>
      </c>
      <c r="N31">
        <v>73.685000000000002</v>
      </c>
      <c r="O31">
        <v>8.89</v>
      </c>
      <c r="P31">
        <v>1.591</v>
      </c>
      <c r="Q31" t="s">
        <v>42</v>
      </c>
      <c r="R31">
        <v>100</v>
      </c>
      <c r="S31">
        <v>24</v>
      </c>
      <c r="T31" t="s">
        <v>164</v>
      </c>
      <c r="U31" t="s">
        <v>164</v>
      </c>
      <c r="V31" s="7">
        <v>0.68045771348797268</v>
      </c>
      <c r="W31">
        <v>45.17</v>
      </c>
      <c r="X31">
        <v>0.52400000000000002</v>
      </c>
      <c r="Y31">
        <v>46.37</v>
      </c>
      <c r="Z31">
        <v>6.9</v>
      </c>
      <c r="AA31">
        <v>6</v>
      </c>
      <c r="AB31">
        <v>25</v>
      </c>
      <c r="AC31" s="17">
        <f t="shared" si="0"/>
        <v>0.25</v>
      </c>
      <c r="AD31">
        <f>20/50</f>
        <v>0.4</v>
      </c>
      <c r="AE31">
        <v>50</v>
      </c>
      <c r="AF31" s="15">
        <v>0.68</v>
      </c>
    </row>
    <row r="32" spans="1:32" x14ac:dyDescent="0.3">
      <c r="A32" t="s">
        <v>39</v>
      </c>
      <c r="B32" t="s">
        <v>40</v>
      </c>
      <c r="C32">
        <v>-0.02</v>
      </c>
      <c r="D32">
        <v>444.43</v>
      </c>
      <c r="E32">
        <v>2.1</v>
      </c>
      <c r="F32">
        <v>3.05</v>
      </c>
      <c r="G32">
        <v>1.55</v>
      </c>
      <c r="H32">
        <v>1.7</v>
      </c>
      <c r="I32">
        <v>2.86</v>
      </c>
      <c r="J32">
        <v>181.62</v>
      </c>
      <c r="K32" t="s">
        <v>41</v>
      </c>
      <c r="L32" t="s">
        <v>11</v>
      </c>
      <c r="M32">
        <v>8</v>
      </c>
      <c r="N32">
        <v>73.685000000000002</v>
      </c>
      <c r="O32">
        <v>8.89</v>
      </c>
      <c r="P32">
        <v>1.591</v>
      </c>
      <c r="Q32" t="s">
        <v>42</v>
      </c>
      <c r="R32">
        <v>100</v>
      </c>
      <c r="S32">
        <v>24</v>
      </c>
      <c r="T32" t="s">
        <v>164</v>
      </c>
      <c r="U32" t="s">
        <v>164</v>
      </c>
      <c r="V32" s="7">
        <v>0.68045771348797268</v>
      </c>
      <c r="W32">
        <v>45.17</v>
      </c>
      <c r="X32">
        <v>0.52400000000000002</v>
      </c>
      <c r="Y32">
        <v>46.37</v>
      </c>
      <c r="Z32">
        <v>6.9</v>
      </c>
      <c r="AA32">
        <v>6</v>
      </c>
      <c r="AB32">
        <v>25</v>
      </c>
      <c r="AC32" s="17">
        <f t="shared" si="0"/>
        <v>0.25</v>
      </c>
      <c r="AD32">
        <v>0.5</v>
      </c>
      <c r="AE32">
        <v>50</v>
      </c>
      <c r="AF32" s="15">
        <v>0.68</v>
      </c>
    </row>
    <row r="33" spans="1:32" x14ac:dyDescent="0.3">
      <c r="A33" t="s">
        <v>39</v>
      </c>
      <c r="B33" t="s">
        <v>40</v>
      </c>
      <c r="C33">
        <v>-0.02</v>
      </c>
      <c r="D33">
        <v>444.43</v>
      </c>
      <c r="E33">
        <v>2.1</v>
      </c>
      <c r="F33">
        <v>3.05</v>
      </c>
      <c r="G33">
        <v>1.55</v>
      </c>
      <c r="H33">
        <v>1.7</v>
      </c>
      <c r="I33">
        <v>2.86</v>
      </c>
      <c r="J33">
        <v>181.62</v>
      </c>
      <c r="K33" t="s">
        <v>41</v>
      </c>
      <c r="L33" t="s">
        <v>11</v>
      </c>
      <c r="M33">
        <v>8</v>
      </c>
      <c r="N33">
        <v>73.685000000000002</v>
      </c>
      <c r="O33">
        <v>8.89</v>
      </c>
      <c r="P33">
        <v>1.591</v>
      </c>
      <c r="Q33" t="s">
        <v>42</v>
      </c>
      <c r="R33">
        <v>100</v>
      </c>
      <c r="S33">
        <v>24</v>
      </c>
      <c r="T33" t="s">
        <v>164</v>
      </c>
      <c r="U33" t="s">
        <v>164</v>
      </c>
      <c r="V33" s="7">
        <v>0.68045771348797268</v>
      </c>
      <c r="W33">
        <v>45.17</v>
      </c>
      <c r="X33">
        <v>0.52400000000000002</v>
      </c>
      <c r="Y33">
        <v>46.37</v>
      </c>
      <c r="Z33">
        <v>6.9</v>
      </c>
      <c r="AA33">
        <v>6</v>
      </c>
      <c r="AB33">
        <v>25</v>
      </c>
      <c r="AC33" s="17">
        <f t="shared" si="0"/>
        <v>0.25</v>
      </c>
      <c r="AD33">
        <v>0.6</v>
      </c>
      <c r="AE33">
        <v>50</v>
      </c>
      <c r="AF33" s="15">
        <v>0.68</v>
      </c>
    </row>
    <row r="34" spans="1:32" x14ac:dyDescent="0.3">
      <c r="A34" t="s">
        <v>43</v>
      </c>
      <c r="B34" t="s">
        <v>44</v>
      </c>
      <c r="C34">
        <v>-0.25</v>
      </c>
      <c r="D34">
        <v>361.37</v>
      </c>
      <c r="E34">
        <v>1.65</v>
      </c>
      <c r="F34">
        <v>2.1</v>
      </c>
      <c r="G34">
        <v>0.7</v>
      </c>
      <c r="H34">
        <v>1.4</v>
      </c>
      <c r="I34" s="7">
        <v>2.5043000000000002</v>
      </c>
      <c r="J34" s="10">
        <v>76.2</v>
      </c>
      <c r="K34" s="7" t="s">
        <v>137</v>
      </c>
      <c r="L34" t="s">
        <v>46</v>
      </c>
      <c r="M34">
        <v>4</v>
      </c>
      <c r="N34">
        <v>60.893999999999998</v>
      </c>
      <c r="O34">
        <v>7.8</v>
      </c>
      <c r="P34">
        <v>1.778</v>
      </c>
      <c r="Q34" t="s">
        <v>47</v>
      </c>
      <c r="R34">
        <v>70</v>
      </c>
      <c r="S34">
        <v>24</v>
      </c>
      <c r="T34" t="s">
        <v>164</v>
      </c>
      <c r="U34" t="s">
        <v>164</v>
      </c>
      <c r="V34" s="7">
        <v>0.76224839171129977</v>
      </c>
      <c r="W34">
        <v>81.165000000000006</v>
      </c>
      <c r="X34">
        <v>0.21099999999999999</v>
      </c>
      <c r="Y34">
        <v>10.401</v>
      </c>
      <c r="Z34">
        <v>7</v>
      </c>
      <c r="AA34">
        <v>3</v>
      </c>
      <c r="AB34">
        <v>25</v>
      </c>
      <c r="AC34" s="17">
        <v>2</v>
      </c>
      <c r="AD34">
        <v>0.9</v>
      </c>
      <c r="AE34">
        <v>25</v>
      </c>
      <c r="AF34" s="11">
        <v>0.43</v>
      </c>
    </row>
    <row r="35" spans="1:32" x14ac:dyDescent="0.3">
      <c r="A35" t="s">
        <v>43</v>
      </c>
      <c r="B35" t="s">
        <v>44</v>
      </c>
      <c r="C35">
        <v>-0.25</v>
      </c>
      <c r="D35">
        <v>361.37</v>
      </c>
      <c r="E35">
        <v>1.65</v>
      </c>
      <c r="F35">
        <v>2.1</v>
      </c>
      <c r="G35">
        <v>0.7</v>
      </c>
      <c r="H35">
        <v>1.4</v>
      </c>
      <c r="I35" s="7">
        <v>2.5043000000000002</v>
      </c>
      <c r="J35" s="10">
        <v>76.2</v>
      </c>
      <c r="K35" s="7" t="s">
        <v>137</v>
      </c>
      <c r="L35" t="s">
        <v>46</v>
      </c>
      <c r="M35">
        <v>4</v>
      </c>
      <c r="N35">
        <v>60.893999999999998</v>
      </c>
      <c r="O35">
        <v>7.8</v>
      </c>
      <c r="P35">
        <v>1.778</v>
      </c>
      <c r="Q35" t="s">
        <v>47</v>
      </c>
      <c r="R35">
        <v>70</v>
      </c>
      <c r="S35">
        <v>24</v>
      </c>
      <c r="T35" t="s">
        <v>164</v>
      </c>
      <c r="U35" t="s">
        <v>164</v>
      </c>
      <c r="V35" s="7">
        <v>0.76224839171129977</v>
      </c>
      <c r="W35">
        <v>81.165000000000006</v>
      </c>
      <c r="X35">
        <v>0.21099999999999999</v>
      </c>
      <c r="Y35">
        <v>10.401</v>
      </c>
      <c r="Z35">
        <v>7</v>
      </c>
      <c r="AA35">
        <v>5</v>
      </c>
      <c r="AB35">
        <v>25</v>
      </c>
      <c r="AC35" s="17">
        <v>2</v>
      </c>
      <c r="AD35">
        <v>0.9</v>
      </c>
      <c r="AE35">
        <v>25</v>
      </c>
      <c r="AF35" s="11">
        <v>0.65</v>
      </c>
    </row>
    <row r="36" spans="1:32" x14ac:dyDescent="0.3">
      <c r="A36" t="s">
        <v>43</v>
      </c>
      <c r="B36" t="s">
        <v>44</v>
      </c>
      <c r="C36">
        <v>-0.25</v>
      </c>
      <c r="D36">
        <v>361.37</v>
      </c>
      <c r="E36">
        <v>1.65</v>
      </c>
      <c r="F36">
        <v>2.1</v>
      </c>
      <c r="G36">
        <v>0.7</v>
      </c>
      <c r="H36">
        <v>1.4</v>
      </c>
      <c r="I36" s="7">
        <v>2.5043000000000002</v>
      </c>
      <c r="J36" s="10">
        <v>76.2</v>
      </c>
      <c r="K36" s="7" t="s">
        <v>137</v>
      </c>
      <c r="L36" t="s">
        <v>46</v>
      </c>
      <c r="M36">
        <v>4</v>
      </c>
      <c r="N36">
        <v>60.893999999999998</v>
      </c>
      <c r="O36">
        <v>7.8</v>
      </c>
      <c r="P36">
        <v>1.778</v>
      </c>
      <c r="Q36" t="s">
        <v>47</v>
      </c>
      <c r="R36">
        <v>70</v>
      </c>
      <c r="S36">
        <v>24</v>
      </c>
      <c r="T36" t="s">
        <v>164</v>
      </c>
      <c r="U36" t="s">
        <v>164</v>
      </c>
      <c r="V36" s="7">
        <v>0.76224839171129977</v>
      </c>
      <c r="W36">
        <v>81.165000000000006</v>
      </c>
      <c r="X36">
        <v>0.21099999999999999</v>
      </c>
      <c r="Y36">
        <v>10.401</v>
      </c>
      <c r="Z36">
        <v>7</v>
      </c>
      <c r="AA36">
        <v>7</v>
      </c>
      <c r="AB36">
        <v>25</v>
      </c>
      <c r="AC36" s="17">
        <v>2</v>
      </c>
      <c r="AD36">
        <v>0.9</v>
      </c>
      <c r="AE36">
        <v>25</v>
      </c>
      <c r="AF36" s="11">
        <v>0.77</v>
      </c>
    </row>
    <row r="37" spans="1:32" x14ac:dyDescent="0.3">
      <c r="A37" t="s">
        <v>43</v>
      </c>
      <c r="B37" t="s">
        <v>44</v>
      </c>
      <c r="C37">
        <v>-0.25</v>
      </c>
      <c r="D37">
        <v>361.37</v>
      </c>
      <c r="E37">
        <v>1.65</v>
      </c>
      <c r="F37">
        <v>2.1</v>
      </c>
      <c r="G37">
        <v>0.7</v>
      </c>
      <c r="H37">
        <v>1.4</v>
      </c>
      <c r="I37" s="7">
        <v>2.5043000000000002</v>
      </c>
      <c r="J37" s="10">
        <v>76.2</v>
      </c>
      <c r="K37" s="7" t="s">
        <v>137</v>
      </c>
      <c r="L37" t="s">
        <v>46</v>
      </c>
      <c r="M37">
        <v>4</v>
      </c>
      <c r="N37">
        <v>60.893999999999998</v>
      </c>
      <c r="O37">
        <v>7.8</v>
      </c>
      <c r="P37">
        <v>1.778</v>
      </c>
      <c r="Q37" t="s">
        <v>47</v>
      </c>
      <c r="R37">
        <v>70</v>
      </c>
      <c r="S37">
        <v>24</v>
      </c>
      <c r="T37" t="s">
        <v>164</v>
      </c>
      <c r="U37" t="s">
        <v>164</v>
      </c>
      <c r="V37" s="7">
        <v>0.76224839171129977</v>
      </c>
      <c r="W37">
        <v>81.165000000000006</v>
      </c>
      <c r="X37">
        <v>0.21099999999999999</v>
      </c>
      <c r="Y37">
        <v>10.401</v>
      </c>
      <c r="Z37">
        <v>7</v>
      </c>
      <c r="AA37">
        <v>9</v>
      </c>
      <c r="AB37">
        <v>25</v>
      </c>
      <c r="AC37" s="17">
        <v>2</v>
      </c>
      <c r="AD37">
        <v>0.9</v>
      </c>
      <c r="AE37">
        <v>25</v>
      </c>
      <c r="AF37" s="11">
        <v>0.75</v>
      </c>
    </row>
    <row r="38" spans="1:32" x14ac:dyDescent="0.3">
      <c r="A38" t="s">
        <v>43</v>
      </c>
      <c r="B38" t="s">
        <v>44</v>
      </c>
      <c r="C38">
        <v>-0.25</v>
      </c>
      <c r="D38">
        <v>361.37</v>
      </c>
      <c r="E38">
        <v>1.65</v>
      </c>
      <c r="F38">
        <v>2.1</v>
      </c>
      <c r="G38">
        <v>0.7</v>
      </c>
      <c r="H38">
        <v>1.4</v>
      </c>
      <c r="I38" s="7">
        <v>2.5043000000000002</v>
      </c>
      <c r="J38" s="10">
        <v>76.2</v>
      </c>
      <c r="K38" s="7" t="s">
        <v>137</v>
      </c>
      <c r="L38" t="s">
        <v>46</v>
      </c>
      <c r="M38">
        <v>4</v>
      </c>
      <c r="N38">
        <v>60.893999999999998</v>
      </c>
      <c r="O38">
        <v>7.8</v>
      </c>
      <c r="P38">
        <v>1.778</v>
      </c>
      <c r="Q38" t="s">
        <v>47</v>
      </c>
      <c r="R38">
        <v>70</v>
      </c>
      <c r="S38">
        <v>24</v>
      </c>
      <c r="T38" t="s">
        <v>164</v>
      </c>
      <c r="U38" t="s">
        <v>164</v>
      </c>
      <c r="V38" s="7">
        <v>0.76224839171129977</v>
      </c>
      <c r="W38">
        <v>81.165000000000006</v>
      </c>
      <c r="X38">
        <v>0.21099999999999999</v>
      </c>
      <c r="Y38">
        <v>10.401</v>
      </c>
      <c r="Z38">
        <v>7</v>
      </c>
      <c r="AA38">
        <v>11</v>
      </c>
      <c r="AB38">
        <v>25</v>
      </c>
      <c r="AC38" s="17">
        <v>2</v>
      </c>
      <c r="AD38">
        <v>0.9</v>
      </c>
      <c r="AE38">
        <v>25</v>
      </c>
      <c r="AF38" s="11">
        <v>0.44</v>
      </c>
    </row>
    <row r="39" spans="1:32" x14ac:dyDescent="0.3">
      <c r="A39" t="s">
        <v>43</v>
      </c>
      <c r="B39" t="s">
        <v>44</v>
      </c>
      <c r="C39">
        <v>-0.25</v>
      </c>
      <c r="D39">
        <v>361.37</v>
      </c>
      <c r="E39">
        <v>1.65</v>
      </c>
      <c r="F39">
        <v>2.1</v>
      </c>
      <c r="G39">
        <v>0.7</v>
      </c>
      <c r="H39">
        <v>1.4</v>
      </c>
      <c r="I39" s="7">
        <v>2.5043000000000002</v>
      </c>
      <c r="J39" s="10">
        <v>76.2</v>
      </c>
      <c r="K39" s="7" t="s">
        <v>137</v>
      </c>
      <c r="L39" t="s">
        <v>46</v>
      </c>
      <c r="M39">
        <v>4</v>
      </c>
      <c r="N39">
        <v>60.893999999999998</v>
      </c>
      <c r="O39">
        <v>7.8</v>
      </c>
      <c r="P39">
        <v>1.778</v>
      </c>
      <c r="Q39" t="s">
        <v>47</v>
      </c>
      <c r="R39">
        <v>70</v>
      </c>
      <c r="S39">
        <v>24</v>
      </c>
      <c r="T39" t="s">
        <v>164</v>
      </c>
      <c r="U39" t="s">
        <v>164</v>
      </c>
      <c r="V39" s="7">
        <v>0.76224839171129977</v>
      </c>
      <c r="W39">
        <v>81.165000000000006</v>
      </c>
      <c r="X39">
        <v>0.21099999999999999</v>
      </c>
      <c r="Y39">
        <v>10.401</v>
      </c>
      <c r="Z39">
        <v>7</v>
      </c>
      <c r="AA39">
        <v>7</v>
      </c>
      <c r="AB39">
        <v>25</v>
      </c>
      <c r="AC39" s="17">
        <v>2</v>
      </c>
      <c r="AD39">
        <f>10/25</f>
        <v>0.4</v>
      </c>
      <c r="AE39">
        <v>25</v>
      </c>
      <c r="AF39" s="11">
        <v>0.2</v>
      </c>
    </row>
    <row r="40" spans="1:32" x14ac:dyDescent="0.3">
      <c r="A40" t="s">
        <v>43</v>
      </c>
      <c r="B40" t="s">
        <v>44</v>
      </c>
      <c r="C40">
        <v>-0.25</v>
      </c>
      <c r="D40">
        <v>361.37</v>
      </c>
      <c r="E40">
        <v>1.65</v>
      </c>
      <c r="F40">
        <v>2.1</v>
      </c>
      <c r="G40">
        <v>0.7</v>
      </c>
      <c r="H40">
        <v>1.4</v>
      </c>
      <c r="I40" s="7">
        <v>2.5043000000000002</v>
      </c>
      <c r="J40" s="10">
        <v>76.2</v>
      </c>
      <c r="K40" s="7" t="s">
        <v>137</v>
      </c>
      <c r="L40" t="s">
        <v>46</v>
      </c>
      <c r="M40">
        <v>4</v>
      </c>
      <c r="N40">
        <v>60.893999999999998</v>
      </c>
      <c r="O40">
        <v>7.8</v>
      </c>
      <c r="P40">
        <v>1.778</v>
      </c>
      <c r="Q40" t="s">
        <v>47</v>
      </c>
      <c r="R40">
        <v>70</v>
      </c>
      <c r="S40">
        <v>24</v>
      </c>
      <c r="T40" t="s">
        <v>164</v>
      </c>
      <c r="U40" t="s">
        <v>164</v>
      </c>
      <c r="V40" s="7">
        <v>0.76224839171129977</v>
      </c>
      <c r="W40">
        <v>81.165000000000006</v>
      </c>
      <c r="X40">
        <v>0.21099999999999999</v>
      </c>
      <c r="Y40">
        <v>10.401</v>
      </c>
      <c r="Z40">
        <v>7</v>
      </c>
      <c r="AA40">
        <v>7</v>
      </c>
      <c r="AB40">
        <v>25</v>
      </c>
      <c r="AC40" s="17">
        <v>2</v>
      </c>
      <c r="AD40">
        <f>30/25</f>
        <v>1.2</v>
      </c>
      <c r="AE40">
        <v>25</v>
      </c>
      <c r="AF40" s="11">
        <v>0.66</v>
      </c>
    </row>
    <row r="41" spans="1:32" x14ac:dyDescent="0.3">
      <c r="A41" t="s">
        <v>43</v>
      </c>
      <c r="B41" t="s">
        <v>44</v>
      </c>
      <c r="C41">
        <v>-0.25</v>
      </c>
      <c r="D41">
        <v>361.37</v>
      </c>
      <c r="E41">
        <v>1.65</v>
      </c>
      <c r="F41">
        <v>2.1</v>
      </c>
      <c r="G41">
        <v>0.7</v>
      </c>
      <c r="H41">
        <v>1.4</v>
      </c>
      <c r="I41" s="7">
        <v>2.5043000000000002</v>
      </c>
      <c r="J41" s="10">
        <v>76.2</v>
      </c>
      <c r="K41" s="7" t="s">
        <v>137</v>
      </c>
      <c r="L41" t="s">
        <v>46</v>
      </c>
      <c r="M41">
        <v>4</v>
      </c>
      <c r="N41">
        <v>60.893999999999998</v>
      </c>
      <c r="O41">
        <v>7.8</v>
      </c>
      <c r="P41">
        <v>1.778</v>
      </c>
      <c r="Q41" t="s">
        <v>47</v>
      </c>
      <c r="R41">
        <v>70</v>
      </c>
      <c r="S41">
        <v>24</v>
      </c>
      <c r="T41" t="s">
        <v>164</v>
      </c>
      <c r="U41" t="s">
        <v>164</v>
      </c>
      <c r="V41" s="7">
        <v>0.76224839171129977</v>
      </c>
      <c r="W41">
        <v>81.165000000000006</v>
      </c>
      <c r="X41">
        <v>0.21099999999999999</v>
      </c>
      <c r="Y41">
        <v>10.401</v>
      </c>
      <c r="Z41">
        <v>7</v>
      </c>
      <c r="AA41">
        <v>7</v>
      </c>
      <c r="AB41">
        <v>25</v>
      </c>
      <c r="AC41" s="17">
        <v>2</v>
      </c>
      <c r="AD41">
        <f>50/25</f>
        <v>2</v>
      </c>
      <c r="AE41">
        <v>25</v>
      </c>
      <c r="AF41" s="11">
        <v>0.69</v>
      </c>
    </row>
    <row r="42" spans="1:32" x14ac:dyDescent="0.3">
      <c r="A42" t="s">
        <v>43</v>
      </c>
      <c r="B42" t="s">
        <v>44</v>
      </c>
      <c r="C42">
        <v>-0.25</v>
      </c>
      <c r="D42">
        <v>361.37</v>
      </c>
      <c r="E42">
        <v>1.65</v>
      </c>
      <c r="F42">
        <v>2.1</v>
      </c>
      <c r="G42">
        <v>0.7</v>
      </c>
      <c r="H42">
        <v>1.4</v>
      </c>
      <c r="I42" s="7">
        <v>2.5043000000000002</v>
      </c>
      <c r="J42" s="10">
        <v>76.2</v>
      </c>
      <c r="K42" s="7" t="s">
        <v>137</v>
      </c>
      <c r="L42" t="s">
        <v>46</v>
      </c>
      <c r="M42">
        <v>4</v>
      </c>
      <c r="N42">
        <v>60.893999999999998</v>
      </c>
      <c r="O42">
        <v>7.8</v>
      </c>
      <c r="P42">
        <v>1.778</v>
      </c>
      <c r="Q42" t="s">
        <v>47</v>
      </c>
      <c r="R42">
        <v>70</v>
      </c>
      <c r="S42">
        <v>24</v>
      </c>
      <c r="T42" t="s">
        <v>164</v>
      </c>
      <c r="U42" t="s">
        <v>164</v>
      </c>
      <c r="V42" s="7">
        <v>0.76224839171129977</v>
      </c>
      <c r="W42">
        <v>81.165000000000006</v>
      </c>
      <c r="X42">
        <v>0.21099999999999999</v>
      </c>
      <c r="Y42">
        <v>10.401</v>
      </c>
      <c r="Z42">
        <v>7</v>
      </c>
      <c r="AA42">
        <v>7</v>
      </c>
      <c r="AB42">
        <v>25</v>
      </c>
      <c r="AC42" s="17">
        <v>2</v>
      </c>
      <c r="AD42">
        <f>70/25</f>
        <v>2.8</v>
      </c>
      <c r="AE42">
        <v>25</v>
      </c>
      <c r="AF42" s="11">
        <v>0.74</v>
      </c>
    </row>
    <row r="43" spans="1:32" x14ac:dyDescent="0.3">
      <c r="A43" t="s">
        <v>43</v>
      </c>
      <c r="B43" t="s">
        <v>44</v>
      </c>
      <c r="C43">
        <v>-0.25</v>
      </c>
      <c r="D43">
        <v>361.37</v>
      </c>
      <c r="E43">
        <v>1.65</v>
      </c>
      <c r="F43">
        <v>2.1</v>
      </c>
      <c r="G43">
        <v>0.7</v>
      </c>
      <c r="H43">
        <v>1.4</v>
      </c>
      <c r="I43" s="7">
        <v>2.5043000000000002</v>
      </c>
      <c r="J43" s="10">
        <v>76.2</v>
      </c>
      <c r="K43" s="7" t="s">
        <v>137</v>
      </c>
      <c r="L43" t="s">
        <v>46</v>
      </c>
      <c r="M43">
        <v>4</v>
      </c>
      <c r="N43">
        <v>60.893999999999998</v>
      </c>
      <c r="O43">
        <v>7.8</v>
      </c>
      <c r="P43">
        <v>1.778</v>
      </c>
      <c r="Q43" t="s">
        <v>47</v>
      </c>
      <c r="R43">
        <v>70</v>
      </c>
      <c r="S43">
        <v>24</v>
      </c>
      <c r="T43" t="s">
        <v>164</v>
      </c>
      <c r="U43" t="s">
        <v>164</v>
      </c>
      <c r="V43" s="7">
        <v>0.76224839171129977</v>
      </c>
      <c r="W43">
        <v>81.165000000000006</v>
      </c>
      <c r="X43">
        <v>0.21099999999999999</v>
      </c>
      <c r="Y43">
        <v>10.401</v>
      </c>
      <c r="Z43">
        <v>7</v>
      </c>
      <c r="AA43">
        <v>7</v>
      </c>
      <c r="AB43">
        <v>25</v>
      </c>
      <c r="AC43" s="17">
        <v>2</v>
      </c>
      <c r="AD43">
        <f>90/25</f>
        <v>3.6</v>
      </c>
      <c r="AE43">
        <v>25</v>
      </c>
      <c r="AF43" s="11">
        <v>0.76</v>
      </c>
    </row>
    <row r="44" spans="1:32" x14ac:dyDescent="0.3">
      <c r="A44" t="s">
        <v>43</v>
      </c>
      <c r="B44" t="s">
        <v>44</v>
      </c>
      <c r="C44">
        <v>-0.25</v>
      </c>
      <c r="D44">
        <v>361.37</v>
      </c>
      <c r="E44">
        <v>1.65</v>
      </c>
      <c r="F44">
        <v>2.1</v>
      </c>
      <c r="G44">
        <v>0.7</v>
      </c>
      <c r="H44">
        <v>1.4</v>
      </c>
      <c r="I44" s="7">
        <v>2.5043000000000002</v>
      </c>
      <c r="J44" s="10">
        <v>76.2</v>
      </c>
      <c r="K44" s="7" t="s">
        <v>137</v>
      </c>
      <c r="L44" t="s">
        <v>46</v>
      </c>
      <c r="M44">
        <v>4</v>
      </c>
      <c r="N44">
        <v>60.893999999999998</v>
      </c>
      <c r="O44">
        <v>7.8</v>
      </c>
      <c r="P44">
        <v>1.778</v>
      </c>
      <c r="Q44" t="s">
        <v>47</v>
      </c>
      <c r="R44">
        <v>70</v>
      </c>
      <c r="S44">
        <v>24</v>
      </c>
      <c r="T44" t="s">
        <v>164</v>
      </c>
      <c r="U44" t="s">
        <v>164</v>
      </c>
      <c r="V44" s="7">
        <v>0.76224839171129977</v>
      </c>
      <c r="W44">
        <v>81.165000000000006</v>
      </c>
      <c r="X44">
        <v>0.21099999999999999</v>
      </c>
      <c r="Y44">
        <v>10.401</v>
      </c>
      <c r="Z44">
        <v>7</v>
      </c>
      <c r="AA44">
        <v>7</v>
      </c>
      <c r="AB44">
        <v>25</v>
      </c>
      <c r="AC44" s="17">
        <v>2</v>
      </c>
      <c r="AD44">
        <f>110/25</f>
        <v>4.4000000000000004</v>
      </c>
      <c r="AE44">
        <v>25</v>
      </c>
      <c r="AF44" s="11">
        <v>0.8</v>
      </c>
    </row>
    <row r="45" spans="1:32" x14ac:dyDescent="0.3">
      <c r="A45" t="s">
        <v>43</v>
      </c>
      <c r="B45" t="s">
        <v>44</v>
      </c>
      <c r="C45">
        <v>-0.25</v>
      </c>
      <c r="D45">
        <v>361.37</v>
      </c>
      <c r="E45">
        <v>1.65</v>
      </c>
      <c r="F45">
        <v>2.1</v>
      </c>
      <c r="G45">
        <v>0.7</v>
      </c>
      <c r="H45">
        <v>1.4</v>
      </c>
      <c r="I45" s="7">
        <v>2.5043000000000002</v>
      </c>
      <c r="J45" s="10">
        <v>76.2</v>
      </c>
      <c r="K45" s="7" t="s">
        <v>137</v>
      </c>
      <c r="L45" t="s">
        <v>46</v>
      </c>
      <c r="M45">
        <v>4</v>
      </c>
      <c r="N45">
        <v>60.893999999999998</v>
      </c>
      <c r="O45">
        <v>7.8</v>
      </c>
      <c r="P45">
        <v>1.778</v>
      </c>
      <c r="Q45" t="s">
        <v>47</v>
      </c>
      <c r="R45">
        <v>70</v>
      </c>
      <c r="S45">
        <v>24</v>
      </c>
      <c r="T45" t="s">
        <v>164</v>
      </c>
      <c r="U45" t="s">
        <v>164</v>
      </c>
      <c r="V45" s="7">
        <v>0.76224839171129977</v>
      </c>
      <c r="W45">
        <v>81.165000000000006</v>
      </c>
      <c r="X45">
        <v>0.21099999999999999</v>
      </c>
      <c r="Y45">
        <v>10.401</v>
      </c>
      <c r="Z45">
        <v>7</v>
      </c>
      <c r="AA45">
        <v>7</v>
      </c>
      <c r="AB45">
        <v>25</v>
      </c>
      <c r="AC45" s="17">
        <v>2</v>
      </c>
      <c r="AD45">
        <f>130/25</f>
        <v>5.2</v>
      </c>
      <c r="AE45">
        <v>25</v>
      </c>
      <c r="AF45" s="11">
        <v>0.69</v>
      </c>
    </row>
    <row r="46" spans="1:32" x14ac:dyDescent="0.3">
      <c r="A46" t="s">
        <v>43</v>
      </c>
      <c r="B46" t="s">
        <v>44</v>
      </c>
      <c r="C46">
        <v>-0.25</v>
      </c>
      <c r="D46">
        <v>361.37</v>
      </c>
      <c r="E46">
        <v>1.65</v>
      </c>
      <c r="F46">
        <v>2.1</v>
      </c>
      <c r="G46">
        <v>0.7</v>
      </c>
      <c r="H46">
        <v>1.4</v>
      </c>
      <c r="I46" s="7">
        <v>2.5043000000000002</v>
      </c>
      <c r="J46" s="10">
        <v>76.2</v>
      </c>
      <c r="K46" s="7" t="s">
        <v>137</v>
      </c>
      <c r="L46" t="s">
        <v>46</v>
      </c>
      <c r="M46">
        <v>4</v>
      </c>
      <c r="N46">
        <v>60.893999999999998</v>
      </c>
      <c r="O46">
        <v>7.8</v>
      </c>
      <c r="P46">
        <v>1.778</v>
      </c>
      <c r="Q46" t="s">
        <v>47</v>
      </c>
      <c r="R46">
        <v>70</v>
      </c>
      <c r="S46">
        <v>24</v>
      </c>
      <c r="T46" t="s">
        <v>164</v>
      </c>
      <c r="U46" t="s">
        <v>164</v>
      </c>
      <c r="V46" s="7">
        <v>0.76224839171129977</v>
      </c>
      <c r="W46">
        <v>81.165000000000006</v>
      </c>
      <c r="X46">
        <v>0.21099999999999999</v>
      </c>
      <c r="Y46">
        <v>10.401</v>
      </c>
      <c r="Z46">
        <v>7</v>
      </c>
      <c r="AA46">
        <v>7</v>
      </c>
      <c r="AB46">
        <v>25</v>
      </c>
      <c r="AC46" s="17">
        <v>2</v>
      </c>
      <c r="AD46">
        <f>150/25</f>
        <v>6</v>
      </c>
      <c r="AE46">
        <v>25</v>
      </c>
      <c r="AF46" s="11">
        <v>0.69</v>
      </c>
    </row>
    <row r="47" spans="1:32" x14ac:dyDescent="0.3">
      <c r="A47" t="s">
        <v>43</v>
      </c>
      <c r="B47" t="s">
        <v>44</v>
      </c>
      <c r="C47">
        <v>-0.25</v>
      </c>
      <c r="D47">
        <v>361.37</v>
      </c>
      <c r="E47">
        <v>1.65</v>
      </c>
      <c r="F47">
        <v>2.1</v>
      </c>
      <c r="G47">
        <v>0.7</v>
      </c>
      <c r="H47">
        <v>1.4</v>
      </c>
      <c r="I47" s="7">
        <v>2.5043000000000002</v>
      </c>
      <c r="J47" s="10">
        <v>76.2</v>
      </c>
      <c r="K47" s="7" t="s">
        <v>137</v>
      </c>
      <c r="L47" t="s">
        <v>46</v>
      </c>
      <c r="M47">
        <v>4</v>
      </c>
      <c r="N47">
        <v>60.893999999999998</v>
      </c>
      <c r="O47">
        <v>7.8</v>
      </c>
      <c r="P47">
        <v>1.778</v>
      </c>
      <c r="Q47" t="s">
        <v>47</v>
      </c>
      <c r="R47">
        <v>70</v>
      </c>
      <c r="S47">
        <v>24</v>
      </c>
      <c r="T47" t="s">
        <v>164</v>
      </c>
      <c r="U47" t="s">
        <v>164</v>
      </c>
      <c r="V47" s="7">
        <v>0.76224839171129977</v>
      </c>
      <c r="W47">
        <v>81.165000000000006</v>
      </c>
      <c r="X47">
        <v>0.21099999999999999</v>
      </c>
      <c r="Y47">
        <v>10.401</v>
      </c>
      <c r="Z47">
        <v>7</v>
      </c>
      <c r="AA47">
        <v>7</v>
      </c>
      <c r="AB47">
        <v>25</v>
      </c>
      <c r="AC47" s="17">
        <v>2</v>
      </c>
      <c r="AD47">
        <f>200/25</f>
        <v>8</v>
      </c>
      <c r="AE47">
        <v>25</v>
      </c>
      <c r="AF47" s="11">
        <v>0.69</v>
      </c>
    </row>
    <row r="48" spans="1:32" x14ac:dyDescent="0.3">
      <c r="A48" t="s">
        <v>43</v>
      </c>
      <c r="B48" t="s">
        <v>44</v>
      </c>
      <c r="C48">
        <v>-0.25</v>
      </c>
      <c r="D48">
        <v>361.37</v>
      </c>
      <c r="E48">
        <v>1.65</v>
      </c>
      <c r="F48">
        <v>2.1</v>
      </c>
      <c r="G48">
        <v>0.7</v>
      </c>
      <c r="H48">
        <v>1.4</v>
      </c>
      <c r="I48" s="7">
        <v>2.5043000000000002</v>
      </c>
      <c r="J48" s="10">
        <v>76.2</v>
      </c>
      <c r="K48" s="7" t="s">
        <v>137</v>
      </c>
      <c r="L48" t="s">
        <v>46</v>
      </c>
      <c r="M48">
        <v>4</v>
      </c>
      <c r="N48">
        <v>60.893999999999998</v>
      </c>
      <c r="O48">
        <v>7.8</v>
      </c>
      <c r="P48">
        <v>1.778</v>
      </c>
      <c r="Q48" t="s">
        <v>47</v>
      </c>
      <c r="R48">
        <v>70</v>
      </c>
      <c r="S48">
        <v>24</v>
      </c>
      <c r="T48" t="s">
        <v>164</v>
      </c>
      <c r="U48" t="s">
        <v>164</v>
      </c>
      <c r="V48" s="7">
        <v>0.76224839171129977</v>
      </c>
      <c r="W48">
        <v>81.165000000000006</v>
      </c>
      <c r="X48">
        <v>0.21099999999999999</v>
      </c>
      <c r="Y48">
        <v>10.401</v>
      </c>
      <c r="Z48">
        <v>7</v>
      </c>
      <c r="AA48">
        <v>7</v>
      </c>
      <c r="AB48">
        <v>15</v>
      </c>
      <c r="AC48" s="17">
        <v>2</v>
      </c>
      <c r="AD48">
        <v>0.9</v>
      </c>
      <c r="AE48">
        <v>110</v>
      </c>
      <c r="AF48" s="11">
        <v>0.64</v>
      </c>
    </row>
    <row r="49" spans="1:32" x14ac:dyDescent="0.3">
      <c r="A49" t="s">
        <v>43</v>
      </c>
      <c r="B49" t="s">
        <v>44</v>
      </c>
      <c r="C49">
        <v>-0.25</v>
      </c>
      <c r="D49">
        <v>361.37</v>
      </c>
      <c r="E49">
        <v>1.65</v>
      </c>
      <c r="F49">
        <v>2.1</v>
      </c>
      <c r="G49">
        <v>0.7</v>
      </c>
      <c r="H49">
        <v>1.4</v>
      </c>
      <c r="I49" s="7">
        <v>2.5043000000000002</v>
      </c>
      <c r="J49" s="10">
        <v>76.2</v>
      </c>
      <c r="K49" s="7" t="s">
        <v>137</v>
      </c>
      <c r="L49" t="s">
        <v>46</v>
      </c>
      <c r="M49">
        <v>4</v>
      </c>
      <c r="N49">
        <v>60.893999999999998</v>
      </c>
      <c r="O49">
        <v>7.8</v>
      </c>
      <c r="P49">
        <v>1.778</v>
      </c>
      <c r="Q49" t="s">
        <v>47</v>
      </c>
      <c r="R49">
        <v>70</v>
      </c>
      <c r="S49">
        <v>24</v>
      </c>
      <c r="T49" t="s">
        <v>164</v>
      </c>
      <c r="U49" t="s">
        <v>164</v>
      </c>
      <c r="V49" s="7">
        <v>0.76224839171129977</v>
      </c>
      <c r="W49">
        <v>81.165000000000006</v>
      </c>
      <c r="X49">
        <v>0.21099999999999999</v>
      </c>
      <c r="Y49">
        <v>10.401</v>
      </c>
      <c r="Z49">
        <v>7</v>
      </c>
      <c r="AA49">
        <v>7</v>
      </c>
      <c r="AB49">
        <v>25</v>
      </c>
      <c r="AC49" s="17">
        <v>2</v>
      </c>
      <c r="AD49">
        <v>0.9</v>
      </c>
      <c r="AE49">
        <v>110</v>
      </c>
      <c r="AF49" s="11">
        <v>0.65</v>
      </c>
    </row>
    <row r="50" spans="1:32" x14ac:dyDescent="0.3">
      <c r="A50" t="s">
        <v>43</v>
      </c>
      <c r="B50" t="s">
        <v>44</v>
      </c>
      <c r="C50">
        <v>-0.25</v>
      </c>
      <c r="D50">
        <v>361.37</v>
      </c>
      <c r="E50">
        <v>1.65</v>
      </c>
      <c r="F50">
        <v>2.1</v>
      </c>
      <c r="G50">
        <v>0.7</v>
      </c>
      <c r="H50">
        <v>1.4</v>
      </c>
      <c r="I50" s="7">
        <v>2.5043000000000002</v>
      </c>
      <c r="J50" s="10">
        <v>76.2</v>
      </c>
      <c r="K50" s="7" t="s">
        <v>137</v>
      </c>
      <c r="L50" t="s">
        <v>46</v>
      </c>
      <c r="M50">
        <v>4</v>
      </c>
      <c r="N50">
        <v>60.893999999999998</v>
      </c>
      <c r="O50">
        <v>7.8</v>
      </c>
      <c r="P50">
        <v>1.778</v>
      </c>
      <c r="Q50" t="s">
        <v>47</v>
      </c>
      <c r="R50">
        <v>70</v>
      </c>
      <c r="S50">
        <v>24</v>
      </c>
      <c r="T50" t="s">
        <v>164</v>
      </c>
      <c r="U50" t="s">
        <v>164</v>
      </c>
      <c r="V50" s="7">
        <v>0.76224839171129977</v>
      </c>
      <c r="W50">
        <v>81.165000000000006</v>
      </c>
      <c r="X50">
        <v>0.21099999999999999</v>
      </c>
      <c r="Y50">
        <v>10.401</v>
      </c>
      <c r="Z50">
        <v>7</v>
      </c>
      <c r="AA50">
        <v>7</v>
      </c>
      <c r="AB50">
        <v>35</v>
      </c>
      <c r="AC50" s="17">
        <v>2</v>
      </c>
      <c r="AD50">
        <v>0.9</v>
      </c>
      <c r="AE50">
        <v>110</v>
      </c>
      <c r="AF50" s="11">
        <v>0.64</v>
      </c>
    </row>
    <row r="51" spans="1:32" x14ac:dyDescent="0.3">
      <c r="A51" t="s">
        <v>43</v>
      </c>
      <c r="B51" t="s">
        <v>44</v>
      </c>
      <c r="C51">
        <v>-0.25</v>
      </c>
      <c r="D51">
        <v>361.37</v>
      </c>
      <c r="E51">
        <v>1.65</v>
      </c>
      <c r="F51">
        <v>2.1</v>
      </c>
      <c r="G51">
        <v>0.7</v>
      </c>
      <c r="H51">
        <v>1.4</v>
      </c>
      <c r="I51" s="7">
        <v>2.5043000000000002</v>
      </c>
      <c r="J51" s="10">
        <v>76.2</v>
      </c>
      <c r="K51" s="7" t="s">
        <v>137</v>
      </c>
      <c r="L51" t="s">
        <v>46</v>
      </c>
      <c r="M51">
        <v>4</v>
      </c>
      <c r="N51">
        <v>60.893999999999998</v>
      </c>
      <c r="O51">
        <v>7.8</v>
      </c>
      <c r="P51">
        <v>1.778</v>
      </c>
      <c r="Q51" t="s">
        <v>47</v>
      </c>
      <c r="R51">
        <v>70</v>
      </c>
      <c r="S51">
        <v>24</v>
      </c>
      <c r="T51" t="s">
        <v>164</v>
      </c>
      <c r="U51" t="s">
        <v>164</v>
      </c>
      <c r="V51" s="7">
        <v>0.76224839171129977</v>
      </c>
      <c r="W51">
        <v>81.165000000000006</v>
      </c>
      <c r="X51">
        <v>0.21099999999999999</v>
      </c>
      <c r="Y51">
        <v>10.401</v>
      </c>
      <c r="Z51">
        <v>7</v>
      </c>
      <c r="AA51">
        <v>7</v>
      </c>
      <c r="AB51">
        <v>45</v>
      </c>
      <c r="AC51" s="17">
        <v>2</v>
      </c>
      <c r="AD51">
        <v>0.9</v>
      </c>
      <c r="AE51">
        <v>110</v>
      </c>
      <c r="AF51" s="11">
        <v>0.625</v>
      </c>
    </row>
    <row r="52" spans="1:32" x14ac:dyDescent="0.3">
      <c r="A52" t="s">
        <v>43</v>
      </c>
      <c r="B52" t="s">
        <v>44</v>
      </c>
      <c r="C52">
        <v>-0.25</v>
      </c>
      <c r="D52">
        <v>361.37</v>
      </c>
      <c r="E52">
        <v>1.65</v>
      </c>
      <c r="F52">
        <v>2.1</v>
      </c>
      <c r="G52">
        <v>0.7</v>
      </c>
      <c r="H52">
        <v>1.4</v>
      </c>
      <c r="I52" s="7">
        <v>2.5043000000000002</v>
      </c>
      <c r="J52" s="10">
        <v>76.2</v>
      </c>
      <c r="K52" s="7" t="s">
        <v>137</v>
      </c>
      <c r="L52" t="s">
        <v>46</v>
      </c>
      <c r="M52">
        <v>4</v>
      </c>
      <c r="N52">
        <v>60.893999999999998</v>
      </c>
      <c r="O52">
        <v>7.8</v>
      </c>
      <c r="P52">
        <v>1.778</v>
      </c>
      <c r="Q52" t="s">
        <v>47</v>
      </c>
      <c r="R52">
        <v>70</v>
      </c>
      <c r="S52">
        <v>24</v>
      </c>
      <c r="T52" t="s">
        <v>164</v>
      </c>
      <c r="U52" t="s">
        <v>164</v>
      </c>
      <c r="V52" s="7">
        <v>0.76224839171129977</v>
      </c>
      <c r="W52">
        <v>81.165000000000006</v>
      </c>
      <c r="X52">
        <v>0.21099999999999999</v>
      </c>
      <c r="Y52">
        <v>10.401</v>
      </c>
      <c r="Z52">
        <v>7</v>
      </c>
      <c r="AA52">
        <v>7</v>
      </c>
      <c r="AB52">
        <v>55</v>
      </c>
      <c r="AC52" s="17">
        <v>2</v>
      </c>
      <c r="AD52">
        <v>0.9</v>
      </c>
      <c r="AE52">
        <v>110</v>
      </c>
      <c r="AF52" s="11">
        <v>0.62</v>
      </c>
    </row>
    <row r="53" spans="1:32" x14ac:dyDescent="0.3">
      <c r="A53" t="s">
        <v>43</v>
      </c>
      <c r="B53" t="s">
        <v>44</v>
      </c>
      <c r="C53">
        <v>-0.25</v>
      </c>
      <c r="D53">
        <v>361.37</v>
      </c>
      <c r="E53">
        <v>1.65</v>
      </c>
      <c r="F53">
        <v>2.1</v>
      </c>
      <c r="G53">
        <v>0.7</v>
      </c>
      <c r="H53">
        <v>1.4</v>
      </c>
      <c r="I53" s="7">
        <v>2.5043000000000002</v>
      </c>
      <c r="J53" s="10">
        <v>76.2</v>
      </c>
      <c r="K53" s="7" t="s">
        <v>137</v>
      </c>
      <c r="L53" t="s">
        <v>46</v>
      </c>
      <c r="M53">
        <v>4</v>
      </c>
      <c r="N53">
        <v>60.893999999999998</v>
      </c>
      <c r="O53">
        <v>7.8</v>
      </c>
      <c r="P53">
        <v>1.778</v>
      </c>
      <c r="Q53" t="s">
        <v>47</v>
      </c>
      <c r="R53">
        <v>70</v>
      </c>
      <c r="S53">
        <v>24</v>
      </c>
      <c r="T53" t="s">
        <v>164</v>
      </c>
      <c r="U53" t="s">
        <v>164</v>
      </c>
      <c r="V53" s="7">
        <v>0.76224839171129977</v>
      </c>
      <c r="W53">
        <v>81.165000000000006</v>
      </c>
      <c r="X53">
        <v>0.21099999999999999</v>
      </c>
      <c r="Y53">
        <v>10.401</v>
      </c>
      <c r="Z53">
        <v>7</v>
      </c>
      <c r="AA53">
        <v>7</v>
      </c>
      <c r="AB53">
        <v>25</v>
      </c>
      <c r="AC53" s="21">
        <f>5/60</f>
        <v>8.3333333333333329E-2</v>
      </c>
      <c r="AD53">
        <v>0.9</v>
      </c>
      <c r="AE53">
        <v>25</v>
      </c>
      <c r="AF53" s="11">
        <v>0.65</v>
      </c>
    </row>
    <row r="54" spans="1:32" x14ac:dyDescent="0.3">
      <c r="A54" t="s">
        <v>43</v>
      </c>
      <c r="B54" t="s">
        <v>44</v>
      </c>
      <c r="C54">
        <v>-0.25</v>
      </c>
      <c r="D54">
        <v>361.37</v>
      </c>
      <c r="E54">
        <v>1.65</v>
      </c>
      <c r="F54">
        <v>2.1</v>
      </c>
      <c r="G54">
        <v>0.7</v>
      </c>
      <c r="H54">
        <v>1.4</v>
      </c>
      <c r="I54" s="7">
        <v>2.5043000000000002</v>
      </c>
      <c r="J54" s="10">
        <v>76.2</v>
      </c>
      <c r="K54" s="7" t="s">
        <v>137</v>
      </c>
      <c r="L54" t="s">
        <v>46</v>
      </c>
      <c r="M54">
        <v>4</v>
      </c>
      <c r="N54">
        <v>60.893999999999998</v>
      </c>
      <c r="O54">
        <v>7.8</v>
      </c>
      <c r="P54">
        <v>1.778</v>
      </c>
      <c r="Q54" t="s">
        <v>47</v>
      </c>
      <c r="R54">
        <v>70</v>
      </c>
      <c r="S54">
        <v>24</v>
      </c>
      <c r="T54" t="s">
        <v>164</v>
      </c>
      <c r="U54" t="s">
        <v>164</v>
      </c>
      <c r="V54" s="7">
        <v>0.76224839171129977</v>
      </c>
      <c r="W54">
        <v>81.165000000000006</v>
      </c>
      <c r="X54">
        <v>0.21099999999999999</v>
      </c>
      <c r="Y54">
        <v>10.401</v>
      </c>
      <c r="Z54">
        <v>7</v>
      </c>
      <c r="AA54">
        <v>7</v>
      </c>
      <c r="AB54">
        <v>25</v>
      </c>
      <c r="AC54" s="21">
        <f>10/60</f>
        <v>0.16666666666666666</v>
      </c>
      <c r="AD54">
        <v>0.9</v>
      </c>
      <c r="AE54">
        <v>25</v>
      </c>
      <c r="AF54" s="11">
        <v>0.66</v>
      </c>
    </row>
    <row r="55" spans="1:32" x14ac:dyDescent="0.3">
      <c r="A55" t="s">
        <v>43</v>
      </c>
      <c r="B55" t="s">
        <v>44</v>
      </c>
      <c r="C55">
        <v>-0.25</v>
      </c>
      <c r="D55">
        <v>361.37</v>
      </c>
      <c r="E55">
        <v>1.65</v>
      </c>
      <c r="F55">
        <v>2.1</v>
      </c>
      <c r="G55">
        <v>0.7</v>
      </c>
      <c r="H55">
        <v>1.4</v>
      </c>
      <c r="I55" s="7">
        <v>2.5043000000000002</v>
      </c>
      <c r="J55" s="10">
        <v>76.2</v>
      </c>
      <c r="K55" s="7" t="s">
        <v>137</v>
      </c>
      <c r="L55" t="s">
        <v>46</v>
      </c>
      <c r="M55">
        <v>4</v>
      </c>
      <c r="N55">
        <v>60.893999999999998</v>
      </c>
      <c r="O55">
        <v>7.8</v>
      </c>
      <c r="P55">
        <v>1.778</v>
      </c>
      <c r="Q55" t="s">
        <v>47</v>
      </c>
      <c r="R55">
        <v>70</v>
      </c>
      <c r="S55">
        <v>24</v>
      </c>
      <c r="T55" t="s">
        <v>164</v>
      </c>
      <c r="U55" t="s">
        <v>164</v>
      </c>
      <c r="V55" s="7">
        <v>0.76224839171129977</v>
      </c>
      <c r="W55">
        <v>81.165000000000006</v>
      </c>
      <c r="X55">
        <v>0.21099999999999999</v>
      </c>
      <c r="Y55">
        <v>10.401</v>
      </c>
      <c r="Z55">
        <v>7</v>
      </c>
      <c r="AA55">
        <v>7</v>
      </c>
      <c r="AB55">
        <v>25</v>
      </c>
      <c r="AC55" s="21">
        <f>15/60</f>
        <v>0.25</v>
      </c>
      <c r="AD55">
        <v>0.9</v>
      </c>
      <c r="AE55">
        <v>25</v>
      </c>
      <c r="AF55" s="11">
        <v>0.66</v>
      </c>
    </row>
    <row r="56" spans="1:32" x14ac:dyDescent="0.3">
      <c r="A56" t="s">
        <v>43</v>
      </c>
      <c r="B56" t="s">
        <v>44</v>
      </c>
      <c r="C56">
        <v>-0.25</v>
      </c>
      <c r="D56">
        <v>361.37</v>
      </c>
      <c r="E56">
        <v>1.65</v>
      </c>
      <c r="F56">
        <v>2.1</v>
      </c>
      <c r="G56">
        <v>0.7</v>
      </c>
      <c r="H56">
        <v>1.4</v>
      </c>
      <c r="I56" s="7">
        <v>2.5043000000000002</v>
      </c>
      <c r="J56" s="10">
        <v>76.2</v>
      </c>
      <c r="K56" s="7" t="s">
        <v>137</v>
      </c>
      <c r="L56" t="s">
        <v>46</v>
      </c>
      <c r="M56">
        <v>4</v>
      </c>
      <c r="N56">
        <v>60.893999999999998</v>
      </c>
      <c r="O56">
        <v>7.8</v>
      </c>
      <c r="P56">
        <v>1.778</v>
      </c>
      <c r="Q56" t="s">
        <v>47</v>
      </c>
      <c r="R56">
        <v>70</v>
      </c>
      <c r="S56">
        <v>24</v>
      </c>
      <c r="T56" t="s">
        <v>164</v>
      </c>
      <c r="U56" t="s">
        <v>164</v>
      </c>
      <c r="V56" s="7">
        <v>0.76224839171129977</v>
      </c>
      <c r="W56">
        <v>81.165000000000006</v>
      </c>
      <c r="X56">
        <v>0.21099999999999999</v>
      </c>
      <c r="Y56">
        <v>10.401</v>
      </c>
      <c r="Z56">
        <v>7</v>
      </c>
      <c r="AA56">
        <v>7</v>
      </c>
      <c r="AB56">
        <v>25</v>
      </c>
      <c r="AC56" s="21">
        <f>20/60</f>
        <v>0.33333333333333331</v>
      </c>
      <c r="AD56">
        <v>0.9</v>
      </c>
      <c r="AE56">
        <v>25</v>
      </c>
      <c r="AF56" s="16">
        <v>0.66500000000000004</v>
      </c>
    </row>
    <row r="57" spans="1:32" x14ac:dyDescent="0.3">
      <c r="A57" t="s">
        <v>43</v>
      </c>
      <c r="B57" t="s">
        <v>44</v>
      </c>
      <c r="C57">
        <v>-0.25</v>
      </c>
      <c r="D57">
        <v>361.37</v>
      </c>
      <c r="E57">
        <v>1.65</v>
      </c>
      <c r="F57">
        <v>2.1</v>
      </c>
      <c r="G57">
        <v>0.7</v>
      </c>
      <c r="H57">
        <v>1.4</v>
      </c>
      <c r="I57" s="7">
        <v>2.5043000000000002</v>
      </c>
      <c r="J57" s="10">
        <v>76.2</v>
      </c>
      <c r="K57" s="7" t="s">
        <v>137</v>
      </c>
      <c r="L57" t="s">
        <v>46</v>
      </c>
      <c r="M57">
        <v>4</v>
      </c>
      <c r="N57">
        <v>60.893999999999998</v>
      </c>
      <c r="O57">
        <v>7.8</v>
      </c>
      <c r="P57">
        <v>1.778</v>
      </c>
      <c r="Q57" t="s">
        <v>47</v>
      </c>
      <c r="R57">
        <v>70</v>
      </c>
      <c r="S57">
        <v>24</v>
      </c>
      <c r="T57" t="s">
        <v>164</v>
      </c>
      <c r="U57" t="s">
        <v>164</v>
      </c>
      <c r="V57" s="7">
        <v>0.76224839171129977</v>
      </c>
      <c r="W57">
        <v>81.165000000000006</v>
      </c>
      <c r="X57">
        <v>0.21099999999999999</v>
      </c>
      <c r="Y57">
        <v>10.401</v>
      </c>
      <c r="Z57">
        <v>7</v>
      </c>
      <c r="AA57">
        <v>7</v>
      </c>
      <c r="AB57">
        <v>25</v>
      </c>
      <c r="AC57" s="21">
        <f>25/60</f>
        <v>0.41666666666666669</v>
      </c>
      <c r="AD57">
        <v>0.9</v>
      </c>
      <c r="AE57">
        <v>25</v>
      </c>
      <c r="AF57" s="16">
        <v>0.67</v>
      </c>
    </row>
    <row r="58" spans="1:32" x14ac:dyDescent="0.3">
      <c r="A58" t="s">
        <v>43</v>
      </c>
      <c r="B58" t="s">
        <v>44</v>
      </c>
      <c r="C58">
        <v>-0.25</v>
      </c>
      <c r="D58">
        <v>361.37</v>
      </c>
      <c r="E58">
        <v>1.65</v>
      </c>
      <c r="F58">
        <v>2.1</v>
      </c>
      <c r="G58">
        <v>0.7</v>
      </c>
      <c r="H58">
        <v>1.4</v>
      </c>
      <c r="I58" s="7">
        <v>2.5043000000000002</v>
      </c>
      <c r="J58" s="10">
        <v>76.2</v>
      </c>
      <c r="K58" s="7" t="s">
        <v>137</v>
      </c>
      <c r="L58" t="s">
        <v>46</v>
      </c>
      <c r="M58">
        <v>4</v>
      </c>
      <c r="N58">
        <v>60.893999999999998</v>
      </c>
      <c r="O58">
        <v>7.8</v>
      </c>
      <c r="P58">
        <v>1.778</v>
      </c>
      <c r="Q58" t="s">
        <v>47</v>
      </c>
      <c r="R58">
        <v>70</v>
      </c>
      <c r="S58">
        <v>24</v>
      </c>
      <c r="T58" t="s">
        <v>164</v>
      </c>
      <c r="U58" t="s">
        <v>164</v>
      </c>
      <c r="V58" s="7">
        <v>0.76224839171129977</v>
      </c>
      <c r="W58">
        <v>81.165000000000006</v>
      </c>
      <c r="X58">
        <v>0.21099999999999999</v>
      </c>
      <c r="Y58">
        <v>10.401</v>
      </c>
      <c r="Z58">
        <v>7</v>
      </c>
      <c r="AA58">
        <v>7</v>
      </c>
      <c r="AB58">
        <v>25</v>
      </c>
      <c r="AC58" s="21">
        <f>30/60</f>
        <v>0.5</v>
      </c>
      <c r="AD58">
        <v>0.9</v>
      </c>
      <c r="AE58">
        <v>25</v>
      </c>
      <c r="AF58" s="16">
        <v>0.67500000000000004</v>
      </c>
    </row>
    <row r="59" spans="1:32" x14ac:dyDescent="0.3">
      <c r="A59" t="s">
        <v>43</v>
      </c>
      <c r="B59" t="s">
        <v>44</v>
      </c>
      <c r="C59">
        <v>-0.25</v>
      </c>
      <c r="D59">
        <v>361.37</v>
      </c>
      <c r="E59">
        <v>1.65</v>
      </c>
      <c r="F59">
        <v>2.1</v>
      </c>
      <c r="G59">
        <v>0.7</v>
      </c>
      <c r="H59">
        <v>1.4</v>
      </c>
      <c r="I59" s="7">
        <v>2.5043000000000002</v>
      </c>
      <c r="J59" s="10">
        <v>76.2</v>
      </c>
      <c r="K59" s="7" t="s">
        <v>137</v>
      </c>
      <c r="L59" t="s">
        <v>46</v>
      </c>
      <c r="M59">
        <v>4</v>
      </c>
      <c r="N59">
        <v>60.893999999999998</v>
      </c>
      <c r="O59">
        <v>7.8</v>
      </c>
      <c r="P59">
        <v>1.778</v>
      </c>
      <c r="Q59" t="s">
        <v>47</v>
      </c>
      <c r="R59">
        <v>70</v>
      </c>
      <c r="S59">
        <v>24</v>
      </c>
      <c r="T59" t="s">
        <v>164</v>
      </c>
      <c r="U59" t="s">
        <v>164</v>
      </c>
      <c r="V59" s="7">
        <v>0.76224839171129977</v>
      </c>
      <c r="W59">
        <v>81.165000000000006</v>
      </c>
      <c r="X59">
        <v>0.21099999999999999</v>
      </c>
      <c r="Y59">
        <v>10.401</v>
      </c>
      <c r="Z59">
        <v>7</v>
      </c>
      <c r="AA59">
        <v>7</v>
      </c>
      <c r="AB59">
        <v>25</v>
      </c>
      <c r="AC59" s="21">
        <f>45/60</f>
        <v>0.75</v>
      </c>
      <c r="AD59">
        <v>0.9</v>
      </c>
      <c r="AE59">
        <v>25</v>
      </c>
      <c r="AF59" s="16">
        <v>0.68</v>
      </c>
    </row>
    <row r="60" spans="1:32" x14ac:dyDescent="0.3">
      <c r="A60" t="s">
        <v>43</v>
      </c>
      <c r="B60" t="s">
        <v>44</v>
      </c>
      <c r="C60">
        <v>-0.25</v>
      </c>
      <c r="D60">
        <v>361.37</v>
      </c>
      <c r="E60">
        <v>1.65</v>
      </c>
      <c r="F60">
        <v>2.1</v>
      </c>
      <c r="G60">
        <v>0.7</v>
      </c>
      <c r="H60">
        <v>1.4</v>
      </c>
      <c r="I60" s="7">
        <v>2.5043000000000002</v>
      </c>
      <c r="J60" s="10">
        <v>76.2</v>
      </c>
      <c r="K60" s="7" t="s">
        <v>137</v>
      </c>
      <c r="L60" t="s">
        <v>46</v>
      </c>
      <c r="M60">
        <v>4</v>
      </c>
      <c r="N60">
        <v>60.893999999999998</v>
      </c>
      <c r="O60">
        <v>7.8</v>
      </c>
      <c r="P60">
        <v>1.778</v>
      </c>
      <c r="Q60" t="s">
        <v>47</v>
      </c>
      <c r="R60">
        <v>70</v>
      </c>
      <c r="S60">
        <v>24</v>
      </c>
      <c r="T60" t="s">
        <v>164</v>
      </c>
      <c r="U60" t="s">
        <v>164</v>
      </c>
      <c r="V60" s="7">
        <v>0.76224839171129977</v>
      </c>
      <c r="W60">
        <v>81.165000000000006</v>
      </c>
      <c r="X60">
        <v>0.21099999999999999</v>
      </c>
      <c r="Y60">
        <v>10.401</v>
      </c>
      <c r="Z60">
        <v>7</v>
      </c>
      <c r="AA60">
        <v>7</v>
      </c>
      <c r="AB60">
        <v>25</v>
      </c>
      <c r="AC60" s="21">
        <f>60/60</f>
        <v>1</v>
      </c>
      <c r="AD60">
        <v>0.9</v>
      </c>
      <c r="AE60">
        <v>25</v>
      </c>
      <c r="AF60" s="16">
        <v>0.68500000000000005</v>
      </c>
    </row>
    <row r="61" spans="1:32" x14ac:dyDescent="0.3">
      <c r="A61" t="s">
        <v>43</v>
      </c>
      <c r="B61" t="s">
        <v>44</v>
      </c>
      <c r="C61">
        <v>-0.25</v>
      </c>
      <c r="D61">
        <v>361.37</v>
      </c>
      <c r="E61">
        <v>1.65</v>
      </c>
      <c r="F61">
        <v>2.1</v>
      </c>
      <c r="G61">
        <v>0.7</v>
      </c>
      <c r="H61">
        <v>1.4</v>
      </c>
      <c r="I61" s="7">
        <v>2.5043000000000002</v>
      </c>
      <c r="J61" s="10">
        <v>76.2</v>
      </c>
      <c r="K61" s="7" t="s">
        <v>137</v>
      </c>
      <c r="L61" t="s">
        <v>46</v>
      </c>
      <c r="M61">
        <v>4</v>
      </c>
      <c r="N61">
        <v>60.893999999999998</v>
      </c>
      <c r="O61">
        <v>7.8</v>
      </c>
      <c r="P61">
        <v>1.778</v>
      </c>
      <c r="Q61" t="s">
        <v>47</v>
      </c>
      <c r="R61">
        <v>70</v>
      </c>
      <c r="S61">
        <v>24</v>
      </c>
      <c r="T61" t="s">
        <v>164</v>
      </c>
      <c r="U61" t="s">
        <v>164</v>
      </c>
      <c r="V61" s="7">
        <v>0.76224839171129977</v>
      </c>
      <c r="W61">
        <v>81.165000000000006</v>
      </c>
      <c r="X61">
        <v>0.21099999999999999</v>
      </c>
      <c r="Y61">
        <v>10.401</v>
      </c>
      <c r="Z61">
        <v>7</v>
      </c>
      <c r="AA61">
        <v>7</v>
      </c>
      <c r="AB61">
        <v>25</v>
      </c>
      <c r="AC61" s="21">
        <f>75/60</f>
        <v>1.25</v>
      </c>
      <c r="AD61">
        <v>0.9</v>
      </c>
      <c r="AE61">
        <v>25</v>
      </c>
      <c r="AF61" s="16">
        <v>0.68500000000000005</v>
      </c>
    </row>
    <row r="62" spans="1:32" x14ac:dyDescent="0.3">
      <c r="A62" t="s">
        <v>43</v>
      </c>
      <c r="B62" t="s">
        <v>44</v>
      </c>
      <c r="C62">
        <v>-0.25</v>
      </c>
      <c r="D62">
        <v>361.37</v>
      </c>
      <c r="E62">
        <v>1.65</v>
      </c>
      <c r="F62">
        <v>2.1</v>
      </c>
      <c r="G62">
        <v>0.7</v>
      </c>
      <c r="H62">
        <v>1.4</v>
      </c>
      <c r="I62" s="7">
        <v>2.5043000000000002</v>
      </c>
      <c r="J62" s="10">
        <v>76.2</v>
      </c>
      <c r="K62" s="7" t="s">
        <v>137</v>
      </c>
      <c r="L62" t="s">
        <v>46</v>
      </c>
      <c r="M62">
        <v>4</v>
      </c>
      <c r="N62">
        <v>60.893999999999998</v>
      </c>
      <c r="O62">
        <v>7.8</v>
      </c>
      <c r="P62">
        <v>1.778</v>
      </c>
      <c r="Q62" t="s">
        <v>47</v>
      </c>
      <c r="R62">
        <v>70</v>
      </c>
      <c r="S62">
        <v>24</v>
      </c>
      <c r="T62" t="s">
        <v>164</v>
      </c>
      <c r="U62" t="s">
        <v>164</v>
      </c>
      <c r="V62" s="7">
        <v>0.76224839171129977</v>
      </c>
      <c r="W62">
        <v>81.165000000000006</v>
      </c>
      <c r="X62">
        <v>0.21099999999999999</v>
      </c>
      <c r="Y62">
        <v>10.401</v>
      </c>
      <c r="Z62">
        <v>7</v>
      </c>
      <c r="AA62">
        <v>7</v>
      </c>
      <c r="AB62">
        <v>25</v>
      </c>
      <c r="AC62" s="21">
        <f>90/60</f>
        <v>1.5</v>
      </c>
      <c r="AD62">
        <v>0.9</v>
      </c>
      <c r="AE62">
        <v>25</v>
      </c>
      <c r="AF62" s="16">
        <v>0.68500000000000005</v>
      </c>
    </row>
    <row r="63" spans="1:32" x14ac:dyDescent="0.3">
      <c r="A63" t="s">
        <v>43</v>
      </c>
      <c r="B63" t="s">
        <v>44</v>
      </c>
      <c r="C63">
        <v>-0.25</v>
      </c>
      <c r="D63">
        <v>361.37</v>
      </c>
      <c r="E63">
        <v>1.65</v>
      </c>
      <c r="F63">
        <v>2.1</v>
      </c>
      <c r="G63">
        <v>0.7</v>
      </c>
      <c r="H63">
        <v>1.4</v>
      </c>
      <c r="I63" s="7">
        <v>2.5043000000000002</v>
      </c>
      <c r="J63" s="10">
        <v>76.2</v>
      </c>
      <c r="K63" s="7" t="s">
        <v>137</v>
      </c>
      <c r="L63" t="s">
        <v>46</v>
      </c>
      <c r="M63">
        <v>4</v>
      </c>
      <c r="N63">
        <v>60.893999999999998</v>
      </c>
      <c r="O63">
        <v>7.8</v>
      </c>
      <c r="P63">
        <v>1.778</v>
      </c>
      <c r="Q63" t="s">
        <v>47</v>
      </c>
      <c r="R63">
        <v>70</v>
      </c>
      <c r="S63">
        <v>24</v>
      </c>
      <c r="T63" t="s">
        <v>164</v>
      </c>
      <c r="U63" t="s">
        <v>164</v>
      </c>
      <c r="V63" s="7">
        <v>0.76224839171129977</v>
      </c>
      <c r="W63">
        <v>81.165000000000006</v>
      </c>
      <c r="X63">
        <v>0.21099999999999999</v>
      </c>
      <c r="Y63">
        <v>10.401</v>
      </c>
      <c r="Z63">
        <v>7</v>
      </c>
      <c r="AA63">
        <v>7</v>
      </c>
      <c r="AB63">
        <v>25</v>
      </c>
      <c r="AC63" s="21">
        <f>120/60</f>
        <v>2</v>
      </c>
      <c r="AD63">
        <v>0.9</v>
      </c>
      <c r="AE63">
        <v>25</v>
      </c>
      <c r="AF63" s="16">
        <v>0.68500000000000005</v>
      </c>
    </row>
    <row r="64" spans="1:32" x14ac:dyDescent="0.3">
      <c r="A64" t="s">
        <v>43</v>
      </c>
      <c r="B64" t="s">
        <v>44</v>
      </c>
      <c r="C64">
        <v>-0.25</v>
      </c>
      <c r="D64">
        <v>361.37</v>
      </c>
      <c r="E64">
        <v>1.65</v>
      </c>
      <c r="F64">
        <v>2.1</v>
      </c>
      <c r="G64">
        <v>0.7</v>
      </c>
      <c r="H64">
        <v>1.4</v>
      </c>
      <c r="I64" s="7">
        <v>2.5043000000000002</v>
      </c>
      <c r="J64" s="10">
        <v>76.2</v>
      </c>
      <c r="K64" s="7" t="s">
        <v>137</v>
      </c>
      <c r="L64" t="s">
        <v>46</v>
      </c>
      <c r="M64">
        <v>4</v>
      </c>
      <c r="N64">
        <v>60.893999999999998</v>
      </c>
      <c r="O64">
        <v>7.8</v>
      </c>
      <c r="P64">
        <v>1.778</v>
      </c>
      <c r="Q64" t="s">
        <v>47</v>
      </c>
      <c r="R64">
        <v>70</v>
      </c>
      <c r="S64">
        <v>24</v>
      </c>
      <c r="T64" t="s">
        <v>164</v>
      </c>
      <c r="U64" t="s">
        <v>164</v>
      </c>
      <c r="V64" s="7">
        <v>0.76224839171129977</v>
      </c>
      <c r="W64">
        <v>81.165000000000006</v>
      </c>
      <c r="X64">
        <v>0.21099999999999999</v>
      </c>
      <c r="Y64">
        <v>10.401</v>
      </c>
      <c r="Z64">
        <v>7</v>
      </c>
      <c r="AA64">
        <v>7</v>
      </c>
      <c r="AB64">
        <v>25</v>
      </c>
      <c r="AC64" s="21">
        <f>145/60</f>
        <v>2.4166666666666665</v>
      </c>
      <c r="AD64">
        <v>0.9</v>
      </c>
      <c r="AE64">
        <v>25</v>
      </c>
      <c r="AF64" s="16">
        <v>0.68500000000000005</v>
      </c>
    </row>
    <row r="65" spans="1:32" x14ac:dyDescent="0.3">
      <c r="A65" t="s">
        <v>43</v>
      </c>
      <c r="B65" t="s">
        <v>44</v>
      </c>
      <c r="C65">
        <v>-0.25</v>
      </c>
      <c r="D65">
        <v>361.37</v>
      </c>
      <c r="E65">
        <v>1.65</v>
      </c>
      <c r="F65">
        <v>2.1</v>
      </c>
      <c r="G65">
        <v>0.7</v>
      </c>
      <c r="H65">
        <v>1.4</v>
      </c>
      <c r="I65" s="7">
        <v>2.5043000000000002</v>
      </c>
      <c r="J65" s="10">
        <v>76.2</v>
      </c>
      <c r="K65" s="7" t="s">
        <v>137</v>
      </c>
      <c r="L65" t="s">
        <v>46</v>
      </c>
      <c r="M65">
        <v>4</v>
      </c>
      <c r="N65">
        <v>60.893999999999998</v>
      </c>
      <c r="O65">
        <v>7.8</v>
      </c>
      <c r="P65">
        <v>1.778</v>
      </c>
      <c r="Q65" t="s">
        <v>47</v>
      </c>
      <c r="R65">
        <v>70</v>
      </c>
      <c r="S65">
        <v>24</v>
      </c>
      <c r="T65" t="s">
        <v>164</v>
      </c>
      <c r="U65" t="s">
        <v>164</v>
      </c>
      <c r="V65" s="7">
        <v>0.76224839171129977</v>
      </c>
      <c r="W65">
        <v>81.165000000000006</v>
      </c>
      <c r="X65">
        <v>0.21099999999999999</v>
      </c>
      <c r="Y65">
        <v>10.401</v>
      </c>
      <c r="Z65">
        <v>7</v>
      </c>
      <c r="AA65">
        <v>7</v>
      </c>
      <c r="AB65">
        <v>25</v>
      </c>
      <c r="AC65" s="21">
        <f>160/60</f>
        <v>2.6666666666666665</v>
      </c>
      <c r="AD65">
        <v>0.9</v>
      </c>
      <c r="AE65">
        <v>25</v>
      </c>
      <c r="AF65" s="16">
        <v>0.68500000000000005</v>
      </c>
    </row>
    <row r="66" spans="1:32" x14ac:dyDescent="0.3">
      <c r="A66" t="s">
        <v>43</v>
      </c>
      <c r="B66" t="s">
        <v>44</v>
      </c>
      <c r="C66">
        <v>-0.25</v>
      </c>
      <c r="D66">
        <v>361.37</v>
      </c>
      <c r="E66">
        <v>1.65</v>
      </c>
      <c r="F66">
        <v>2.1</v>
      </c>
      <c r="G66">
        <v>0.7</v>
      </c>
      <c r="H66">
        <v>1.4</v>
      </c>
      <c r="I66" s="7">
        <v>2.5043000000000002</v>
      </c>
      <c r="J66" s="10">
        <v>76.2</v>
      </c>
      <c r="K66" s="7" t="s">
        <v>137</v>
      </c>
      <c r="L66" t="s">
        <v>46</v>
      </c>
      <c r="M66">
        <v>4</v>
      </c>
      <c r="N66">
        <v>60.893999999999998</v>
      </c>
      <c r="O66">
        <v>7.8</v>
      </c>
      <c r="P66">
        <v>1.778</v>
      </c>
      <c r="Q66" t="s">
        <v>47</v>
      </c>
      <c r="R66">
        <v>70</v>
      </c>
      <c r="S66">
        <v>24</v>
      </c>
      <c r="T66" t="s">
        <v>164</v>
      </c>
      <c r="U66" t="s">
        <v>164</v>
      </c>
      <c r="V66" s="7">
        <v>0.76224839171129977</v>
      </c>
      <c r="W66">
        <v>81.165000000000006</v>
      </c>
      <c r="X66">
        <v>0.21099999999999999</v>
      </c>
      <c r="Y66">
        <v>10.401</v>
      </c>
      <c r="Z66">
        <v>7</v>
      </c>
      <c r="AA66">
        <v>7</v>
      </c>
      <c r="AB66">
        <v>25</v>
      </c>
      <c r="AC66" s="21">
        <f>180/60</f>
        <v>3</v>
      </c>
      <c r="AD66">
        <v>0.9</v>
      </c>
      <c r="AE66">
        <v>25</v>
      </c>
      <c r="AF66" s="16">
        <v>0.68500000000000005</v>
      </c>
    </row>
    <row r="67" spans="1:32" x14ac:dyDescent="0.3">
      <c r="A67" t="s">
        <v>48</v>
      </c>
      <c r="B67" t="s">
        <v>49</v>
      </c>
      <c r="C67">
        <v>-2.67</v>
      </c>
      <c r="D67">
        <v>365.41</v>
      </c>
      <c r="E67">
        <v>2.2000000000000002</v>
      </c>
      <c r="F67">
        <v>2.6</v>
      </c>
      <c r="G67">
        <v>0.9</v>
      </c>
      <c r="H67">
        <v>1.7</v>
      </c>
      <c r="I67">
        <v>2.5385</v>
      </c>
      <c r="J67">
        <v>158</v>
      </c>
      <c r="K67" t="s">
        <v>50</v>
      </c>
      <c r="L67" t="s">
        <v>51</v>
      </c>
      <c r="M67">
        <v>0.5</v>
      </c>
      <c r="N67">
        <v>31.347000000000001</v>
      </c>
      <c r="O67">
        <v>0</v>
      </c>
      <c r="P67">
        <v>1.407</v>
      </c>
      <c r="Q67" t="s">
        <v>52</v>
      </c>
      <c r="R67" t="s">
        <v>164</v>
      </c>
      <c r="S67" t="s">
        <v>164</v>
      </c>
      <c r="T67" t="s">
        <v>164</v>
      </c>
      <c r="U67" t="s">
        <v>164</v>
      </c>
      <c r="V67" t="s">
        <v>164</v>
      </c>
      <c r="W67">
        <v>48.55</v>
      </c>
      <c r="X67">
        <v>5.1200000000000002E-2</v>
      </c>
      <c r="Y67">
        <v>22.35</v>
      </c>
      <c r="Z67" t="s">
        <v>164</v>
      </c>
      <c r="AA67">
        <v>7</v>
      </c>
      <c r="AB67">
        <v>25</v>
      </c>
      <c r="AC67" s="17">
        <v>1</v>
      </c>
      <c r="AD67">
        <v>10</v>
      </c>
      <c r="AE67">
        <v>50</v>
      </c>
      <c r="AF67" s="11">
        <v>0.4</v>
      </c>
    </row>
    <row r="68" spans="1:32" x14ac:dyDescent="0.3">
      <c r="A68" t="s">
        <v>48</v>
      </c>
      <c r="B68" t="s">
        <v>49</v>
      </c>
      <c r="C68">
        <v>-2.67</v>
      </c>
      <c r="D68">
        <v>365.41</v>
      </c>
      <c r="E68">
        <v>2.2000000000000002</v>
      </c>
      <c r="F68">
        <v>2.6</v>
      </c>
      <c r="G68">
        <v>0.9</v>
      </c>
      <c r="H68">
        <v>1.7</v>
      </c>
      <c r="I68">
        <v>2.5385</v>
      </c>
      <c r="J68">
        <v>158</v>
      </c>
      <c r="K68" t="s">
        <v>50</v>
      </c>
      <c r="L68" t="s">
        <v>51</v>
      </c>
      <c r="M68">
        <v>1</v>
      </c>
      <c r="N68">
        <v>33.53</v>
      </c>
      <c r="O68">
        <v>0</v>
      </c>
      <c r="P68">
        <v>1.3049999999999999</v>
      </c>
      <c r="Q68" t="s">
        <v>52</v>
      </c>
      <c r="R68" t="s">
        <v>164</v>
      </c>
      <c r="S68" t="s">
        <v>164</v>
      </c>
      <c r="T68" t="s">
        <v>164</v>
      </c>
      <c r="U68" t="s">
        <v>164</v>
      </c>
      <c r="V68" t="s">
        <v>164</v>
      </c>
      <c r="W68">
        <v>48.55</v>
      </c>
      <c r="X68">
        <v>5.1200000000000002E-2</v>
      </c>
      <c r="Y68">
        <v>22.35</v>
      </c>
      <c r="Z68" t="s">
        <v>164</v>
      </c>
      <c r="AA68">
        <v>7</v>
      </c>
      <c r="AB68">
        <v>25</v>
      </c>
      <c r="AC68" s="17">
        <v>1</v>
      </c>
      <c r="AD68">
        <v>10</v>
      </c>
      <c r="AE68">
        <v>50</v>
      </c>
      <c r="AF68" s="11">
        <v>0.45</v>
      </c>
    </row>
    <row r="69" spans="1:32" x14ac:dyDescent="0.3">
      <c r="A69" t="s">
        <v>48</v>
      </c>
      <c r="B69" t="s">
        <v>49</v>
      </c>
      <c r="C69">
        <v>-2.67</v>
      </c>
      <c r="D69">
        <v>365.41</v>
      </c>
      <c r="E69">
        <v>2.2000000000000002</v>
      </c>
      <c r="F69">
        <v>2.6</v>
      </c>
      <c r="G69">
        <v>0.9</v>
      </c>
      <c r="H69">
        <v>1.7</v>
      </c>
      <c r="I69">
        <v>2.5385</v>
      </c>
      <c r="J69">
        <v>158</v>
      </c>
      <c r="K69" t="s">
        <v>50</v>
      </c>
      <c r="L69" t="s">
        <v>51</v>
      </c>
      <c r="M69">
        <v>1</v>
      </c>
      <c r="N69">
        <v>33.53</v>
      </c>
      <c r="O69">
        <v>0</v>
      </c>
      <c r="P69">
        <v>1.3049999999999999</v>
      </c>
      <c r="Q69" t="s">
        <v>52</v>
      </c>
      <c r="R69" t="s">
        <v>164</v>
      </c>
      <c r="S69" t="s">
        <v>164</v>
      </c>
      <c r="T69" t="s">
        <v>164</v>
      </c>
      <c r="U69" t="s">
        <v>164</v>
      </c>
      <c r="V69" t="s">
        <v>164</v>
      </c>
      <c r="W69">
        <v>48.55</v>
      </c>
      <c r="X69">
        <v>5.1200000000000002E-2</v>
      </c>
      <c r="Y69">
        <v>22.35</v>
      </c>
      <c r="Z69" t="s">
        <v>164</v>
      </c>
      <c r="AA69">
        <v>7</v>
      </c>
      <c r="AB69">
        <v>25</v>
      </c>
      <c r="AC69" s="17">
        <v>1</v>
      </c>
      <c r="AD69">
        <v>10</v>
      </c>
      <c r="AE69">
        <v>50</v>
      </c>
      <c r="AF69" s="11">
        <v>0.45</v>
      </c>
    </row>
    <row r="70" spans="1:32" x14ac:dyDescent="0.3">
      <c r="A70" t="s">
        <v>48</v>
      </c>
      <c r="B70" t="s">
        <v>49</v>
      </c>
      <c r="C70">
        <v>-2.67</v>
      </c>
      <c r="D70">
        <v>365.41</v>
      </c>
      <c r="E70">
        <v>2.2000000000000002</v>
      </c>
      <c r="F70">
        <v>2.6</v>
      </c>
      <c r="G70">
        <v>0.9</v>
      </c>
      <c r="H70">
        <v>1.7</v>
      </c>
      <c r="I70">
        <v>2.5385</v>
      </c>
      <c r="J70">
        <v>158</v>
      </c>
      <c r="K70" t="s">
        <v>50</v>
      </c>
      <c r="L70" t="s">
        <v>51</v>
      </c>
      <c r="M70">
        <v>1</v>
      </c>
      <c r="N70">
        <v>33.53</v>
      </c>
      <c r="O70">
        <v>0</v>
      </c>
      <c r="P70">
        <v>1.3049999999999999</v>
      </c>
      <c r="Q70" t="s">
        <v>52</v>
      </c>
      <c r="R70" t="s">
        <v>164</v>
      </c>
      <c r="S70" t="s">
        <v>164</v>
      </c>
      <c r="T70" t="s">
        <v>164</v>
      </c>
      <c r="U70" t="s">
        <v>164</v>
      </c>
      <c r="V70" t="s">
        <v>164</v>
      </c>
      <c r="W70">
        <v>48.55</v>
      </c>
      <c r="X70">
        <v>5.1200000000000002E-2</v>
      </c>
      <c r="Y70">
        <v>22.35</v>
      </c>
      <c r="Z70" t="s">
        <v>164</v>
      </c>
      <c r="AA70">
        <v>10</v>
      </c>
      <c r="AB70">
        <v>25</v>
      </c>
      <c r="AC70" s="17">
        <v>1</v>
      </c>
      <c r="AD70">
        <v>10</v>
      </c>
      <c r="AE70">
        <v>50</v>
      </c>
      <c r="AF70" s="11">
        <v>0.5</v>
      </c>
    </row>
    <row r="71" spans="1:32" x14ac:dyDescent="0.3">
      <c r="A71" t="s">
        <v>48</v>
      </c>
      <c r="B71" t="s">
        <v>49</v>
      </c>
      <c r="C71">
        <v>-2.67</v>
      </c>
      <c r="D71">
        <v>365.41</v>
      </c>
      <c r="E71">
        <v>2.2000000000000002</v>
      </c>
      <c r="F71">
        <v>2.6</v>
      </c>
      <c r="G71">
        <v>0.9</v>
      </c>
      <c r="H71">
        <v>1.7</v>
      </c>
      <c r="I71">
        <v>2.5385</v>
      </c>
      <c r="J71">
        <v>158</v>
      </c>
      <c r="K71" t="s">
        <v>50</v>
      </c>
      <c r="L71" t="s">
        <v>51</v>
      </c>
      <c r="M71">
        <v>1</v>
      </c>
      <c r="N71">
        <v>33.53</v>
      </c>
      <c r="O71">
        <v>0</v>
      </c>
      <c r="P71">
        <v>1.3049999999999999</v>
      </c>
      <c r="Q71" t="s">
        <v>52</v>
      </c>
      <c r="R71" t="s">
        <v>164</v>
      </c>
      <c r="S71" t="s">
        <v>164</v>
      </c>
      <c r="T71" t="s">
        <v>164</v>
      </c>
      <c r="U71" t="s">
        <v>164</v>
      </c>
      <c r="V71" t="s">
        <v>164</v>
      </c>
      <c r="W71">
        <v>48.55</v>
      </c>
      <c r="X71">
        <v>5.1200000000000002E-2</v>
      </c>
      <c r="Y71">
        <v>22.35</v>
      </c>
      <c r="Z71" t="s">
        <v>164</v>
      </c>
      <c r="AA71">
        <v>12</v>
      </c>
      <c r="AB71">
        <v>25</v>
      </c>
      <c r="AC71" s="17">
        <v>1</v>
      </c>
      <c r="AD71">
        <v>10</v>
      </c>
      <c r="AE71">
        <v>50</v>
      </c>
      <c r="AF71" s="11">
        <v>0.5</v>
      </c>
    </row>
    <row r="72" spans="1:32" x14ac:dyDescent="0.3">
      <c r="A72" t="s">
        <v>48</v>
      </c>
      <c r="B72" t="s">
        <v>49</v>
      </c>
      <c r="C72">
        <v>-2.67</v>
      </c>
      <c r="D72">
        <v>365.41</v>
      </c>
      <c r="E72">
        <v>2.2000000000000002</v>
      </c>
      <c r="F72">
        <v>2.6</v>
      </c>
      <c r="G72">
        <v>0.9</v>
      </c>
      <c r="H72">
        <v>1.7</v>
      </c>
      <c r="I72">
        <v>2.5385</v>
      </c>
      <c r="J72">
        <v>158</v>
      </c>
      <c r="K72" t="s">
        <v>50</v>
      </c>
      <c r="L72" t="s">
        <v>51</v>
      </c>
      <c r="M72">
        <v>1</v>
      </c>
      <c r="N72">
        <v>33.53</v>
      </c>
      <c r="O72">
        <v>0</v>
      </c>
      <c r="P72">
        <v>1.3049999999999999</v>
      </c>
      <c r="Q72" t="s">
        <v>52</v>
      </c>
      <c r="R72" t="s">
        <v>164</v>
      </c>
      <c r="S72" t="s">
        <v>164</v>
      </c>
      <c r="T72" t="s">
        <v>164</v>
      </c>
      <c r="U72" t="s">
        <v>164</v>
      </c>
      <c r="V72" t="s">
        <v>164</v>
      </c>
      <c r="W72">
        <v>48.55</v>
      </c>
      <c r="X72">
        <v>5.1200000000000002E-2</v>
      </c>
      <c r="Y72">
        <v>22.35</v>
      </c>
      <c r="Z72" t="s">
        <v>164</v>
      </c>
      <c r="AA72">
        <v>3</v>
      </c>
      <c r="AB72">
        <v>25</v>
      </c>
      <c r="AC72" s="19">
        <f>5/60</f>
        <v>8.3333333333333329E-2</v>
      </c>
      <c r="AD72">
        <v>10</v>
      </c>
      <c r="AE72">
        <v>50</v>
      </c>
      <c r="AF72" s="11">
        <v>0.05</v>
      </c>
    </row>
    <row r="73" spans="1:32" x14ac:dyDescent="0.3">
      <c r="A73" t="s">
        <v>48</v>
      </c>
      <c r="B73" t="s">
        <v>49</v>
      </c>
      <c r="C73">
        <v>-2.67</v>
      </c>
      <c r="D73">
        <v>365.41</v>
      </c>
      <c r="E73">
        <v>2.2000000000000002</v>
      </c>
      <c r="F73">
        <v>2.6</v>
      </c>
      <c r="G73">
        <v>0.9</v>
      </c>
      <c r="H73">
        <v>1.7</v>
      </c>
      <c r="I73">
        <v>2.5385</v>
      </c>
      <c r="J73">
        <v>158</v>
      </c>
      <c r="K73" t="s">
        <v>50</v>
      </c>
      <c r="L73" t="s">
        <v>51</v>
      </c>
      <c r="M73">
        <v>1</v>
      </c>
      <c r="N73">
        <v>33.53</v>
      </c>
      <c r="O73">
        <v>0</v>
      </c>
      <c r="P73">
        <v>1.3049999999999999</v>
      </c>
      <c r="Q73" t="s">
        <v>52</v>
      </c>
      <c r="R73" t="s">
        <v>164</v>
      </c>
      <c r="S73" t="s">
        <v>164</v>
      </c>
      <c r="T73" t="s">
        <v>164</v>
      </c>
      <c r="U73" t="s">
        <v>164</v>
      </c>
      <c r="V73" t="s">
        <v>164</v>
      </c>
      <c r="W73">
        <v>48.55</v>
      </c>
      <c r="X73">
        <v>5.1200000000000002E-2</v>
      </c>
      <c r="Y73">
        <v>22.35</v>
      </c>
      <c r="Z73" t="s">
        <v>164</v>
      </c>
      <c r="AA73">
        <v>3</v>
      </c>
      <c r="AB73">
        <v>25</v>
      </c>
      <c r="AC73" s="19">
        <f>10/60</f>
        <v>0.16666666666666666</v>
      </c>
      <c r="AD73">
        <v>10</v>
      </c>
      <c r="AE73">
        <v>50</v>
      </c>
      <c r="AF73" s="11">
        <v>0.1</v>
      </c>
    </row>
    <row r="74" spans="1:32" x14ac:dyDescent="0.3">
      <c r="A74" t="s">
        <v>48</v>
      </c>
      <c r="B74" t="s">
        <v>49</v>
      </c>
      <c r="C74">
        <v>-2.67</v>
      </c>
      <c r="D74">
        <v>365.41</v>
      </c>
      <c r="E74">
        <v>2.2000000000000002</v>
      </c>
      <c r="F74">
        <v>2.6</v>
      </c>
      <c r="G74">
        <v>0.9</v>
      </c>
      <c r="H74">
        <v>1.7</v>
      </c>
      <c r="I74">
        <v>2.5385</v>
      </c>
      <c r="J74">
        <v>158</v>
      </c>
      <c r="K74" t="s">
        <v>50</v>
      </c>
      <c r="L74" t="s">
        <v>51</v>
      </c>
      <c r="M74">
        <v>1</v>
      </c>
      <c r="N74">
        <v>33.53</v>
      </c>
      <c r="O74">
        <v>0</v>
      </c>
      <c r="P74">
        <v>1.3049999999999999</v>
      </c>
      <c r="Q74" t="s">
        <v>52</v>
      </c>
      <c r="R74" t="s">
        <v>164</v>
      </c>
      <c r="S74" t="s">
        <v>164</v>
      </c>
      <c r="T74" t="s">
        <v>164</v>
      </c>
      <c r="U74" t="s">
        <v>164</v>
      </c>
      <c r="V74" t="s">
        <v>164</v>
      </c>
      <c r="W74">
        <v>48.55</v>
      </c>
      <c r="X74">
        <v>5.1200000000000002E-2</v>
      </c>
      <c r="Y74">
        <v>22.35</v>
      </c>
      <c r="Z74" t="s">
        <v>164</v>
      </c>
      <c r="AA74">
        <v>3</v>
      </c>
      <c r="AB74">
        <v>25</v>
      </c>
      <c r="AC74" s="17">
        <f>15/60</f>
        <v>0.25</v>
      </c>
      <c r="AD74">
        <v>10</v>
      </c>
      <c r="AE74">
        <v>50</v>
      </c>
      <c r="AF74" s="11">
        <v>0.35</v>
      </c>
    </row>
    <row r="75" spans="1:32" x14ac:dyDescent="0.3">
      <c r="A75" t="s">
        <v>48</v>
      </c>
      <c r="B75" t="s">
        <v>49</v>
      </c>
      <c r="C75">
        <v>-2.67</v>
      </c>
      <c r="D75">
        <v>365.41</v>
      </c>
      <c r="E75">
        <v>2.2000000000000002</v>
      </c>
      <c r="F75">
        <v>2.6</v>
      </c>
      <c r="G75">
        <v>0.9</v>
      </c>
      <c r="H75">
        <v>1.7</v>
      </c>
      <c r="I75">
        <v>2.5385</v>
      </c>
      <c r="J75">
        <v>158</v>
      </c>
      <c r="K75" t="s">
        <v>50</v>
      </c>
      <c r="L75" t="s">
        <v>51</v>
      </c>
      <c r="M75">
        <v>1</v>
      </c>
      <c r="N75">
        <v>33.53</v>
      </c>
      <c r="O75">
        <v>0</v>
      </c>
      <c r="P75">
        <v>1.3049999999999999</v>
      </c>
      <c r="Q75" t="s">
        <v>52</v>
      </c>
      <c r="R75" t="s">
        <v>164</v>
      </c>
      <c r="S75" t="s">
        <v>164</v>
      </c>
      <c r="T75" t="s">
        <v>164</v>
      </c>
      <c r="U75" t="s">
        <v>164</v>
      </c>
      <c r="V75" t="s">
        <v>164</v>
      </c>
      <c r="W75">
        <v>48.55</v>
      </c>
      <c r="X75">
        <v>5.1200000000000002E-2</v>
      </c>
      <c r="Y75">
        <v>22.35</v>
      </c>
      <c r="Z75" t="s">
        <v>164</v>
      </c>
      <c r="AA75">
        <v>3</v>
      </c>
      <c r="AB75">
        <v>25</v>
      </c>
      <c r="AC75" s="19">
        <f>20/60</f>
        <v>0.33333333333333331</v>
      </c>
      <c r="AD75">
        <v>10</v>
      </c>
      <c r="AE75">
        <v>50</v>
      </c>
      <c r="AF75" s="11">
        <v>0.55000000000000004</v>
      </c>
    </row>
    <row r="76" spans="1:32" x14ac:dyDescent="0.3">
      <c r="A76" t="s">
        <v>48</v>
      </c>
      <c r="B76" t="s">
        <v>49</v>
      </c>
      <c r="C76">
        <v>-2.67</v>
      </c>
      <c r="D76">
        <v>365.41</v>
      </c>
      <c r="E76">
        <v>2.2000000000000002</v>
      </c>
      <c r="F76">
        <v>2.6</v>
      </c>
      <c r="G76">
        <v>0.9</v>
      </c>
      <c r="H76">
        <v>1.7</v>
      </c>
      <c r="I76">
        <v>2.5385</v>
      </c>
      <c r="J76">
        <v>158</v>
      </c>
      <c r="K76" t="s">
        <v>50</v>
      </c>
      <c r="L76" t="s">
        <v>51</v>
      </c>
      <c r="M76">
        <v>1</v>
      </c>
      <c r="N76">
        <v>33.53</v>
      </c>
      <c r="O76">
        <v>0</v>
      </c>
      <c r="P76">
        <v>1.3049999999999999</v>
      </c>
      <c r="Q76" t="s">
        <v>52</v>
      </c>
      <c r="R76" t="s">
        <v>164</v>
      </c>
      <c r="S76" t="s">
        <v>164</v>
      </c>
      <c r="T76" t="s">
        <v>164</v>
      </c>
      <c r="U76" t="s">
        <v>164</v>
      </c>
      <c r="V76" t="s">
        <v>164</v>
      </c>
      <c r="W76">
        <v>48.55</v>
      </c>
      <c r="X76">
        <v>5.1200000000000002E-2</v>
      </c>
      <c r="Y76">
        <v>22.35</v>
      </c>
      <c r="Z76" t="s">
        <v>164</v>
      </c>
      <c r="AA76">
        <v>3</v>
      </c>
      <c r="AB76">
        <v>25</v>
      </c>
      <c r="AC76" s="19">
        <f>40/60</f>
        <v>0.66666666666666663</v>
      </c>
      <c r="AD76">
        <v>10</v>
      </c>
      <c r="AE76">
        <v>50</v>
      </c>
      <c r="AF76" s="11">
        <v>0.75</v>
      </c>
    </row>
    <row r="77" spans="1:32" x14ac:dyDescent="0.3">
      <c r="A77" t="s">
        <v>48</v>
      </c>
      <c r="B77" t="s">
        <v>49</v>
      </c>
      <c r="C77">
        <v>-2.67</v>
      </c>
      <c r="D77">
        <v>365.41</v>
      </c>
      <c r="E77">
        <v>2.2000000000000002</v>
      </c>
      <c r="F77">
        <v>2.6</v>
      </c>
      <c r="G77">
        <v>0.9</v>
      </c>
      <c r="H77">
        <v>1.7</v>
      </c>
      <c r="I77">
        <v>2.5385</v>
      </c>
      <c r="J77">
        <v>158</v>
      </c>
      <c r="K77" t="s">
        <v>50</v>
      </c>
      <c r="L77" t="s">
        <v>51</v>
      </c>
      <c r="M77">
        <v>1</v>
      </c>
      <c r="N77">
        <v>33.53</v>
      </c>
      <c r="O77">
        <v>0</v>
      </c>
      <c r="P77">
        <v>1.3049999999999999</v>
      </c>
      <c r="Q77" t="s">
        <v>52</v>
      </c>
      <c r="R77" t="s">
        <v>164</v>
      </c>
      <c r="S77" t="s">
        <v>164</v>
      </c>
      <c r="T77" t="s">
        <v>164</v>
      </c>
      <c r="U77" t="s">
        <v>164</v>
      </c>
      <c r="V77" t="s">
        <v>164</v>
      </c>
      <c r="W77">
        <v>48.55</v>
      </c>
      <c r="X77">
        <v>5.1200000000000002E-2</v>
      </c>
      <c r="Y77">
        <v>22.35</v>
      </c>
      <c r="Z77" t="s">
        <v>164</v>
      </c>
      <c r="AA77">
        <v>3</v>
      </c>
      <c r="AB77">
        <v>25</v>
      </c>
      <c r="AC77" s="17">
        <v>1</v>
      </c>
      <c r="AD77">
        <v>10</v>
      </c>
      <c r="AE77">
        <v>50</v>
      </c>
      <c r="AF77" s="11">
        <v>0.78</v>
      </c>
    </row>
    <row r="78" spans="1:32" x14ac:dyDescent="0.3">
      <c r="A78" t="s">
        <v>48</v>
      </c>
      <c r="B78" t="s">
        <v>49</v>
      </c>
      <c r="C78">
        <v>-2.67</v>
      </c>
      <c r="D78">
        <v>365.41</v>
      </c>
      <c r="E78">
        <v>2.2000000000000002</v>
      </c>
      <c r="F78">
        <v>2.6</v>
      </c>
      <c r="G78">
        <v>0.9</v>
      </c>
      <c r="H78">
        <v>1.7</v>
      </c>
      <c r="I78">
        <v>2.5385</v>
      </c>
      <c r="J78">
        <v>158</v>
      </c>
      <c r="K78" t="s">
        <v>50</v>
      </c>
      <c r="L78" t="s">
        <v>51</v>
      </c>
      <c r="M78">
        <v>1</v>
      </c>
      <c r="N78">
        <v>33.53</v>
      </c>
      <c r="O78">
        <v>0</v>
      </c>
      <c r="P78">
        <v>1.3049999999999999</v>
      </c>
      <c r="Q78" t="s">
        <v>52</v>
      </c>
      <c r="R78" t="s">
        <v>164</v>
      </c>
      <c r="S78" t="s">
        <v>164</v>
      </c>
      <c r="T78" t="s">
        <v>164</v>
      </c>
      <c r="U78" t="s">
        <v>164</v>
      </c>
      <c r="V78" t="s">
        <v>164</v>
      </c>
      <c r="W78">
        <v>48.55</v>
      </c>
      <c r="X78">
        <v>5.1200000000000002E-2</v>
      </c>
      <c r="Y78">
        <v>22.35</v>
      </c>
      <c r="Z78" t="s">
        <v>164</v>
      </c>
      <c r="AA78">
        <v>3</v>
      </c>
      <c r="AB78">
        <v>25</v>
      </c>
      <c r="AC78" s="17">
        <f>90/60</f>
        <v>1.5</v>
      </c>
      <c r="AD78">
        <v>10</v>
      </c>
      <c r="AE78">
        <v>50</v>
      </c>
      <c r="AF78" s="11">
        <v>0.82</v>
      </c>
    </row>
    <row r="79" spans="1:32" x14ac:dyDescent="0.3">
      <c r="A79" t="s">
        <v>48</v>
      </c>
      <c r="B79" t="s">
        <v>49</v>
      </c>
      <c r="C79">
        <v>-2.67</v>
      </c>
      <c r="D79">
        <v>365.41</v>
      </c>
      <c r="E79">
        <v>2.2000000000000002</v>
      </c>
      <c r="F79">
        <v>2.6</v>
      </c>
      <c r="G79">
        <v>0.9</v>
      </c>
      <c r="H79">
        <v>1.7</v>
      </c>
      <c r="I79">
        <v>2.5385</v>
      </c>
      <c r="J79">
        <v>158</v>
      </c>
      <c r="K79" t="s">
        <v>50</v>
      </c>
      <c r="L79" t="s">
        <v>51</v>
      </c>
      <c r="M79">
        <v>1</v>
      </c>
      <c r="N79">
        <v>33.53</v>
      </c>
      <c r="O79">
        <v>0</v>
      </c>
      <c r="P79">
        <v>1.3049999999999999</v>
      </c>
      <c r="Q79" t="s">
        <v>52</v>
      </c>
      <c r="R79" t="s">
        <v>164</v>
      </c>
      <c r="S79" t="s">
        <v>164</v>
      </c>
      <c r="T79" t="s">
        <v>164</v>
      </c>
      <c r="U79" t="s">
        <v>164</v>
      </c>
      <c r="V79" t="s">
        <v>164</v>
      </c>
      <c r="W79">
        <v>48.55</v>
      </c>
      <c r="X79">
        <v>5.1200000000000002E-2</v>
      </c>
      <c r="Y79">
        <v>22.35</v>
      </c>
      <c r="Z79" t="s">
        <v>164</v>
      </c>
      <c r="AA79">
        <v>3</v>
      </c>
      <c r="AB79">
        <v>25</v>
      </c>
      <c r="AC79" s="17">
        <f>120/60</f>
        <v>2</v>
      </c>
      <c r="AD79">
        <v>10</v>
      </c>
      <c r="AE79">
        <v>50</v>
      </c>
      <c r="AF79" s="11">
        <v>0.8</v>
      </c>
    </row>
    <row r="80" spans="1:32" x14ac:dyDescent="0.3">
      <c r="A80" t="s">
        <v>48</v>
      </c>
      <c r="B80" t="s">
        <v>49</v>
      </c>
      <c r="C80">
        <v>-2.67</v>
      </c>
      <c r="D80">
        <v>365.41</v>
      </c>
      <c r="E80">
        <v>2.2000000000000002</v>
      </c>
      <c r="F80">
        <v>2.6</v>
      </c>
      <c r="G80">
        <v>0.9</v>
      </c>
      <c r="H80">
        <v>1.7</v>
      </c>
      <c r="I80">
        <v>2.5385</v>
      </c>
      <c r="J80">
        <v>158</v>
      </c>
      <c r="K80" t="s">
        <v>50</v>
      </c>
      <c r="L80" t="s">
        <v>51</v>
      </c>
      <c r="M80">
        <v>1</v>
      </c>
      <c r="N80">
        <v>33.53</v>
      </c>
      <c r="O80">
        <v>0</v>
      </c>
      <c r="P80">
        <v>1.3049999999999999</v>
      </c>
      <c r="Q80" t="s">
        <v>52</v>
      </c>
      <c r="R80" t="s">
        <v>164</v>
      </c>
      <c r="S80" t="s">
        <v>164</v>
      </c>
      <c r="T80" t="s">
        <v>164</v>
      </c>
      <c r="U80" t="s">
        <v>164</v>
      </c>
      <c r="V80" t="s">
        <v>164</v>
      </c>
      <c r="W80">
        <v>48.55</v>
      </c>
      <c r="X80">
        <v>5.1200000000000002E-2</v>
      </c>
      <c r="Y80">
        <v>22.35</v>
      </c>
      <c r="Z80" t="s">
        <v>164</v>
      </c>
      <c r="AA80">
        <v>3</v>
      </c>
      <c r="AB80">
        <v>25</v>
      </c>
      <c r="AC80" s="17">
        <f>180/60</f>
        <v>3</v>
      </c>
      <c r="AD80">
        <v>10</v>
      </c>
      <c r="AE80">
        <v>50</v>
      </c>
      <c r="AF80" s="11">
        <v>0.8</v>
      </c>
    </row>
    <row r="81" spans="1:32" x14ac:dyDescent="0.3">
      <c r="A81" t="s">
        <v>48</v>
      </c>
      <c r="B81" t="s">
        <v>49</v>
      </c>
      <c r="C81">
        <v>-2.67</v>
      </c>
      <c r="D81">
        <v>365.41</v>
      </c>
      <c r="E81">
        <v>2.2000000000000002</v>
      </c>
      <c r="F81">
        <v>2.6</v>
      </c>
      <c r="G81">
        <v>0.9</v>
      </c>
      <c r="H81">
        <v>1.7</v>
      </c>
      <c r="I81">
        <v>2.5385</v>
      </c>
      <c r="J81">
        <v>158</v>
      </c>
      <c r="K81" t="s">
        <v>50</v>
      </c>
      <c r="L81" t="s">
        <v>51</v>
      </c>
      <c r="M81">
        <v>1</v>
      </c>
      <c r="N81">
        <v>33.53</v>
      </c>
      <c r="O81">
        <v>0</v>
      </c>
      <c r="P81">
        <v>1.3049999999999999</v>
      </c>
      <c r="Q81" t="s">
        <v>52</v>
      </c>
      <c r="R81" t="s">
        <v>164</v>
      </c>
      <c r="S81" t="s">
        <v>164</v>
      </c>
      <c r="T81" t="s">
        <v>164</v>
      </c>
      <c r="U81" t="s">
        <v>164</v>
      </c>
      <c r="V81" t="s">
        <v>164</v>
      </c>
      <c r="W81">
        <v>48.55</v>
      </c>
      <c r="X81">
        <v>5.1200000000000002E-2</v>
      </c>
      <c r="Y81">
        <v>22.35</v>
      </c>
      <c r="Z81" t="s">
        <v>164</v>
      </c>
      <c r="AA81">
        <v>2</v>
      </c>
      <c r="AB81">
        <v>25</v>
      </c>
      <c r="AC81" s="17">
        <v>1.5</v>
      </c>
      <c r="AD81">
        <v>10</v>
      </c>
      <c r="AE81">
        <v>50</v>
      </c>
      <c r="AF81" s="11">
        <v>0.65</v>
      </c>
    </row>
    <row r="82" spans="1:32" x14ac:dyDescent="0.3">
      <c r="A82" t="s">
        <v>48</v>
      </c>
      <c r="B82" t="s">
        <v>49</v>
      </c>
      <c r="C82">
        <v>-2.67</v>
      </c>
      <c r="D82">
        <v>365.41</v>
      </c>
      <c r="E82">
        <v>2.2000000000000002</v>
      </c>
      <c r="F82">
        <v>2.6</v>
      </c>
      <c r="G82">
        <v>0.9</v>
      </c>
      <c r="H82">
        <v>1.7</v>
      </c>
      <c r="I82">
        <v>2.5385</v>
      </c>
      <c r="J82">
        <v>158</v>
      </c>
      <c r="K82" t="s">
        <v>50</v>
      </c>
      <c r="L82" t="s">
        <v>51</v>
      </c>
      <c r="M82">
        <v>1</v>
      </c>
      <c r="N82">
        <v>33.53</v>
      </c>
      <c r="O82">
        <v>0</v>
      </c>
      <c r="P82">
        <v>1.3049999999999999</v>
      </c>
      <c r="Q82" t="s">
        <v>52</v>
      </c>
      <c r="R82" t="s">
        <v>164</v>
      </c>
      <c r="S82" t="s">
        <v>164</v>
      </c>
      <c r="T82" t="s">
        <v>164</v>
      </c>
      <c r="U82" t="s">
        <v>164</v>
      </c>
      <c r="V82" t="s">
        <v>164</v>
      </c>
      <c r="W82">
        <v>48.55</v>
      </c>
      <c r="X82">
        <v>5.1200000000000002E-2</v>
      </c>
      <c r="Y82">
        <v>22.35</v>
      </c>
      <c r="Z82" t="s">
        <v>164</v>
      </c>
      <c r="AA82">
        <v>3</v>
      </c>
      <c r="AB82">
        <v>25</v>
      </c>
      <c r="AC82" s="17">
        <v>1.5</v>
      </c>
      <c r="AD82">
        <v>10</v>
      </c>
      <c r="AE82">
        <v>50</v>
      </c>
      <c r="AF82" s="11">
        <v>0.82</v>
      </c>
    </row>
    <row r="83" spans="1:32" x14ac:dyDescent="0.3">
      <c r="A83" t="s">
        <v>48</v>
      </c>
      <c r="B83" t="s">
        <v>49</v>
      </c>
      <c r="C83">
        <v>-2.67</v>
      </c>
      <c r="D83">
        <v>365.41</v>
      </c>
      <c r="E83">
        <v>2.2000000000000002</v>
      </c>
      <c r="F83">
        <v>2.6</v>
      </c>
      <c r="G83">
        <v>0.9</v>
      </c>
      <c r="H83">
        <v>1.7</v>
      </c>
      <c r="I83">
        <v>2.5385</v>
      </c>
      <c r="J83">
        <v>158</v>
      </c>
      <c r="K83" t="s">
        <v>50</v>
      </c>
      <c r="L83" t="s">
        <v>51</v>
      </c>
      <c r="M83">
        <v>1</v>
      </c>
      <c r="N83">
        <v>33.53</v>
      </c>
      <c r="O83">
        <v>0</v>
      </c>
      <c r="P83">
        <v>1.3049999999999999</v>
      </c>
      <c r="Q83" t="s">
        <v>52</v>
      </c>
      <c r="R83" t="s">
        <v>164</v>
      </c>
      <c r="S83" t="s">
        <v>164</v>
      </c>
      <c r="T83" t="s">
        <v>164</v>
      </c>
      <c r="U83" t="s">
        <v>164</v>
      </c>
      <c r="V83" t="s">
        <v>164</v>
      </c>
      <c r="W83">
        <v>48.55</v>
      </c>
      <c r="X83">
        <v>5.1200000000000002E-2</v>
      </c>
      <c r="Y83">
        <v>22.35</v>
      </c>
      <c r="Z83" t="s">
        <v>164</v>
      </c>
      <c r="AA83">
        <v>4</v>
      </c>
      <c r="AB83">
        <v>25</v>
      </c>
      <c r="AC83" s="17">
        <v>1.5</v>
      </c>
      <c r="AD83">
        <v>10</v>
      </c>
      <c r="AE83">
        <v>50</v>
      </c>
      <c r="AF83" s="11">
        <v>0.8</v>
      </c>
    </row>
    <row r="84" spans="1:32" x14ac:dyDescent="0.3">
      <c r="A84" t="s">
        <v>48</v>
      </c>
      <c r="B84" t="s">
        <v>49</v>
      </c>
      <c r="C84">
        <v>-2.67</v>
      </c>
      <c r="D84">
        <v>365.41</v>
      </c>
      <c r="E84">
        <v>2.2000000000000002</v>
      </c>
      <c r="F84">
        <v>2.6</v>
      </c>
      <c r="G84">
        <v>0.9</v>
      </c>
      <c r="H84">
        <v>1.7</v>
      </c>
      <c r="I84">
        <v>2.5385</v>
      </c>
      <c r="J84">
        <v>158</v>
      </c>
      <c r="K84" t="s">
        <v>50</v>
      </c>
      <c r="L84" t="s">
        <v>51</v>
      </c>
      <c r="M84">
        <v>1</v>
      </c>
      <c r="N84">
        <v>33.53</v>
      </c>
      <c r="O84">
        <v>0</v>
      </c>
      <c r="P84">
        <v>1.3049999999999999</v>
      </c>
      <c r="Q84" t="s">
        <v>52</v>
      </c>
      <c r="R84" t="s">
        <v>164</v>
      </c>
      <c r="S84" t="s">
        <v>164</v>
      </c>
      <c r="T84" t="s">
        <v>164</v>
      </c>
      <c r="U84" t="s">
        <v>164</v>
      </c>
      <c r="V84" t="s">
        <v>164</v>
      </c>
      <c r="W84">
        <v>48.55</v>
      </c>
      <c r="X84">
        <v>5.1200000000000002E-2</v>
      </c>
      <c r="Y84">
        <v>22.35</v>
      </c>
      <c r="Z84" t="s">
        <v>164</v>
      </c>
      <c r="AA84">
        <v>5</v>
      </c>
      <c r="AB84">
        <v>25</v>
      </c>
      <c r="AC84" s="17">
        <v>1.5</v>
      </c>
      <c r="AD84">
        <v>10</v>
      </c>
      <c r="AE84">
        <v>50</v>
      </c>
      <c r="AF84" s="11">
        <v>0.79</v>
      </c>
    </row>
    <row r="85" spans="1:32" x14ac:dyDescent="0.3">
      <c r="A85" t="s">
        <v>48</v>
      </c>
      <c r="B85" t="s">
        <v>49</v>
      </c>
      <c r="C85">
        <v>-2.67</v>
      </c>
      <c r="D85">
        <v>365.41</v>
      </c>
      <c r="E85">
        <v>2.2000000000000002</v>
      </c>
      <c r="F85">
        <v>2.6</v>
      </c>
      <c r="G85">
        <v>0.9</v>
      </c>
      <c r="H85">
        <v>1.7</v>
      </c>
      <c r="I85">
        <v>2.5385</v>
      </c>
      <c r="J85">
        <v>158</v>
      </c>
      <c r="K85" t="s">
        <v>50</v>
      </c>
      <c r="L85" t="s">
        <v>51</v>
      </c>
      <c r="M85">
        <v>1</v>
      </c>
      <c r="N85">
        <v>33.53</v>
      </c>
      <c r="O85">
        <v>0</v>
      </c>
      <c r="P85">
        <v>1.3049999999999999</v>
      </c>
      <c r="Q85" t="s">
        <v>52</v>
      </c>
      <c r="R85" t="s">
        <v>164</v>
      </c>
      <c r="S85" t="s">
        <v>164</v>
      </c>
      <c r="T85" t="s">
        <v>164</v>
      </c>
      <c r="U85" t="s">
        <v>164</v>
      </c>
      <c r="V85" t="s">
        <v>164</v>
      </c>
      <c r="W85">
        <v>48.55</v>
      </c>
      <c r="X85">
        <v>5.1200000000000002E-2</v>
      </c>
      <c r="Y85">
        <v>22.35</v>
      </c>
      <c r="Z85" t="s">
        <v>164</v>
      </c>
      <c r="AA85">
        <v>6</v>
      </c>
      <c r="AB85">
        <v>25</v>
      </c>
      <c r="AC85" s="17">
        <v>1.5</v>
      </c>
      <c r="AD85">
        <v>10</v>
      </c>
      <c r="AE85">
        <v>50</v>
      </c>
      <c r="AF85" s="11">
        <v>0.68</v>
      </c>
    </row>
    <row r="86" spans="1:32" x14ac:dyDescent="0.3">
      <c r="A86" t="s">
        <v>48</v>
      </c>
      <c r="B86" t="s">
        <v>49</v>
      </c>
      <c r="C86">
        <v>-2.67</v>
      </c>
      <c r="D86">
        <v>365.41</v>
      </c>
      <c r="E86">
        <v>2.2000000000000002</v>
      </c>
      <c r="F86">
        <v>2.6</v>
      </c>
      <c r="G86">
        <v>0.9</v>
      </c>
      <c r="H86">
        <v>1.7</v>
      </c>
      <c r="I86">
        <v>2.5385</v>
      </c>
      <c r="J86">
        <v>158</v>
      </c>
      <c r="K86" t="s">
        <v>50</v>
      </c>
      <c r="L86" t="s">
        <v>51</v>
      </c>
      <c r="M86">
        <v>1</v>
      </c>
      <c r="N86">
        <v>33.53</v>
      </c>
      <c r="O86">
        <v>0</v>
      </c>
      <c r="P86">
        <v>1.3049999999999999</v>
      </c>
      <c r="Q86" t="s">
        <v>52</v>
      </c>
      <c r="R86" t="s">
        <v>164</v>
      </c>
      <c r="S86" t="s">
        <v>164</v>
      </c>
      <c r="T86" t="s">
        <v>164</v>
      </c>
      <c r="U86" t="s">
        <v>164</v>
      </c>
      <c r="V86" t="s">
        <v>164</v>
      </c>
      <c r="W86">
        <v>48.55</v>
      </c>
      <c r="X86">
        <v>5.1200000000000002E-2</v>
      </c>
      <c r="Y86">
        <v>22.35</v>
      </c>
      <c r="Z86" t="s">
        <v>164</v>
      </c>
      <c r="AA86">
        <v>7</v>
      </c>
      <c r="AB86">
        <v>25</v>
      </c>
      <c r="AC86" s="17">
        <v>1.5</v>
      </c>
      <c r="AD86">
        <v>10</v>
      </c>
      <c r="AE86">
        <v>50</v>
      </c>
      <c r="AF86" s="11">
        <v>0.57999999999999996</v>
      </c>
    </row>
    <row r="87" spans="1:32" x14ac:dyDescent="0.3">
      <c r="A87" t="s">
        <v>48</v>
      </c>
      <c r="B87" t="s">
        <v>49</v>
      </c>
      <c r="C87">
        <v>-2.67</v>
      </c>
      <c r="D87">
        <v>365.41</v>
      </c>
      <c r="E87">
        <v>2.2000000000000002</v>
      </c>
      <c r="F87">
        <v>2.6</v>
      </c>
      <c r="G87">
        <v>0.9</v>
      </c>
      <c r="H87">
        <v>1.7</v>
      </c>
      <c r="I87">
        <v>2.5385</v>
      </c>
      <c r="J87">
        <v>158</v>
      </c>
      <c r="K87" t="s">
        <v>50</v>
      </c>
      <c r="L87" t="s">
        <v>51</v>
      </c>
      <c r="M87">
        <v>1</v>
      </c>
      <c r="N87">
        <v>33.53</v>
      </c>
      <c r="O87">
        <v>0</v>
      </c>
      <c r="P87">
        <v>1.3049999999999999</v>
      </c>
      <c r="Q87" t="s">
        <v>52</v>
      </c>
      <c r="R87" t="s">
        <v>164</v>
      </c>
      <c r="S87" t="s">
        <v>164</v>
      </c>
      <c r="T87" t="s">
        <v>164</v>
      </c>
      <c r="U87" t="s">
        <v>164</v>
      </c>
      <c r="V87" t="s">
        <v>164</v>
      </c>
      <c r="W87">
        <v>48.55</v>
      </c>
      <c r="X87">
        <v>5.1200000000000002E-2</v>
      </c>
      <c r="Y87">
        <v>22.35</v>
      </c>
      <c r="Z87" t="s">
        <v>164</v>
      </c>
      <c r="AA87">
        <v>8</v>
      </c>
      <c r="AB87">
        <v>25</v>
      </c>
      <c r="AC87" s="17">
        <v>1.5</v>
      </c>
      <c r="AD87">
        <v>10</v>
      </c>
      <c r="AE87">
        <v>50</v>
      </c>
      <c r="AF87" s="11">
        <v>0.5</v>
      </c>
    </row>
    <row r="88" spans="1:32" x14ac:dyDescent="0.3">
      <c r="A88" t="s">
        <v>48</v>
      </c>
      <c r="B88" t="s">
        <v>49</v>
      </c>
      <c r="C88">
        <v>-2.67</v>
      </c>
      <c r="D88">
        <v>365.41</v>
      </c>
      <c r="E88">
        <v>2.2000000000000002</v>
      </c>
      <c r="F88">
        <v>2.6</v>
      </c>
      <c r="G88">
        <v>0.9</v>
      </c>
      <c r="H88">
        <v>1.7</v>
      </c>
      <c r="I88">
        <v>2.5385</v>
      </c>
      <c r="J88">
        <v>158</v>
      </c>
      <c r="K88" t="s">
        <v>50</v>
      </c>
      <c r="L88" t="s">
        <v>51</v>
      </c>
      <c r="M88">
        <v>1</v>
      </c>
      <c r="N88">
        <v>33.53</v>
      </c>
      <c r="O88">
        <v>0</v>
      </c>
      <c r="P88">
        <v>1.3049999999999999</v>
      </c>
      <c r="Q88" t="s">
        <v>52</v>
      </c>
      <c r="R88" t="s">
        <v>164</v>
      </c>
      <c r="S88" t="s">
        <v>164</v>
      </c>
      <c r="T88" t="s">
        <v>164</v>
      </c>
      <c r="U88" t="s">
        <v>164</v>
      </c>
      <c r="V88" t="s">
        <v>164</v>
      </c>
      <c r="W88">
        <v>48.55</v>
      </c>
      <c r="X88">
        <v>5.1200000000000002E-2</v>
      </c>
      <c r="Y88">
        <v>22.35</v>
      </c>
      <c r="Z88" t="s">
        <v>164</v>
      </c>
      <c r="AA88">
        <v>9</v>
      </c>
      <c r="AB88">
        <v>25</v>
      </c>
      <c r="AC88" s="17">
        <v>1.5</v>
      </c>
      <c r="AD88">
        <v>10</v>
      </c>
      <c r="AE88">
        <v>50</v>
      </c>
      <c r="AF88" s="11">
        <v>0.2</v>
      </c>
    </row>
    <row r="89" spans="1:32" x14ac:dyDescent="0.3">
      <c r="A89" t="s">
        <v>48</v>
      </c>
      <c r="B89" t="s">
        <v>49</v>
      </c>
      <c r="C89">
        <v>-2.67</v>
      </c>
      <c r="D89">
        <v>365.41</v>
      </c>
      <c r="E89">
        <v>2.2000000000000002</v>
      </c>
      <c r="F89">
        <v>2.6</v>
      </c>
      <c r="G89">
        <v>0.9</v>
      </c>
      <c r="H89">
        <v>1.7</v>
      </c>
      <c r="I89">
        <v>2.5385</v>
      </c>
      <c r="J89">
        <v>158</v>
      </c>
      <c r="K89" t="s">
        <v>50</v>
      </c>
      <c r="L89" t="s">
        <v>51</v>
      </c>
      <c r="M89">
        <v>1</v>
      </c>
      <c r="N89">
        <v>33.53</v>
      </c>
      <c r="O89">
        <v>0</v>
      </c>
      <c r="P89">
        <v>1.3049999999999999</v>
      </c>
      <c r="Q89" t="s">
        <v>52</v>
      </c>
      <c r="R89" t="s">
        <v>164</v>
      </c>
      <c r="S89" t="s">
        <v>164</v>
      </c>
      <c r="T89" t="s">
        <v>164</v>
      </c>
      <c r="U89" t="s">
        <v>164</v>
      </c>
      <c r="V89" t="s">
        <v>164</v>
      </c>
      <c r="W89">
        <v>48.55</v>
      </c>
      <c r="X89">
        <v>5.1200000000000002E-2</v>
      </c>
      <c r="Y89">
        <v>22.35</v>
      </c>
      <c r="Z89" t="s">
        <v>164</v>
      </c>
      <c r="AA89">
        <v>10</v>
      </c>
      <c r="AB89">
        <v>25</v>
      </c>
      <c r="AC89" s="17">
        <v>1.5</v>
      </c>
      <c r="AD89">
        <v>10</v>
      </c>
      <c r="AE89">
        <v>50</v>
      </c>
      <c r="AF89" s="11">
        <v>0.2</v>
      </c>
    </row>
    <row r="90" spans="1:32" x14ac:dyDescent="0.3">
      <c r="A90" t="s">
        <v>48</v>
      </c>
      <c r="B90" t="s">
        <v>49</v>
      </c>
      <c r="C90">
        <v>-2.67</v>
      </c>
      <c r="D90">
        <v>365.41</v>
      </c>
      <c r="E90">
        <v>2.2000000000000002</v>
      </c>
      <c r="F90">
        <v>2.6</v>
      </c>
      <c r="G90">
        <v>0.9</v>
      </c>
      <c r="H90">
        <v>1.7</v>
      </c>
      <c r="I90">
        <v>2.5385</v>
      </c>
      <c r="J90">
        <v>158</v>
      </c>
      <c r="K90" t="s">
        <v>50</v>
      </c>
      <c r="L90" t="s">
        <v>51</v>
      </c>
      <c r="M90">
        <v>1</v>
      </c>
      <c r="N90">
        <v>33.53</v>
      </c>
      <c r="O90">
        <v>0</v>
      </c>
      <c r="P90">
        <v>1.3049999999999999</v>
      </c>
      <c r="Q90" t="s">
        <v>52</v>
      </c>
      <c r="R90" t="s">
        <v>164</v>
      </c>
      <c r="S90" t="s">
        <v>164</v>
      </c>
      <c r="T90" t="s">
        <v>164</v>
      </c>
      <c r="U90" t="s">
        <v>164</v>
      </c>
      <c r="V90" t="s">
        <v>164</v>
      </c>
      <c r="W90">
        <v>48.55</v>
      </c>
      <c r="X90">
        <v>5.1200000000000002E-2</v>
      </c>
      <c r="Y90">
        <v>22.35</v>
      </c>
      <c r="Z90" t="s">
        <v>164</v>
      </c>
      <c r="AA90">
        <v>11</v>
      </c>
      <c r="AB90">
        <v>25</v>
      </c>
      <c r="AC90" s="17">
        <v>1.5</v>
      </c>
      <c r="AD90">
        <v>10</v>
      </c>
      <c r="AE90">
        <v>50</v>
      </c>
      <c r="AF90" s="11">
        <v>0.19</v>
      </c>
    </row>
    <row r="91" spans="1:32" x14ac:dyDescent="0.3">
      <c r="A91" t="s">
        <v>48</v>
      </c>
      <c r="B91" t="s">
        <v>49</v>
      </c>
      <c r="C91">
        <v>-2.67</v>
      </c>
      <c r="D91">
        <v>365.41</v>
      </c>
      <c r="E91">
        <v>2.2000000000000002</v>
      </c>
      <c r="F91">
        <v>2.6</v>
      </c>
      <c r="G91">
        <v>0.9</v>
      </c>
      <c r="H91">
        <v>1.7</v>
      </c>
      <c r="I91">
        <v>2.5385</v>
      </c>
      <c r="J91">
        <v>158</v>
      </c>
      <c r="K91" t="s">
        <v>50</v>
      </c>
      <c r="L91" t="s">
        <v>51</v>
      </c>
      <c r="M91">
        <v>1</v>
      </c>
      <c r="N91">
        <v>33.53</v>
      </c>
      <c r="O91">
        <v>0</v>
      </c>
      <c r="P91">
        <v>1.3049999999999999</v>
      </c>
      <c r="Q91" t="s">
        <v>52</v>
      </c>
      <c r="R91" t="s">
        <v>164</v>
      </c>
      <c r="S91" t="s">
        <v>164</v>
      </c>
      <c r="T91" t="s">
        <v>164</v>
      </c>
      <c r="U91" t="s">
        <v>164</v>
      </c>
      <c r="V91" t="s">
        <v>164</v>
      </c>
      <c r="W91">
        <v>48.55</v>
      </c>
      <c r="X91">
        <v>5.1200000000000002E-2</v>
      </c>
      <c r="Y91">
        <v>22.35</v>
      </c>
      <c r="Z91" t="s">
        <v>164</v>
      </c>
      <c r="AA91">
        <v>12</v>
      </c>
      <c r="AB91">
        <v>25</v>
      </c>
      <c r="AC91" s="17">
        <v>1.5</v>
      </c>
      <c r="AD91">
        <v>10</v>
      </c>
      <c r="AE91">
        <v>50</v>
      </c>
      <c r="AF91" s="11">
        <v>0.18</v>
      </c>
    </row>
    <row r="92" spans="1:32" x14ac:dyDescent="0.3">
      <c r="A92" t="s">
        <v>48</v>
      </c>
      <c r="B92" t="s">
        <v>49</v>
      </c>
      <c r="C92">
        <v>-2.67</v>
      </c>
      <c r="D92">
        <v>365.41</v>
      </c>
      <c r="E92">
        <v>2.2000000000000002</v>
      </c>
      <c r="F92">
        <v>2.6</v>
      </c>
      <c r="G92">
        <v>0.9</v>
      </c>
      <c r="H92">
        <v>1.7</v>
      </c>
      <c r="I92">
        <v>2.5385</v>
      </c>
      <c r="J92">
        <v>158</v>
      </c>
      <c r="K92" t="s">
        <v>50</v>
      </c>
      <c r="L92" t="s">
        <v>51</v>
      </c>
      <c r="M92">
        <v>1</v>
      </c>
      <c r="N92">
        <v>33.53</v>
      </c>
      <c r="O92">
        <v>0</v>
      </c>
      <c r="P92">
        <v>1.3049999999999999</v>
      </c>
      <c r="Q92" t="s">
        <v>52</v>
      </c>
      <c r="R92" t="s">
        <v>164</v>
      </c>
      <c r="S92" t="s">
        <v>164</v>
      </c>
      <c r="T92" t="s">
        <v>164</v>
      </c>
      <c r="U92" t="s">
        <v>164</v>
      </c>
      <c r="V92" t="s">
        <v>164</v>
      </c>
      <c r="W92">
        <v>48.55</v>
      </c>
      <c r="X92">
        <v>5.1200000000000002E-2</v>
      </c>
      <c r="Y92">
        <v>22.35</v>
      </c>
      <c r="Z92" t="s">
        <v>164</v>
      </c>
      <c r="AA92">
        <v>3</v>
      </c>
      <c r="AB92">
        <v>25</v>
      </c>
      <c r="AC92" s="17">
        <v>1.5</v>
      </c>
      <c r="AD92">
        <v>10</v>
      </c>
      <c r="AE92">
        <v>10</v>
      </c>
      <c r="AF92" s="11">
        <v>0.95</v>
      </c>
    </row>
    <row r="93" spans="1:32" x14ac:dyDescent="0.3">
      <c r="A93" t="s">
        <v>48</v>
      </c>
      <c r="B93" t="s">
        <v>49</v>
      </c>
      <c r="C93">
        <v>-2.67</v>
      </c>
      <c r="D93">
        <v>365.41</v>
      </c>
      <c r="E93">
        <v>2.2000000000000002</v>
      </c>
      <c r="F93">
        <v>2.6</v>
      </c>
      <c r="G93">
        <v>0.9</v>
      </c>
      <c r="H93">
        <v>1.7</v>
      </c>
      <c r="I93">
        <v>2.5385</v>
      </c>
      <c r="J93">
        <v>158</v>
      </c>
      <c r="K93" t="s">
        <v>50</v>
      </c>
      <c r="L93" t="s">
        <v>51</v>
      </c>
      <c r="M93">
        <v>1</v>
      </c>
      <c r="N93">
        <v>33.53</v>
      </c>
      <c r="O93">
        <v>0</v>
      </c>
      <c r="P93">
        <v>1.3049999999999999</v>
      </c>
      <c r="Q93" t="s">
        <v>52</v>
      </c>
      <c r="R93" t="s">
        <v>164</v>
      </c>
      <c r="S93" t="s">
        <v>164</v>
      </c>
      <c r="T93" t="s">
        <v>164</v>
      </c>
      <c r="U93" t="s">
        <v>164</v>
      </c>
      <c r="V93" t="s">
        <v>164</v>
      </c>
      <c r="W93">
        <v>48.55</v>
      </c>
      <c r="X93">
        <v>5.1200000000000002E-2</v>
      </c>
      <c r="Y93">
        <v>22.35</v>
      </c>
      <c r="Z93" t="s">
        <v>164</v>
      </c>
      <c r="AA93">
        <v>3</v>
      </c>
      <c r="AB93">
        <v>25</v>
      </c>
      <c r="AC93" s="17">
        <v>1.5</v>
      </c>
      <c r="AD93">
        <v>10</v>
      </c>
      <c r="AE93">
        <v>30</v>
      </c>
      <c r="AF93" s="11">
        <v>0.9</v>
      </c>
    </row>
    <row r="94" spans="1:32" x14ac:dyDescent="0.3">
      <c r="A94" t="s">
        <v>48</v>
      </c>
      <c r="B94" t="s">
        <v>49</v>
      </c>
      <c r="C94">
        <v>-2.67</v>
      </c>
      <c r="D94">
        <v>365.41</v>
      </c>
      <c r="E94">
        <v>2.2000000000000002</v>
      </c>
      <c r="F94">
        <v>2.6</v>
      </c>
      <c r="G94">
        <v>0.9</v>
      </c>
      <c r="H94">
        <v>1.7</v>
      </c>
      <c r="I94">
        <v>2.5385</v>
      </c>
      <c r="J94">
        <v>158</v>
      </c>
      <c r="K94" t="s">
        <v>50</v>
      </c>
      <c r="L94" t="s">
        <v>51</v>
      </c>
      <c r="M94">
        <v>1</v>
      </c>
      <c r="N94">
        <v>33.53</v>
      </c>
      <c r="O94">
        <v>0</v>
      </c>
      <c r="P94">
        <v>1.3049999999999999</v>
      </c>
      <c r="Q94" t="s">
        <v>52</v>
      </c>
      <c r="R94" t="s">
        <v>164</v>
      </c>
      <c r="S94" t="s">
        <v>164</v>
      </c>
      <c r="T94" t="s">
        <v>164</v>
      </c>
      <c r="U94" t="s">
        <v>164</v>
      </c>
      <c r="V94" t="s">
        <v>164</v>
      </c>
      <c r="W94">
        <v>48.55</v>
      </c>
      <c r="X94">
        <v>5.1200000000000002E-2</v>
      </c>
      <c r="Y94">
        <v>22.35</v>
      </c>
      <c r="Z94" t="s">
        <v>164</v>
      </c>
      <c r="AA94">
        <v>3</v>
      </c>
      <c r="AB94">
        <v>25</v>
      </c>
      <c r="AC94" s="17">
        <v>1.5</v>
      </c>
      <c r="AD94">
        <v>10</v>
      </c>
      <c r="AE94">
        <v>50</v>
      </c>
      <c r="AF94" s="11">
        <v>0.8</v>
      </c>
    </row>
    <row r="95" spans="1:32" x14ac:dyDescent="0.3">
      <c r="A95" t="s">
        <v>48</v>
      </c>
      <c r="B95" t="s">
        <v>49</v>
      </c>
      <c r="C95">
        <v>-2.67</v>
      </c>
      <c r="D95">
        <v>365.41</v>
      </c>
      <c r="E95">
        <v>2.2000000000000002</v>
      </c>
      <c r="F95">
        <v>2.6</v>
      </c>
      <c r="G95">
        <v>0.9</v>
      </c>
      <c r="H95">
        <v>1.7</v>
      </c>
      <c r="I95">
        <v>2.5385</v>
      </c>
      <c r="J95">
        <v>158</v>
      </c>
      <c r="K95" t="s">
        <v>50</v>
      </c>
      <c r="L95" t="s">
        <v>51</v>
      </c>
      <c r="M95">
        <v>1</v>
      </c>
      <c r="N95">
        <v>33.53</v>
      </c>
      <c r="O95">
        <v>0</v>
      </c>
      <c r="P95">
        <v>1.3049999999999999</v>
      </c>
      <c r="Q95" t="s">
        <v>52</v>
      </c>
      <c r="R95" t="s">
        <v>164</v>
      </c>
      <c r="S95" t="s">
        <v>164</v>
      </c>
      <c r="T95" t="s">
        <v>164</v>
      </c>
      <c r="U95" t="s">
        <v>164</v>
      </c>
      <c r="V95" t="s">
        <v>164</v>
      </c>
      <c r="W95">
        <v>48.55</v>
      </c>
      <c r="X95">
        <v>5.1200000000000002E-2</v>
      </c>
      <c r="Y95">
        <v>22.35</v>
      </c>
      <c r="Z95" t="s">
        <v>164</v>
      </c>
      <c r="AA95">
        <v>3</v>
      </c>
      <c r="AB95">
        <v>25</v>
      </c>
      <c r="AC95" s="17">
        <v>1.5</v>
      </c>
      <c r="AD95">
        <v>10</v>
      </c>
      <c r="AE95">
        <v>100</v>
      </c>
      <c r="AF95" s="11">
        <v>0.78</v>
      </c>
    </row>
    <row r="96" spans="1:32" x14ac:dyDescent="0.3">
      <c r="A96" t="s">
        <v>48</v>
      </c>
      <c r="B96" t="s">
        <v>49</v>
      </c>
      <c r="C96">
        <v>-2.67</v>
      </c>
      <c r="D96">
        <v>365.41</v>
      </c>
      <c r="E96">
        <v>2.2000000000000002</v>
      </c>
      <c r="F96">
        <v>2.6</v>
      </c>
      <c r="G96">
        <v>0.9</v>
      </c>
      <c r="H96">
        <v>1.7</v>
      </c>
      <c r="I96">
        <v>2.5385</v>
      </c>
      <c r="J96">
        <v>158</v>
      </c>
      <c r="K96" t="s">
        <v>50</v>
      </c>
      <c r="L96" t="s">
        <v>51</v>
      </c>
      <c r="M96">
        <v>1</v>
      </c>
      <c r="N96">
        <v>33.53</v>
      </c>
      <c r="O96">
        <v>0</v>
      </c>
      <c r="P96">
        <v>1.3049999999999999</v>
      </c>
      <c r="Q96" t="s">
        <v>52</v>
      </c>
      <c r="R96" t="s">
        <v>164</v>
      </c>
      <c r="S96" t="s">
        <v>164</v>
      </c>
      <c r="T96" t="s">
        <v>164</v>
      </c>
      <c r="U96" t="s">
        <v>164</v>
      </c>
      <c r="V96" t="s">
        <v>164</v>
      </c>
      <c r="W96">
        <v>48.55</v>
      </c>
      <c r="X96">
        <v>5.1200000000000002E-2</v>
      </c>
      <c r="Y96">
        <v>22.35</v>
      </c>
      <c r="Z96" t="s">
        <v>164</v>
      </c>
      <c r="AA96">
        <v>3</v>
      </c>
      <c r="AB96">
        <v>25</v>
      </c>
      <c r="AC96" s="17">
        <v>1.5</v>
      </c>
      <c r="AD96">
        <v>10</v>
      </c>
      <c r="AE96">
        <v>250</v>
      </c>
      <c r="AF96" s="11">
        <v>0.3</v>
      </c>
    </row>
    <row r="97" spans="1:32" x14ac:dyDescent="0.3">
      <c r="A97" t="s">
        <v>48</v>
      </c>
      <c r="B97" t="s">
        <v>49</v>
      </c>
      <c r="C97">
        <v>-2.67</v>
      </c>
      <c r="D97">
        <v>365.41</v>
      </c>
      <c r="E97">
        <v>2.2000000000000002</v>
      </c>
      <c r="F97">
        <v>2.6</v>
      </c>
      <c r="G97">
        <v>0.9</v>
      </c>
      <c r="H97">
        <v>1.7</v>
      </c>
      <c r="I97">
        <v>2.5385</v>
      </c>
      <c r="J97">
        <v>158</v>
      </c>
      <c r="K97" t="s">
        <v>50</v>
      </c>
      <c r="L97" t="s">
        <v>51</v>
      </c>
      <c r="M97">
        <v>1</v>
      </c>
      <c r="N97">
        <v>33.53</v>
      </c>
      <c r="O97">
        <v>0</v>
      </c>
      <c r="P97">
        <v>1.3049999999999999</v>
      </c>
      <c r="Q97" t="s">
        <v>52</v>
      </c>
      <c r="R97" t="s">
        <v>164</v>
      </c>
      <c r="S97" t="s">
        <v>164</v>
      </c>
      <c r="T97" t="s">
        <v>164</v>
      </c>
      <c r="U97" t="s">
        <v>164</v>
      </c>
      <c r="V97" t="s">
        <v>164</v>
      </c>
      <c r="W97">
        <v>48.55</v>
      </c>
      <c r="X97">
        <v>5.1200000000000002E-2</v>
      </c>
      <c r="Y97">
        <v>22.35</v>
      </c>
      <c r="Z97" t="s">
        <v>164</v>
      </c>
      <c r="AA97">
        <v>3</v>
      </c>
      <c r="AB97">
        <v>25</v>
      </c>
      <c r="AC97" s="17">
        <v>1.5</v>
      </c>
      <c r="AD97">
        <f>0.1/0.05</f>
        <v>2</v>
      </c>
      <c r="AE97">
        <v>50</v>
      </c>
      <c r="AF97" s="11">
        <v>0.8</v>
      </c>
    </row>
    <row r="98" spans="1:32" x14ac:dyDescent="0.3">
      <c r="A98" t="s">
        <v>48</v>
      </c>
      <c r="B98" t="s">
        <v>49</v>
      </c>
      <c r="C98">
        <v>-2.67</v>
      </c>
      <c r="D98">
        <v>365.41</v>
      </c>
      <c r="E98">
        <v>2.2000000000000002</v>
      </c>
      <c r="F98">
        <v>2.6</v>
      </c>
      <c r="G98">
        <v>0.9</v>
      </c>
      <c r="H98">
        <v>1.7</v>
      </c>
      <c r="I98">
        <v>2.5385</v>
      </c>
      <c r="J98">
        <v>158</v>
      </c>
      <c r="K98" t="s">
        <v>50</v>
      </c>
      <c r="L98" t="s">
        <v>51</v>
      </c>
      <c r="M98">
        <v>1</v>
      </c>
      <c r="N98">
        <v>33.53</v>
      </c>
      <c r="O98">
        <v>0</v>
      </c>
      <c r="P98">
        <v>1.3049999999999999</v>
      </c>
      <c r="Q98" t="s">
        <v>52</v>
      </c>
      <c r="R98" t="s">
        <v>164</v>
      </c>
      <c r="S98" t="s">
        <v>164</v>
      </c>
      <c r="T98" t="s">
        <v>164</v>
      </c>
      <c r="U98" t="s">
        <v>164</v>
      </c>
      <c r="V98" t="s">
        <v>164</v>
      </c>
      <c r="W98">
        <v>48.55</v>
      </c>
      <c r="X98">
        <v>5.1200000000000002E-2</v>
      </c>
      <c r="Y98">
        <v>22.35</v>
      </c>
      <c r="Z98" t="s">
        <v>164</v>
      </c>
      <c r="AA98">
        <v>3</v>
      </c>
      <c r="AB98">
        <v>25</v>
      </c>
      <c r="AC98" s="17">
        <v>1.5</v>
      </c>
      <c r="AD98">
        <f>0.25/0.05</f>
        <v>5</v>
      </c>
      <c r="AE98">
        <v>50</v>
      </c>
      <c r="AF98" s="11">
        <v>0.85</v>
      </c>
    </row>
    <row r="99" spans="1:32" x14ac:dyDescent="0.3">
      <c r="A99" t="s">
        <v>48</v>
      </c>
      <c r="B99" t="s">
        <v>49</v>
      </c>
      <c r="C99">
        <v>-2.67</v>
      </c>
      <c r="D99">
        <v>365.41</v>
      </c>
      <c r="E99">
        <v>2.2000000000000002</v>
      </c>
      <c r="F99">
        <v>2.6</v>
      </c>
      <c r="G99">
        <v>0.9</v>
      </c>
      <c r="H99">
        <v>1.7</v>
      </c>
      <c r="I99">
        <v>2.5385</v>
      </c>
      <c r="J99">
        <v>158</v>
      </c>
      <c r="K99" t="s">
        <v>50</v>
      </c>
      <c r="L99" t="s">
        <v>51</v>
      </c>
      <c r="M99">
        <v>1</v>
      </c>
      <c r="N99">
        <v>33.53</v>
      </c>
      <c r="O99">
        <v>0</v>
      </c>
      <c r="P99">
        <v>1.3049999999999999</v>
      </c>
      <c r="Q99" t="s">
        <v>52</v>
      </c>
      <c r="R99" t="s">
        <v>164</v>
      </c>
      <c r="S99" t="s">
        <v>164</v>
      </c>
      <c r="T99" t="s">
        <v>164</v>
      </c>
      <c r="U99" t="s">
        <v>164</v>
      </c>
      <c r="V99" t="s">
        <v>164</v>
      </c>
      <c r="W99">
        <v>48.55</v>
      </c>
      <c r="X99">
        <v>5.1200000000000002E-2</v>
      </c>
      <c r="Y99">
        <v>22.35</v>
      </c>
      <c r="Z99" t="s">
        <v>164</v>
      </c>
      <c r="AA99">
        <v>3</v>
      </c>
      <c r="AB99">
        <v>25</v>
      </c>
      <c r="AC99" s="17">
        <v>1.5</v>
      </c>
      <c r="AD99">
        <f>0.5/0.05</f>
        <v>10</v>
      </c>
      <c r="AE99">
        <v>50</v>
      </c>
      <c r="AF99" s="11">
        <v>0.95</v>
      </c>
    </row>
    <row r="100" spans="1:32" x14ac:dyDescent="0.3">
      <c r="A100" t="s">
        <v>48</v>
      </c>
      <c r="B100" t="s">
        <v>49</v>
      </c>
      <c r="C100">
        <v>-2.67</v>
      </c>
      <c r="D100">
        <v>365.41</v>
      </c>
      <c r="E100">
        <v>2.2000000000000002</v>
      </c>
      <c r="F100">
        <v>2.6</v>
      </c>
      <c r="G100">
        <v>0.9</v>
      </c>
      <c r="H100">
        <v>1.7</v>
      </c>
      <c r="I100">
        <v>2.5385</v>
      </c>
      <c r="J100">
        <v>158</v>
      </c>
      <c r="K100" t="s">
        <v>50</v>
      </c>
      <c r="L100" t="s">
        <v>51</v>
      </c>
      <c r="M100">
        <v>1</v>
      </c>
      <c r="N100">
        <v>33.53</v>
      </c>
      <c r="O100">
        <v>0</v>
      </c>
      <c r="P100">
        <v>1.3049999999999999</v>
      </c>
      <c r="Q100" t="s">
        <v>52</v>
      </c>
      <c r="R100" t="s">
        <v>164</v>
      </c>
      <c r="S100" t="s">
        <v>164</v>
      </c>
      <c r="T100" t="s">
        <v>164</v>
      </c>
      <c r="U100" t="s">
        <v>164</v>
      </c>
      <c r="V100" t="s">
        <v>164</v>
      </c>
      <c r="W100">
        <v>48.55</v>
      </c>
      <c r="X100">
        <v>5.1200000000000002E-2</v>
      </c>
      <c r="Y100">
        <v>22.35</v>
      </c>
      <c r="Z100" t="s">
        <v>164</v>
      </c>
      <c r="AA100">
        <v>3</v>
      </c>
      <c r="AB100">
        <v>25</v>
      </c>
      <c r="AC100" s="17">
        <v>1.5</v>
      </c>
      <c r="AD100">
        <f>0.75/0.05</f>
        <v>15</v>
      </c>
      <c r="AE100">
        <v>50</v>
      </c>
      <c r="AF100" s="11">
        <v>0.94</v>
      </c>
    </row>
    <row r="101" spans="1:32" x14ac:dyDescent="0.3">
      <c r="A101" t="s">
        <v>53</v>
      </c>
      <c r="B101" t="s">
        <v>54</v>
      </c>
      <c r="C101">
        <v>3.5</v>
      </c>
      <c r="D101">
        <v>206.29</v>
      </c>
      <c r="E101">
        <v>0.7</v>
      </c>
      <c r="F101">
        <v>0.9</v>
      </c>
      <c r="G101">
        <v>0.6</v>
      </c>
      <c r="H101">
        <v>0.57999999999999996</v>
      </c>
      <c r="I101">
        <v>1.7766</v>
      </c>
      <c r="J101">
        <v>37.299999999999997</v>
      </c>
      <c r="K101" t="s">
        <v>55</v>
      </c>
      <c r="L101" t="s">
        <v>51</v>
      </c>
      <c r="M101">
        <v>2</v>
      </c>
      <c r="N101">
        <v>25.196000000000002</v>
      </c>
      <c r="O101">
        <v>0</v>
      </c>
      <c r="P101">
        <v>1.41</v>
      </c>
      <c r="Q101" t="s">
        <v>52</v>
      </c>
      <c r="R101" t="s">
        <v>164</v>
      </c>
      <c r="S101" t="s">
        <v>164</v>
      </c>
      <c r="T101" t="s">
        <v>164</v>
      </c>
      <c r="U101" t="s">
        <v>164</v>
      </c>
      <c r="V101" s="7">
        <v>0.78241680204573549</v>
      </c>
      <c r="W101">
        <v>2.89</v>
      </c>
      <c r="X101" t="s">
        <v>164</v>
      </c>
      <c r="Y101">
        <v>6.8</v>
      </c>
      <c r="Z101">
        <v>8.57</v>
      </c>
      <c r="AA101">
        <v>7</v>
      </c>
      <c r="AB101">
        <v>25</v>
      </c>
      <c r="AC101" s="19">
        <f>5/60</f>
        <v>8.3333333333333329E-2</v>
      </c>
      <c r="AD101">
        <v>1</v>
      </c>
      <c r="AE101">
        <v>5</v>
      </c>
      <c r="AF101" s="11">
        <v>0.82</v>
      </c>
    </row>
    <row r="102" spans="1:32" x14ac:dyDescent="0.3">
      <c r="A102" t="s">
        <v>53</v>
      </c>
      <c r="B102" t="s">
        <v>54</v>
      </c>
      <c r="C102">
        <v>3.5</v>
      </c>
      <c r="D102">
        <v>206.29</v>
      </c>
      <c r="E102">
        <v>0.73</v>
      </c>
      <c r="F102">
        <v>0.7</v>
      </c>
      <c r="G102">
        <v>0.56000000000000005</v>
      </c>
      <c r="H102">
        <v>0.79</v>
      </c>
      <c r="I102">
        <v>1.7770999999999999</v>
      </c>
      <c r="J102">
        <v>37.299999999999997</v>
      </c>
      <c r="K102" t="s">
        <v>55</v>
      </c>
      <c r="L102" t="s">
        <v>51</v>
      </c>
      <c r="M102">
        <v>2</v>
      </c>
      <c r="N102">
        <v>25.196000000000002</v>
      </c>
      <c r="O102">
        <v>0</v>
      </c>
      <c r="P102">
        <v>1.41</v>
      </c>
      <c r="Q102" t="s">
        <v>52</v>
      </c>
      <c r="R102" t="s">
        <v>164</v>
      </c>
      <c r="S102" t="s">
        <v>164</v>
      </c>
      <c r="T102" t="s">
        <v>164</v>
      </c>
      <c r="U102" t="s">
        <v>164</v>
      </c>
      <c r="V102" s="7">
        <v>0.78241680204573549</v>
      </c>
      <c r="W102">
        <v>2.89</v>
      </c>
      <c r="X102" t="s">
        <v>164</v>
      </c>
      <c r="Y102">
        <v>6.8</v>
      </c>
      <c r="Z102">
        <v>8.57</v>
      </c>
      <c r="AA102">
        <v>7</v>
      </c>
      <c r="AB102">
        <v>25</v>
      </c>
      <c r="AC102" s="19">
        <f>10/60</f>
        <v>0.16666666666666666</v>
      </c>
      <c r="AD102">
        <v>1</v>
      </c>
      <c r="AE102">
        <v>5</v>
      </c>
      <c r="AF102" s="11">
        <v>0.9</v>
      </c>
    </row>
    <row r="103" spans="1:32" x14ac:dyDescent="0.3">
      <c r="A103" t="s">
        <v>53</v>
      </c>
      <c r="B103" t="s">
        <v>54</v>
      </c>
      <c r="C103">
        <v>3.5</v>
      </c>
      <c r="D103">
        <v>206.29</v>
      </c>
      <c r="E103">
        <v>0.73</v>
      </c>
      <c r="F103">
        <v>0.7</v>
      </c>
      <c r="G103">
        <v>0.56000000000000005</v>
      </c>
      <c r="H103">
        <v>0.79</v>
      </c>
      <c r="I103">
        <v>1.7770999999999999</v>
      </c>
      <c r="J103">
        <v>37.299999999999997</v>
      </c>
      <c r="K103" t="s">
        <v>55</v>
      </c>
      <c r="L103" t="s">
        <v>51</v>
      </c>
      <c r="M103">
        <v>2</v>
      </c>
      <c r="N103">
        <v>25.196000000000002</v>
      </c>
      <c r="O103">
        <v>0</v>
      </c>
      <c r="P103">
        <v>1.41</v>
      </c>
      <c r="Q103" t="s">
        <v>52</v>
      </c>
      <c r="R103" t="s">
        <v>164</v>
      </c>
      <c r="S103" t="s">
        <v>164</v>
      </c>
      <c r="T103" t="s">
        <v>164</v>
      </c>
      <c r="U103" t="s">
        <v>164</v>
      </c>
      <c r="V103" s="7">
        <v>0.78241680204573549</v>
      </c>
      <c r="W103">
        <v>2.89</v>
      </c>
      <c r="X103" t="s">
        <v>164</v>
      </c>
      <c r="Y103">
        <v>6.8</v>
      </c>
      <c r="Z103">
        <v>8.57</v>
      </c>
      <c r="AA103">
        <v>7</v>
      </c>
      <c r="AB103">
        <v>25</v>
      </c>
      <c r="AC103" s="19">
        <f>20/60</f>
        <v>0.33333333333333331</v>
      </c>
      <c r="AD103">
        <v>1</v>
      </c>
      <c r="AE103">
        <v>5</v>
      </c>
      <c r="AF103" s="11">
        <v>0.8</v>
      </c>
    </row>
    <row r="104" spans="1:32" x14ac:dyDescent="0.3">
      <c r="A104" t="s">
        <v>53</v>
      </c>
      <c r="B104" t="s">
        <v>54</v>
      </c>
      <c r="C104">
        <v>3.5</v>
      </c>
      <c r="D104">
        <v>206.29</v>
      </c>
      <c r="E104">
        <v>0.73</v>
      </c>
      <c r="F104">
        <v>0.7</v>
      </c>
      <c r="G104">
        <v>0.56000000000000005</v>
      </c>
      <c r="H104">
        <v>0.79</v>
      </c>
      <c r="I104">
        <v>1.7770999999999999</v>
      </c>
      <c r="J104">
        <v>37.299999999999997</v>
      </c>
      <c r="K104" t="s">
        <v>55</v>
      </c>
      <c r="L104" t="s">
        <v>51</v>
      </c>
      <c r="M104">
        <v>2</v>
      </c>
      <c r="N104">
        <v>25.196000000000002</v>
      </c>
      <c r="O104">
        <v>0</v>
      </c>
      <c r="P104">
        <v>1.41</v>
      </c>
      <c r="Q104" t="s">
        <v>52</v>
      </c>
      <c r="R104" t="s">
        <v>164</v>
      </c>
      <c r="S104" t="s">
        <v>164</v>
      </c>
      <c r="T104" t="s">
        <v>164</v>
      </c>
      <c r="U104" t="s">
        <v>164</v>
      </c>
      <c r="V104" s="7">
        <v>0.78241680204573549</v>
      </c>
      <c r="W104">
        <v>2.89</v>
      </c>
      <c r="X104" t="s">
        <v>164</v>
      </c>
      <c r="Y104">
        <v>6.8</v>
      </c>
      <c r="Z104">
        <v>8.57</v>
      </c>
      <c r="AA104">
        <v>7</v>
      </c>
      <c r="AB104">
        <v>25</v>
      </c>
      <c r="AC104" s="19">
        <f>40/60</f>
        <v>0.66666666666666663</v>
      </c>
      <c r="AD104">
        <v>1</v>
      </c>
      <c r="AE104">
        <v>5</v>
      </c>
      <c r="AF104" s="11">
        <v>0.5</v>
      </c>
    </row>
    <row r="105" spans="1:32" x14ac:dyDescent="0.3">
      <c r="A105" t="s">
        <v>53</v>
      </c>
      <c r="B105" t="s">
        <v>54</v>
      </c>
      <c r="C105">
        <v>3.5</v>
      </c>
      <c r="D105">
        <v>206.29</v>
      </c>
      <c r="E105">
        <v>0.73</v>
      </c>
      <c r="F105">
        <v>0.7</v>
      </c>
      <c r="G105">
        <v>0.56000000000000005</v>
      </c>
      <c r="H105">
        <v>0.79</v>
      </c>
      <c r="I105">
        <v>1.7770999999999999</v>
      </c>
      <c r="J105">
        <v>37.299999999999997</v>
      </c>
      <c r="K105" t="s">
        <v>55</v>
      </c>
      <c r="L105" t="s">
        <v>51</v>
      </c>
      <c r="M105">
        <v>2</v>
      </c>
      <c r="N105">
        <v>25.196000000000002</v>
      </c>
      <c r="O105">
        <v>0</v>
      </c>
      <c r="P105">
        <v>1.41</v>
      </c>
      <c r="Q105" t="s">
        <v>52</v>
      </c>
      <c r="R105" t="s">
        <v>164</v>
      </c>
      <c r="S105" t="s">
        <v>164</v>
      </c>
      <c r="T105" t="s">
        <v>164</v>
      </c>
      <c r="U105" t="s">
        <v>164</v>
      </c>
      <c r="V105" s="7">
        <v>0.78241680204573549</v>
      </c>
      <c r="W105">
        <v>2.89</v>
      </c>
      <c r="X105" t="s">
        <v>164</v>
      </c>
      <c r="Y105">
        <v>6.8</v>
      </c>
      <c r="Z105">
        <v>8.57</v>
      </c>
      <c r="AA105">
        <v>7</v>
      </c>
      <c r="AB105">
        <v>25</v>
      </c>
      <c r="AC105" s="20">
        <v>1</v>
      </c>
      <c r="AD105">
        <v>1</v>
      </c>
      <c r="AE105">
        <v>5</v>
      </c>
      <c r="AF105" s="11">
        <v>0.45</v>
      </c>
    </row>
    <row r="106" spans="1:32" x14ac:dyDescent="0.3">
      <c r="A106" t="s">
        <v>53</v>
      </c>
      <c r="B106" t="s">
        <v>54</v>
      </c>
      <c r="C106">
        <v>3.5</v>
      </c>
      <c r="D106">
        <v>206.29</v>
      </c>
      <c r="E106">
        <v>0.73</v>
      </c>
      <c r="F106">
        <v>0.7</v>
      </c>
      <c r="G106">
        <v>0.56000000000000005</v>
      </c>
      <c r="H106">
        <v>0.79</v>
      </c>
      <c r="I106">
        <v>1.7770999999999999</v>
      </c>
      <c r="J106">
        <v>37.299999999999997</v>
      </c>
      <c r="K106" t="s">
        <v>55</v>
      </c>
      <c r="L106" t="s">
        <v>51</v>
      </c>
      <c r="M106">
        <v>2</v>
      </c>
      <c r="N106">
        <v>25.196000000000002</v>
      </c>
      <c r="O106">
        <v>0</v>
      </c>
      <c r="P106">
        <v>1.41</v>
      </c>
      <c r="Q106" t="s">
        <v>52</v>
      </c>
      <c r="R106" t="s">
        <v>164</v>
      </c>
      <c r="S106" t="s">
        <v>164</v>
      </c>
      <c r="T106" t="s">
        <v>164</v>
      </c>
      <c r="U106" t="s">
        <v>164</v>
      </c>
      <c r="V106" s="7">
        <v>0.78241680204573549</v>
      </c>
      <c r="W106">
        <v>2.89</v>
      </c>
      <c r="X106" t="s">
        <v>164</v>
      </c>
      <c r="Y106">
        <v>6.8</v>
      </c>
      <c r="Z106">
        <v>8.57</v>
      </c>
      <c r="AA106">
        <v>7</v>
      </c>
      <c r="AB106">
        <v>25</v>
      </c>
      <c r="AC106" s="20">
        <v>1.5</v>
      </c>
      <c r="AD106">
        <v>1</v>
      </c>
      <c r="AE106">
        <v>5</v>
      </c>
      <c r="AF106" s="11">
        <v>0.6</v>
      </c>
    </row>
    <row r="107" spans="1:32" x14ac:dyDescent="0.3">
      <c r="A107" t="s">
        <v>53</v>
      </c>
      <c r="B107" t="s">
        <v>54</v>
      </c>
      <c r="C107">
        <v>3.5</v>
      </c>
      <c r="D107">
        <v>206.29</v>
      </c>
      <c r="E107">
        <v>0.73</v>
      </c>
      <c r="F107">
        <v>0.7</v>
      </c>
      <c r="G107">
        <v>0.56000000000000005</v>
      </c>
      <c r="H107">
        <v>0.79</v>
      </c>
      <c r="I107">
        <v>1.7770999999999999</v>
      </c>
      <c r="J107">
        <v>37.299999999999997</v>
      </c>
      <c r="K107" t="s">
        <v>55</v>
      </c>
      <c r="L107" t="s">
        <v>51</v>
      </c>
      <c r="M107">
        <v>2</v>
      </c>
      <c r="N107">
        <v>25.196000000000002</v>
      </c>
      <c r="O107">
        <v>0</v>
      </c>
      <c r="P107">
        <v>1.41</v>
      </c>
      <c r="Q107" t="s">
        <v>52</v>
      </c>
      <c r="R107" t="s">
        <v>164</v>
      </c>
      <c r="S107" t="s">
        <v>164</v>
      </c>
      <c r="T107" t="s">
        <v>164</v>
      </c>
      <c r="U107" t="s">
        <v>164</v>
      </c>
      <c r="V107" s="7">
        <v>0.78241680204573549</v>
      </c>
      <c r="W107">
        <v>2.89</v>
      </c>
      <c r="X107" t="s">
        <v>164</v>
      </c>
      <c r="Y107">
        <v>6.8</v>
      </c>
      <c r="Z107">
        <v>8.57</v>
      </c>
      <c r="AA107">
        <v>7</v>
      </c>
      <c r="AB107">
        <v>25</v>
      </c>
      <c r="AC107" s="20">
        <v>2</v>
      </c>
      <c r="AD107">
        <v>1</v>
      </c>
      <c r="AE107">
        <v>5</v>
      </c>
      <c r="AF107" s="11">
        <v>0.1</v>
      </c>
    </row>
    <row r="108" spans="1:32" x14ac:dyDescent="0.3">
      <c r="A108" t="s">
        <v>53</v>
      </c>
      <c r="B108" t="s">
        <v>54</v>
      </c>
      <c r="C108">
        <v>3.5</v>
      </c>
      <c r="D108">
        <v>206.29</v>
      </c>
      <c r="E108">
        <v>0.73</v>
      </c>
      <c r="F108">
        <v>0.7</v>
      </c>
      <c r="G108">
        <v>0.56000000000000005</v>
      </c>
      <c r="H108">
        <v>0.79</v>
      </c>
      <c r="I108">
        <v>1.7770999999999999</v>
      </c>
      <c r="J108">
        <v>37.299999999999997</v>
      </c>
      <c r="K108" t="s">
        <v>55</v>
      </c>
      <c r="L108" t="s">
        <v>51</v>
      </c>
      <c r="M108">
        <v>2</v>
      </c>
      <c r="N108">
        <v>25.196000000000002</v>
      </c>
      <c r="O108">
        <v>0</v>
      </c>
      <c r="P108">
        <v>1.41</v>
      </c>
      <c r="Q108" t="s">
        <v>52</v>
      </c>
      <c r="R108" t="s">
        <v>164</v>
      </c>
      <c r="S108" t="s">
        <v>164</v>
      </c>
      <c r="T108" t="s">
        <v>164</v>
      </c>
      <c r="U108" t="s">
        <v>164</v>
      </c>
      <c r="V108" s="7">
        <v>0.78241680204573549</v>
      </c>
      <c r="W108">
        <v>2.89</v>
      </c>
      <c r="X108" t="s">
        <v>164</v>
      </c>
      <c r="Y108">
        <v>6.8</v>
      </c>
      <c r="Z108">
        <v>8.57</v>
      </c>
      <c r="AA108">
        <v>7</v>
      </c>
      <c r="AB108">
        <v>25</v>
      </c>
      <c r="AC108" s="19">
        <f>5/60</f>
        <v>8.3333333333333329E-2</v>
      </c>
      <c r="AD108">
        <v>1</v>
      </c>
      <c r="AE108">
        <v>10</v>
      </c>
      <c r="AF108" s="11">
        <v>0.8</v>
      </c>
    </row>
    <row r="109" spans="1:32" x14ac:dyDescent="0.3">
      <c r="A109" t="s">
        <v>53</v>
      </c>
      <c r="B109" t="s">
        <v>54</v>
      </c>
      <c r="C109">
        <v>3.5</v>
      </c>
      <c r="D109">
        <v>206.29</v>
      </c>
      <c r="E109">
        <v>0.73</v>
      </c>
      <c r="F109">
        <v>0.7</v>
      </c>
      <c r="G109">
        <v>0.56000000000000005</v>
      </c>
      <c r="H109">
        <v>0.79</v>
      </c>
      <c r="I109">
        <v>1.7770999999999999</v>
      </c>
      <c r="J109">
        <v>37.299999999999997</v>
      </c>
      <c r="K109" t="s">
        <v>55</v>
      </c>
      <c r="L109" t="s">
        <v>51</v>
      </c>
      <c r="M109">
        <v>2</v>
      </c>
      <c r="N109">
        <v>25.196000000000002</v>
      </c>
      <c r="O109">
        <v>0</v>
      </c>
      <c r="P109">
        <v>1.41</v>
      </c>
      <c r="Q109" t="s">
        <v>52</v>
      </c>
      <c r="R109" t="s">
        <v>164</v>
      </c>
      <c r="S109" t="s">
        <v>164</v>
      </c>
      <c r="T109" t="s">
        <v>164</v>
      </c>
      <c r="U109" t="s">
        <v>164</v>
      </c>
      <c r="V109" s="7">
        <v>0.78241680204573549</v>
      </c>
      <c r="W109">
        <v>2.89</v>
      </c>
      <c r="X109" t="s">
        <v>164</v>
      </c>
      <c r="Y109">
        <v>6.8</v>
      </c>
      <c r="Z109">
        <v>8.57</v>
      </c>
      <c r="AA109">
        <v>7</v>
      </c>
      <c r="AB109">
        <v>25</v>
      </c>
      <c r="AC109" s="19">
        <f>10/60</f>
        <v>0.16666666666666666</v>
      </c>
      <c r="AD109">
        <v>1</v>
      </c>
      <c r="AE109">
        <v>10</v>
      </c>
      <c r="AF109" s="11">
        <v>0.9</v>
      </c>
    </row>
    <row r="110" spans="1:32" x14ac:dyDescent="0.3">
      <c r="A110" t="s">
        <v>53</v>
      </c>
      <c r="B110" t="s">
        <v>54</v>
      </c>
      <c r="C110">
        <v>3.5</v>
      </c>
      <c r="D110">
        <v>206.29</v>
      </c>
      <c r="E110">
        <v>0.73</v>
      </c>
      <c r="F110">
        <v>0.7</v>
      </c>
      <c r="G110">
        <v>0.56000000000000005</v>
      </c>
      <c r="H110">
        <v>0.79</v>
      </c>
      <c r="I110">
        <v>1.7770999999999999</v>
      </c>
      <c r="J110">
        <v>37.299999999999997</v>
      </c>
      <c r="K110" t="s">
        <v>55</v>
      </c>
      <c r="L110" t="s">
        <v>51</v>
      </c>
      <c r="M110">
        <v>2</v>
      </c>
      <c r="N110">
        <v>25.196000000000002</v>
      </c>
      <c r="O110">
        <v>0</v>
      </c>
      <c r="P110">
        <v>1.41</v>
      </c>
      <c r="Q110" t="s">
        <v>52</v>
      </c>
      <c r="R110" t="s">
        <v>164</v>
      </c>
      <c r="S110" t="s">
        <v>164</v>
      </c>
      <c r="T110" t="s">
        <v>164</v>
      </c>
      <c r="U110" t="s">
        <v>164</v>
      </c>
      <c r="V110" s="7">
        <v>0.78241680204573549</v>
      </c>
      <c r="W110">
        <v>2.89</v>
      </c>
      <c r="X110" t="s">
        <v>164</v>
      </c>
      <c r="Y110">
        <v>6.8</v>
      </c>
      <c r="Z110">
        <v>8.57</v>
      </c>
      <c r="AA110">
        <v>7</v>
      </c>
      <c r="AB110">
        <v>25</v>
      </c>
      <c r="AC110" s="19">
        <f>20/60</f>
        <v>0.33333333333333331</v>
      </c>
      <c r="AD110">
        <v>1</v>
      </c>
      <c r="AE110">
        <v>10</v>
      </c>
      <c r="AF110" s="11">
        <v>0.75</v>
      </c>
    </row>
    <row r="111" spans="1:32" x14ac:dyDescent="0.3">
      <c r="A111" t="s">
        <v>53</v>
      </c>
      <c r="B111" t="s">
        <v>54</v>
      </c>
      <c r="C111">
        <v>3.5</v>
      </c>
      <c r="D111">
        <v>206.29</v>
      </c>
      <c r="E111">
        <v>0.73</v>
      </c>
      <c r="F111">
        <v>0.7</v>
      </c>
      <c r="G111">
        <v>0.56000000000000005</v>
      </c>
      <c r="H111">
        <v>0.79</v>
      </c>
      <c r="I111">
        <v>1.7770999999999999</v>
      </c>
      <c r="J111">
        <v>37.299999999999997</v>
      </c>
      <c r="K111" t="s">
        <v>55</v>
      </c>
      <c r="L111" t="s">
        <v>51</v>
      </c>
      <c r="M111">
        <v>2</v>
      </c>
      <c r="N111">
        <v>25.196000000000002</v>
      </c>
      <c r="O111">
        <v>0</v>
      </c>
      <c r="P111">
        <v>1.41</v>
      </c>
      <c r="Q111" t="s">
        <v>52</v>
      </c>
      <c r="R111" t="s">
        <v>164</v>
      </c>
      <c r="S111" t="s">
        <v>164</v>
      </c>
      <c r="T111" t="s">
        <v>164</v>
      </c>
      <c r="U111" t="s">
        <v>164</v>
      </c>
      <c r="V111" s="7">
        <v>0.78241680204573549</v>
      </c>
      <c r="W111">
        <v>2.89</v>
      </c>
      <c r="X111" t="s">
        <v>164</v>
      </c>
      <c r="Y111">
        <v>6.8</v>
      </c>
      <c r="Z111">
        <v>8.57</v>
      </c>
      <c r="AA111">
        <v>7</v>
      </c>
      <c r="AB111">
        <v>25</v>
      </c>
      <c r="AC111" s="19">
        <f>40/60</f>
        <v>0.66666666666666663</v>
      </c>
      <c r="AD111">
        <v>1</v>
      </c>
      <c r="AE111">
        <v>10</v>
      </c>
      <c r="AF111" s="11">
        <v>0.65</v>
      </c>
    </row>
    <row r="112" spans="1:32" x14ac:dyDescent="0.3">
      <c r="A112" t="s">
        <v>53</v>
      </c>
      <c r="B112" t="s">
        <v>54</v>
      </c>
      <c r="C112">
        <v>3.5</v>
      </c>
      <c r="D112">
        <v>206.29</v>
      </c>
      <c r="E112">
        <v>0.73</v>
      </c>
      <c r="F112">
        <v>0.7</v>
      </c>
      <c r="G112">
        <v>0.56000000000000005</v>
      </c>
      <c r="H112">
        <v>0.79</v>
      </c>
      <c r="I112">
        <v>1.7770999999999999</v>
      </c>
      <c r="J112">
        <v>37.299999999999997</v>
      </c>
      <c r="K112" t="s">
        <v>55</v>
      </c>
      <c r="L112" t="s">
        <v>51</v>
      </c>
      <c r="M112">
        <v>2</v>
      </c>
      <c r="N112">
        <v>25.196000000000002</v>
      </c>
      <c r="O112">
        <v>0</v>
      </c>
      <c r="P112">
        <v>1.41</v>
      </c>
      <c r="Q112" t="s">
        <v>52</v>
      </c>
      <c r="R112" t="s">
        <v>164</v>
      </c>
      <c r="S112" t="s">
        <v>164</v>
      </c>
      <c r="T112" t="s">
        <v>164</v>
      </c>
      <c r="U112" t="s">
        <v>164</v>
      </c>
      <c r="V112" s="7">
        <v>0.78241680204573549</v>
      </c>
      <c r="W112">
        <v>2.89</v>
      </c>
      <c r="X112" t="s">
        <v>164</v>
      </c>
      <c r="Y112">
        <v>6.8</v>
      </c>
      <c r="Z112">
        <v>8.57</v>
      </c>
      <c r="AA112">
        <v>7</v>
      </c>
      <c r="AB112">
        <v>25</v>
      </c>
      <c r="AC112" s="20">
        <v>1</v>
      </c>
      <c r="AD112">
        <v>1</v>
      </c>
      <c r="AE112">
        <v>10</v>
      </c>
      <c r="AF112" s="11">
        <v>0.6</v>
      </c>
    </row>
    <row r="113" spans="1:32" x14ac:dyDescent="0.3">
      <c r="A113" t="s">
        <v>53</v>
      </c>
      <c r="B113" t="s">
        <v>54</v>
      </c>
      <c r="C113">
        <v>3.5</v>
      </c>
      <c r="D113">
        <v>206.29</v>
      </c>
      <c r="E113">
        <v>0.73</v>
      </c>
      <c r="F113">
        <v>0.7</v>
      </c>
      <c r="G113">
        <v>0.56000000000000005</v>
      </c>
      <c r="H113">
        <v>0.79</v>
      </c>
      <c r="I113">
        <v>1.7770999999999999</v>
      </c>
      <c r="J113">
        <v>37.299999999999997</v>
      </c>
      <c r="K113" t="s">
        <v>55</v>
      </c>
      <c r="L113" t="s">
        <v>51</v>
      </c>
      <c r="M113">
        <v>2</v>
      </c>
      <c r="N113">
        <v>25.196000000000002</v>
      </c>
      <c r="O113">
        <v>0</v>
      </c>
      <c r="P113">
        <v>1.41</v>
      </c>
      <c r="Q113" t="s">
        <v>52</v>
      </c>
      <c r="R113" t="s">
        <v>164</v>
      </c>
      <c r="S113" t="s">
        <v>164</v>
      </c>
      <c r="T113" t="s">
        <v>164</v>
      </c>
      <c r="U113" t="s">
        <v>164</v>
      </c>
      <c r="V113" s="7">
        <v>0.78241680204573549</v>
      </c>
      <c r="W113">
        <v>2.89</v>
      </c>
      <c r="X113" t="s">
        <v>164</v>
      </c>
      <c r="Y113">
        <v>6.8</v>
      </c>
      <c r="Z113">
        <v>8.57</v>
      </c>
      <c r="AA113">
        <v>7</v>
      </c>
      <c r="AB113">
        <v>25</v>
      </c>
      <c r="AC113" s="20">
        <v>1.5</v>
      </c>
      <c r="AD113">
        <v>1</v>
      </c>
      <c r="AE113">
        <v>10</v>
      </c>
      <c r="AF113" s="11">
        <v>0.5</v>
      </c>
    </row>
    <row r="114" spans="1:32" x14ac:dyDescent="0.3">
      <c r="A114" t="s">
        <v>53</v>
      </c>
      <c r="B114" t="s">
        <v>54</v>
      </c>
      <c r="C114">
        <v>3.5</v>
      </c>
      <c r="D114">
        <v>206.29</v>
      </c>
      <c r="E114">
        <v>0.73</v>
      </c>
      <c r="F114">
        <v>0.7</v>
      </c>
      <c r="G114">
        <v>0.56000000000000005</v>
      </c>
      <c r="H114">
        <v>0.79</v>
      </c>
      <c r="I114">
        <v>1.7770999999999999</v>
      </c>
      <c r="J114">
        <v>37.299999999999997</v>
      </c>
      <c r="K114" t="s">
        <v>55</v>
      </c>
      <c r="L114" t="s">
        <v>51</v>
      </c>
      <c r="M114">
        <v>2</v>
      </c>
      <c r="N114">
        <v>25.196000000000002</v>
      </c>
      <c r="O114">
        <v>0</v>
      </c>
      <c r="P114">
        <v>1.41</v>
      </c>
      <c r="Q114" t="s">
        <v>52</v>
      </c>
      <c r="R114" t="s">
        <v>164</v>
      </c>
      <c r="S114" t="s">
        <v>164</v>
      </c>
      <c r="T114" t="s">
        <v>164</v>
      </c>
      <c r="U114" t="s">
        <v>164</v>
      </c>
      <c r="V114" s="7">
        <v>0.78241680204573549</v>
      </c>
      <c r="W114">
        <v>2.89</v>
      </c>
      <c r="X114" t="s">
        <v>164</v>
      </c>
      <c r="Y114">
        <v>6.8</v>
      </c>
      <c r="Z114">
        <v>8.57</v>
      </c>
      <c r="AA114">
        <v>7</v>
      </c>
      <c r="AB114">
        <v>25</v>
      </c>
      <c r="AC114" s="20">
        <v>2</v>
      </c>
      <c r="AD114">
        <v>1</v>
      </c>
      <c r="AE114">
        <v>10</v>
      </c>
      <c r="AF114" s="11">
        <v>0.45</v>
      </c>
    </row>
    <row r="115" spans="1:32" x14ac:dyDescent="0.3">
      <c r="A115" t="s">
        <v>53</v>
      </c>
      <c r="B115" t="s">
        <v>54</v>
      </c>
      <c r="C115">
        <v>3.5</v>
      </c>
      <c r="D115">
        <v>206.29</v>
      </c>
      <c r="E115">
        <v>0.73</v>
      </c>
      <c r="F115">
        <v>0.7</v>
      </c>
      <c r="G115">
        <v>0.56000000000000005</v>
      </c>
      <c r="H115">
        <v>0.79</v>
      </c>
      <c r="I115">
        <v>1.7770999999999999</v>
      </c>
      <c r="J115">
        <v>37.299999999999997</v>
      </c>
      <c r="K115" t="s">
        <v>55</v>
      </c>
      <c r="L115" t="s">
        <v>51</v>
      </c>
      <c r="M115">
        <v>2</v>
      </c>
      <c r="N115">
        <v>25.196000000000002</v>
      </c>
      <c r="O115">
        <v>0</v>
      </c>
      <c r="P115">
        <v>1.41</v>
      </c>
      <c r="Q115" t="s">
        <v>52</v>
      </c>
      <c r="R115" t="s">
        <v>164</v>
      </c>
      <c r="S115" t="s">
        <v>164</v>
      </c>
      <c r="T115" t="s">
        <v>164</v>
      </c>
      <c r="U115" t="s">
        <v>164</v>
      </c>
      <c r="V115" s="7">
        <v>0.78241680204573549</v>
      </c>
      <c r="W115">
        <v>2.89</v>
      </c>
      <c r="X115" t="s">
        <v>164</v>
      </c>
      <c r="Y115">
        <v>6.8</v>
      </c>
      <c r="Z115">
        <v>8.57</v>
      </c>
      <c r="AA115">
        <v>7</v>
      </c>
      <c r="AB115">
        <v>25</v>
      </c>
      <c r="AC115" s="19">
        <f>5/60</f>
        <v>8.3333333333333329E-2</v>
      </c>
      <c r="AD115">
        <v>1</v>
      </c>
      <c r="AE115">
        <v>15</v>
      </c>
      <c r="AF115" s="11">
        <v>0.55000000000000004</v>
      </c>
    </row>
    <row r="116" spans="1:32" x14ac:dyDescent="0.3">
      <c r="A116" t="s">
        <v>53</v>
      </c>
      <c r="B116" t="s">
        <v>54</v>
      </c>
      <c r="C116">
        <v>3.5</v>
      </c>
      <c r="D116">
        <v>206.29</v>
      </c>
      <c r="E116">
        <v>0.73</v>
      </c>
      <c r="F116">
        <v>0.7</v>
      </c>
      <c r="G116">
        <v>0.56000000000000005</v>
      </c>
      <c r="H116">
        <v>0.79</v>
      </c>
      <c r="I116">
        <v>1.7770999999999999</v>
      </c>
      <c r="J116">
        <v>37.299999999999997</v>
      </c>
      <c r="K116" t="s">
        <v>55</v>
      </c>
      <c r="L116" t="s">
        <v>51</v>
      </c>
      <c r="M116">
        <v>2</v>
      </c>
      <c r="N116">
        <v>25.196000000000002</v>
      </c>
      <c r="O116">
        <v>0</v>
      </c>
      <c r="P116">
        <v>1.41</v>
      </c>
      <c r="Q116" t="s">
        <v>52</v>
      </c>
      <c r="R116" t="s">
        <v>164</v>
      </c>
      <c r="S116" t="s">
        <v>164</v>
      </c>
      <c r="T116" t="s">
        <v>164</v>
      </c>
      <c r="U116" t="s">
        <v>164</v>
      </c>
      <c r="V116" s="7">
        <v>0.78241680204573549</v>
      </c>
      <c r="W116">
        <v>2.89</v>
      </c>
      <c r="X116" t="s">
        <v>164</v>
      </c>
      <c r="Y116">
        <v>6.8</v>
      </c>
      <c r="Z116">
        <v>8.57</v>
      </c>
      <c r="AA116">
        <v>7</v>
      </c>
      <c r="AB116">
        <v>25</v>
      </c>
      <c r="AC116" s="19">
        <f>10/60</f>
        <v>0.16666666666666666</v>
      </c>
      <c r="AD116">
        <v>1</v>
      </c>
      <c r="AE116">
        <v>15</v>
      </c>
      <c r="AF116" s="11">
        <v>0.8</v>
      </c>
    </row>
    <row r="117" spans="1:32" x14ac:dyDescent="0.3">
      <c r="A117" t="s">
        <v>53</v>
      </c>
      <c r="B117" t="s">
        <v>54</v>
      </c>
      <c r="C117">
        <v>3.5</v>
      </c>
      <c r="D117">
        <v>206.29</v>
      </c>
      <c r="E117">
        <v>0.73</v>
      </c>
      <c r="F117">
        <v>0.7</v>
      </c>
      <c r="G117">
        <v>0.56000000000000005</v>
      </c>
      <c r="H117">
        <v>0.79</v>
      </c>
      <c r="I117">
        <v>1.7770999999999999</v>
      </c>
      <c r="J117">
        <v>37.299999999999997</v>
      </c>
      <c r="K117" t="s">
        <v>55</v>
      </c>
      <c r="L117" t="s">
        <v>51</v>
      </c>
      <c r="M117">
        <v>2</v>
      </c>
      <c r="N117">
        <v>25.196000000000002</v>
      </c>
      <c r="O117">
        <v>0</v>
      </c>
      <c r="P117">
        <v>1.41</v>
      </c>
      <c r="Q117" t="s">
        <v>52</v>
      </c>
      <c r="R117" t="s">
        <v>164</v>
      </c>
      <c r="S117" t="s">
        <v>164</v>
      </c>
      <c r="T117" t="s">
        <v>164</v>
      </c>
      <c r="U117" t="s">
        <v>164</v>
      </c>
      <c r="V117" s="7">
        <v>0.78241680204573549</v>
      </c>
      <c r="W117">
        <v>2.89</v>
      </c>
      <c r="X117" t="s">
        <v>164</v>
      </c>
      <c r="Y117">
        <v>6.8</v>
      </c>
      <c r="Z117">
        <v>8.57</v>
      </c>
      <c r="AA117">
        <v>7</v>
      </c>
      <c r="AB117">
        <v>25</v>
      </c>
      <c r="AC117" s="19">
        <f>20/60</f>
        <v>0.33333333333333331</v>
      </c>
      <c r="AD117">
        <v>1</v>
      </c>
      <c r="AE117">
        <v>15</v>
      </c>
      <c r="AF117" s="11">
        <v>0.75</v>
      </c>
    </row>
    <row r="118" spans="1:32" x14ac:dyDescent="0.3">
      <c r="A118" t="s">
        <v>53</v>
      </c>
      <c r="B118" t="s">
        <v>54</v>
      </c>
      <c r="C118">
        <v>3.5</v>
      </c>
      <c r="D118">
        <v>206.29</v>
      </c>
      <c r="E118">
        <v>0.73</v>
      </c>
      <c r="F118">
        <v>0.7</v>
      </c>
      <c r="G118">
        <v>0.56000000000000005</v>
      </c>
      <c r="H118">
        <v>0.79</v>
      </c>
      <c r="I118">
        <v>1.7770999999999999</v>
      </c>
      <c r="J118">
        <v>37.299999999999997</v>
      </c>
      <c r="K118" t="s">
        <v>55</v>
      </c>
      <c r="L118" t="s">
        <v>51</v>
      </c>
      <c r="M118">
        <v>2</v>
      </c>
      <c r="N118">
        <v>25.196000000000002</v>
      </c>
      <c r="O118">
        <v>0</v>
      </c>
      <c r="P118">
        <v>1.41</v>
      </c>
      <c r="Q118" t="s">
        <v>52</v>
      </c>
      <c r="R118" t="s">
        <v>164</v>
      </c>
      <c r="S118" t="s">
        <v>164</v>
      </c>
      <c r="T118" t="s">
        <v>164</v>
      </c>
      <c r="U118" t="s">
        <v>164</v>
      </c>
      <c r="V118" s="7">
        <v>0.78241680204573549</v>
      </c>
      <c r="W118">
        <v>2.89</v>
      </c>
      <c r="X118" t="s">
        <v>164</v>
      </c>
      <c r="Y118">
        <v>6.8</v>
      </c>
      <c r="Z118">
        <v>8.57</v>
      </c>
      <c r="AA118">
        <v>7</v>
      </c>
      <c r="AB118">
        <v>25</v>
      </c>
      <c r="AC118" s="19">
        <f>40/60</f>
        <v>0.66666666666666663</v>
      </c>
      <c r="AD118">
        <v>1</v>
      </c>
      <c r="AE118">
        <v>15</v>
      </c>
      <c r="AF118" s="11">
        <v>0.75</v>
      </c>
    </row>
    <row r="119" spans="1:32" x14ac:dyDescent="0.3">
      <c r="A119" t="s">
        <v>53</v>
      </c>
      <c r="B119" t="s">
        <v>54</v>
      </c>
      <c r="C119">
        <v>3.5</v>
      </c>
      <c r="D119">
        <v>206.29</v>
      </c>
      <c r="E119">
        <v>0.73</v>
      </c>
      <c r="F119">
        <v>0.7</v>
      </c>
      <c r="G119">
        <v>0.56000000000000005</v>
      </c>
      <c r="H119">
        <v>0.79</v>
      </c>
      <c r="I119">
        <v>1.7770999999999999</v>
      </c>
      <c r="J119">
        <v>37.299999999999997</v>
      </c>
      <c r="K119" t="s">
        <v>55</v>
      </c>
      <c r="L119" t="s">
        <v>51</v>
      </c>
      <c r="M119">
        <v>2</v>
      </c>
      <c r="N119">
        <v>25.196000000000002</v>
      </c>
      <c r="O119">
        <v>0</v>
      </c>
      <c r="P119">
        <v>1.41</v>
      </c>
      <c r="Q119" t="s">
        <v>52</v>
      </c>
      <c r="R119" t="s">
        <v>164</v>
      </c>
      <c r="S119" t="s">
        <v>164</v>
      </c>
      <c r="T119" t="s">
        <v>164</v>
      </c>
      <c r="U119" t="s">
        <v>164</v>
      </c>
      <c r="V119" s="7">
        <v>0.78241680204573549</v>
      </c>
      <c r="W119">
        <v>2.89</v>
      </c>
      <c r="X119" t="s">
        <v>164</v>
      </c>
      <c r="Y119">
        <v>6.8</v>
      </c>
      <c r="Z119">
        <v>8.57</v>
      </c>
      <c r="AA119">
        <v>7</v>
      </c>
      <c r="AB119">
        <v>25</v>
      </c>
      <c r="AC119" s="20">
        <v>1</v>
      </c>
      <c r="AD119">
        <v>1</v>
      </c>
      <c r="AE119">
        <v>15</v>
      </c>
      <c r="AF119" s="11">
        <v>0.82</v>
      </c>
    </row>
    <row r="120" spans="1:32" x14ac:dyDescent="0.3">
      <c r="A120" t="s">
        <v>53</v>
      </c>
      <c r="B120" t="s">
        <v>54</v>
      </c>
      <c r="C120">
        <v>3.5</v>
      </c>
      <c r="D120">
        <v>206.29</v>
      </c>
      <c r="E120">
        <v>0.73</v>
      </c>
      <c r="F120">
        <v>0.7</v>
      </c>
      <c r="G120">
        <v>0.56000000000000005</v>
      </c>
      <c r="H120">
        <v>0.79</v>
      </c>
      <c r="I120">
        <v>1.7770999999999999</v>
      </c>
      <c r="J120">
        <v>37.299999999999997</v>
      </c>
      <c r="K120" t="s">
        <v>55</v>
      </c>
      <c r="L120" t="s">
        <v>51</v>
      </c>
      <c r="M120">
        <v>2</v>
      </c>
      <c r="N120">
        <v>25.196000000000002</v>
      </c>
      <c r="O120">
        <v>0</v>
      </c>
      <c r="P120">
        <v>1.41</v>
      </c>
      <c r="Q120" t="s">
        <v>52</v>
      </c>
      <c r="R120" t="s">
        <v>164</v>
      </c>
      <c r="S120" t="s">
        <v>164</v>
      </c>
      <c r="T120" t="s">
        <v>164</v>
      </c>
      <c r="U120" t="s">
        <v>164</v>
      </c>
      <c r="V120" s="7">
        <v>0.78241680204573549</v>
      </c>
      <c r="W120">
        <v>2.89</v>
      </c>
      <c r="X120" t="s">
        <v>164</v>
      </c>
      <c r="Y120">
        <v>6.8</v>
      </c>
      <c r="Z120">
        <v>8.57</v>
      </c>
      <c r="AA120">
        <v>7</v>
      </c>
      <c r="AB120">
        <v>25</v>
      </c>
      <c r="AC120" s="20">
        <v>1.5</v>
      </c>
      <c r="AD120">
        <v>1</v>
      </c>
      <c r="AE120">
        <v>15</v>
      </c>
      <c r="AF120" s="11">
        <v>0.7</v>
      </c>
    </row>
    <row r="121" spans="1:32" x14ac:dyDescent="0.3">
      <c r="A121" t="s">
        <v>53</v>
      </c>
      <c r="B121" t="s">
        <v>54</v>
      </c>
      <c r="C121">
        <v>3.5</v>
      </c>
      <c r="D121">
        <v>206.29</v>
      </c>
      <c r="E121">
        <v>0.73</v>
      </c>
      <c r="F121">
        <v>0.7</v>
      </c>
      <c r="G121">
        <v>0.56000000000000005</v>
      </c>
      <c r="H121">
        <v>0.79</v>
      </c>
      <c r="I121">
        <v>1.7770999999999999</v>
      </c>
      <c r="J121">
        <v>37.299999999999997</v>
      </c>
      <c r="K121" t="s">
        <v>55</v>
      </c>
      <c r="L121" t="s">
        <v>51</v>
      </c>
      <c r="M121">
        <v>2</v>
      </c>
      <c r="N121">
        <v>25.196000000000002</v>
      </c>
      <c r="O121">
        <v>0</v>
      </c>
      <c r="P121">
        <v>1.41</v>
      </c>
      <c r="Q121" t="s">
        <v>52</v>
      </c>
      <c r="R121" t="s">
        <v>164</v>
      </c>
      <c r="S121" t="s">
        <v>164</v>
      </c>
      <c r="T121" t="s">
        <v>164</v>
      </c>
      <c r="U121" t="s">
        <v>164</v>
      </c>
      <c r="V121" s="7">
        <v>0.78241680204573549</v>
      </c>
      <c r="W121">
        <v>2.89</v>
      </c>
      <c r="X121" t="s">
        <v>164</v>
      </c>
      <c r="Y121">
        <v>6.8</v>
      </c>
      <c r="Z121">
        <v>8.57</v>
      </c>
      <c r="AA121">
        <v>7</v>
      </c>
      <c r="AB121">
        <v>25</v>
      </c>
      <c r="AC121" s="20">
        <v>2</v>
      </c>
      <c r="AD121">
        <v>1</v>
      </c>
      <c r="AE121">
        <v>15</v>
      </c>
      <c r="AF121" s="11">
        <v>0.71</v>
      </c>
    </row>
    <row r="122" spans="1:32" x14ac:dyDescent="0.3">
      <c r="A122" t="s">
        <v>53</v>
      </c>
      <c r="B122" t="s">
        <v>54</v>
      </c>
      <c r="C122">
        <v>3.5</v>
      </c>
      <c r="D122">
        <v>206.29</v>
      </c>
      <c r="E122">
        <v>0.73</v>
      </c>
      <c r="F122">
        <v>0.7</v>
      </c>
      <c r="G122">
        <v>0.56000000000000005</v>
      </c>
      <c r="H122">
        <v>0.79</v>
      </c>
      <c r="I122">
        <v>1.7770999999999999</v>
      </c>
      <c r="J122">
        <v>37.299999999999997</v>
      </c>
      <c r="K122" t="s">
        <v>55</v>
      </c>
      <c r="L122" t="s">
        <v>51</v>
      </c>
      <c r="M122">
        <v>2</v>
      </c>
      <c r="N122">
        <v>25.196000000000002</v>
      </c>
      <c r="O122">
        <v>0</v>
      </c>
      <c r="P122">
        <v>1.41</v>
      </c>
      <c r="Q122" t="s">
        <v>52</v>
      </c>
      <c r="R122" t="s">
        <v>164</v>
      </c>
      <c r="S122" t="s">
        <v>164</v>
      </c>
      <c r="T122" t="s">
        <v>164</v>
      </c>
      <c r="U122" t="s">
        <v>164</v>
      </c>
      <c r="V122" s="7">
        <v>0.78241680204573549</v>
      </c>
      <c r="W122">
        <v>2.89</v>
      </c>
      <c r="X122" t="s">
        <v>164</v>
      </c>
      <c r="Y122">
        <v>6.8</v>
      </c>
      <c r="Z122">
        <v>8.57</v>
      </c>
      <c r="AA122">
        <v>7</v>
      </c>
      <c r="AB122">
        <v>25</v>
      </c>
      <c r="AC122" s="19">
        <f>5/60</f>
        <v>8.3333333333333329E-2</v>
      </c>
      <c r="AD122">
        <v>1</v>
      </c>
      <c r="AE122">
        <v>20</v>
      </c>
      <c r="AF122" s="11">
        <v>0.5</v>
      </c>
    </row>
    <row r="123" spans="1:32" x14ac:dyDescent="0.3">
      <c r="A123" t="s">
        <v>53</v>
      </c>
      <c r="B123" t="s">
        <v>54</v>
      </c>
      <c r="C123">
        <v>3.5</v>
      </c>
      <c r="D123">
        <v>206.29</v>
      </c>
      <c r="E123">
        <v>0.73</v>
      </c>
      <c r="F123">
        <v>0.7</v>
      </c>
      <c r="G123">
        <v>0.56000000000000005</v>
      </c>
      <c r="H123">
        <v>0.79</v>
      </c>
      <c r="I123">
        <v>1.7770999999999999</v>
      </c>
      <c r="J123">
        <v>37.299999999999997</v>
      </c>
      <c r="K123" t="s">
        <v>55</v>
      </c>
      <c r="L123" t="s">
        <v>51</v>
      </c>
      <c r="M123">
        <v>2</v>
      </c>
      <c r="N123">
        <v>25.196000000000002</v>
      </c>
      <c r="O123">
        <v>0</v>
      </c>
      <c r="P123">
        <v>1.41</v>
      </c>
      <c r="Q123" t="s">
        <v>52</v>
      </c>
      <c r="R123" t="s">
        <v>164</v>
      </c>
      <c r="S123" t="s">
        <v>164</v>
      </c>
      <c r="T123" t="s">
        <v>164</v>
      </c>
      <c r="U123" t="s">
        <v>164</v>
      </c>
      <c r="V123" s="7">
        <v>0.78241680204573549</v>
      </c>
      <c r="W123">
        <v>2.89</v>
      </c>
      <c r="X123" t="s">
        <v>164</v>
      </c>
      <c r="Y123">
        <v>6.8</v>
      </c>
      <c r="Z123">
        <v>8.57</v>
      </c>
      <c r="AA123">
        <v>7</v>
      </c>
      <c r="AB123">
        <v>25</v>
      </c>
      <c r="AC123" s="19">
        <f>10/60</f>
        <v>0.16666666666666666</v>
      </c>
      <c r="AD123">
        <v>1</v>
      </c>
      <c r="AE123">
        <v>20</v>
      </c>
      <c r="AF123" s="11">
        <v>0.55000000000000004</v>
      </c>
    </row>
    <row r="124" spans="1:32" x14ac:dyDescent="0.3">
      <c r="A124" t="s">
        <v>53</v>
      </c>
      <c r="B124" t="s">
        <v>54</v>
      </c>
      <c r="C124">
        <v>3.5</v>
      </c>
      <c r="D124">
        <v>206.29</v>
      </c>
      <c r="E124">
        <v>0.73</v>
      </c>
      <c r="F124">
        <v>0.7</v>
      </c>
      <c r="G124">
        <v>0.56000000000000005</v>
      </c>
      <c r="H124">
        <v>0.79</v>
      </c>
      <c r="I124">
        <v>1.7770999999999999</v>
      </c>
      <c r="J124">
        <v>37.299999999999997</v>
      </c>
      <c r="K124" t="s">
        <v>55</v>
      </c>
      <c r="L124" t="s">
        <v>51</v>
      </c>
      <c r="M124">
        <v>2</v>
      </c>
      <c r="N124">
        <v>25.196000000000002</v>
      </c>
      <c r="O124">
        <v>0</v>
      </c>
      <c r="P124">
        <v>1.41</v>
      </c>
      <c r="Q124" t="s">
        <v>52</v>
      </c>
      <c r="R124" t="s">
        <v>164</v>
      </c>
      <c r="S124" t="s">
        <v>164</v>
      </c>
      <c r="T124" t="s">
        <v>164</v>
      </c>
      <c r="U124" t="s">
        <v>164</v>
      </c>
      <c r="V124" s="7">
        <v>0.78241680204573549</v>
      </c>
      <c r="W124">
        <v>2.89</v>
      </c>
      <c r="X124" t="s">
        <v>164</v>
      </c>
      <c r="Y124">
        <v>6.8</v>
      </c>
      <c r="Z124">
        <v>8.57</v>
      </c>
      <c r="AA124">
        <v>7</v>
      </c>
      <c r="AB124">
        <v>25</v>
      </c>
      <c r="AC124" s="19">
        <f>20/60</f>
        <v>0.33333333333333331</v>
      </c>
      <c r="AD124">
        <v>1</v>
      </c>
      <c r="AE124">
        <v>20</v>
      </c>
      <c r="AF124" s="11">
        <v>0.8</v>
      </c>
    </row>
    <row r="125" spans="1:32" x14ac:dyDescent="0.3">
      <c r="A125" t="s">
        <v>53</v>
      </c>
      <c r="B125" t="s">
        <v>54</v>
      </c>
      <c r="C125">
        <v>3.5</v>
      </c>
      <c r="D125">
        <v>206.29</v>
      </c>
      <c r="E125">
        <v>0.73</v>
      </c>
      <c r="F125">
        <v>0.7</v>
      </c>
      <c r="G125">
        <v>0.56000000000000005</v>
      </c>
      <c r="H125">
        <v>0.79</v>
      </c>
      <c r="I125">
        <v>1.7770999999999999</v>
      </c>
      <c r="J125">
        <v>37.299999999999997</v>
      </c>
      <c r="K125" t="s">
        <v>55</v>
      </c>
      <c r="L125" t="s">
        <v>51</v>
      </c>
      <c r="M125">
        <v>2</v>
      </c>
      <c r="N125">
        <v>25.196000000000002</v>
      </c>
      <c r="O125">
        <v>0</v>
      </c>
      <c r="P125">
        <v>1.41</v>
      </c>
      <c r="Q125" t="s">
        <v>52</v>
      </c>
      <c r="R125" t="s">
        <v>164</v>
      </c>
      <c r="S125" t="s">
        <v>164</v>
      </c>
      <c r="T125" t="s">
        <v>164</v>
      </c>
      <c r="U125" t="s">
        <v>164</v>
      </c>
      <c r="V125" s="7">
        <v>0.78241680204573549</v>
      </c>
      <c r="W125">
        <v>2.89</v>
      </c>
      <c r="X125" t="s">
        <v>164</v>
      </c>
      <c r="Y125">
        <v>6.8</v>
      </c>
      <c r="Z125">
        <v>8.57</v>
      </c>
      <c r="AA125">
        <v>7</v>
      </c>
      <c r="AB125">
        <v>25</v>
      </c>
      <c r="AC125" s="19">
        <f>40/60</f>
        <v>0.66666666666666663</v>
      </c>
      <c r="AD125">
        <v>1</v>
      </c>
      <c r="AE125">
        <v>20</v>
      </c>
      <c r="AF125" s="11">
        <v>0.85</v>
      </c>
    </row>
    <row r="126" spans="1:32" x14ac:dyDescent="0.3">
      <c r="A126" t="s">
        <v>53</v>
      </c>
      <c r="B126" t="s">
        <v>54</v>
      </c>
      <c r="C126">
        <v>3.5</v>
      </c>
      <c r="D126">
        <v>206.29</v>
      </c>
      <c r="E126">
        <v>0.73</v>
      </c>
      <c r="F126">
        <v>0.7</v>
      </c>
      <c r="G126">
        <v>0.56000000000000005</v>
      </c>
      <c r="H126">
        <v>0.79</v>
      </c>
      <c r="I126">
        <v>1.7770999999999999</v>
      </c>
      <c r="J126">
        <v>37.299999999999997</v>
      </c>
      <c r="K126" t="s">
        <v>55</v>
      </c>
      <c r="L126" t="s">
        <v>51</v>
      </c>
      <c r="M126">
        <v>2</v>
      </c>
      <c r="N126">
        <v>25.196000000000002</v>
      </c>
      <c r="O126">
        <v>0</v>
      </c>
      <c r="P126">
        <v>1.41</v>
      </c>
      <c r="Q126" t="s">
        <v>52</v>
      </c>
      <c r="R126" t="s">
        <v>164</v>
      </c>
      <c r="S126" t="s">
        <v>164</v>
      </c>
      <c r="T126" t="s">
        <v>164</v>
      </c>
      <c r="U126" t="s">
        <v>164</v>
      </c>
      <c r="V126" s="7">
        <v>0.78241680204573549</v>
      </c>
      <c r="W126">
        <v>2.89</v>
      </c>
      <c r="X126" t="s">
        <v>164</v>
      </c>
      <c r="Y126">
        <v>6.8</v>
      </c>
      <c r="Z126">
        <v>8.57</v>
      </c>
      <c r="AA126">
        <v>7</v>
      </c>
      <c r="AB126">
        <v>25</v>
      </c>
      <c r="AC126" s="20">
        <v>1</v>
      </c>
      <c r="AD126">
        <v>1</v>
      </c>
      <c r="AE126">
        <v>20</v>
      </c>
      <c r="AF126" s="11">
        <v>0.9</v>
      </c>
    </row>
    <row r="127" spans="1:32" x14ac:dyDescent="0.3">
      <c r="A127" t="s">
        <v>53</v>
      </c>
      <c r="B127" t="s">
        <v>54</v>
      </c>
      <c r="C127">
        <v>3.5</v>
      </c>
      <c r="D127">
        <v>206.29</v>
      </c>
      <c r="E127">
        <v>0.73</v>
      </c>
      <c r="F127">
        <v>0.7</v>
      </c>
      <c r="G127">
        <v>0.56000000000000005</v>
      </c>
      <c r="H127">
        <v>0.79</v>
      </c>
      <c r="I127">
        <v>1.7770999999999999</v>
      </c>
      <c r="J127">
        <v>37.299999999999997</v>
      </c>
      <c r="K127" t="s">
        <v>55</v>
      </c>
      <c r="L127" t="s">
        <v>51</v>
      </c>
      <c r="M127">
        <v>2</v>
      </c>
      <c r="N127">
        <v>25.196000000000002</v>
      </c>
      <c r="O127">
        <v>0</v>
      </c>
      <c r="P127">
        <v>1.41</v>
      </c>
      <c r="Q127" t="s">
        <v>52</v>
      </c>
      <c r="R127" t="s">
        <v>164</v>
      </c>
      <c r="S127" t="s">
        <v>164</v>
      </c>
      <c r="T127" t="s">
        <v>164</v>
      </c>
      <c r="U127" t="s">
        <v>164</v>
      </c>
      <c r="V127" s="7">
        <v>0.78241680204573549</v>
      </c>
      <c r="W127">
        <v>2.89</v>
      </c>
      <c r="X127" t="s">
        <v>164</v>
      </c>
      <c r="Y127">
        <v>6.8</v>
      </c>
      <c r="Z127">
        <v>8.57</v>
      </c>
      <c r="AA127">
        <v>7</v>
      </c>
      <c r="AB127">
        <v>25</v>
      </c>
      <c r="AC127" s="20">
        <v>1.5</v>
      </c>
      <c r="AD127">
        <v>1</v>
      </c>
      <c r="AE127">
        <v>20</v>
      </c>
      <c r="AF127" s="11">
        <v>0.8</v>
      </c>
    </row>
    <row r="128" spans="1:32" x14ac:dyDescent="0.3">
      <c r="A128" t="s">
        <v>53</v>
      </c>
      <c r="B128" t="s">
        <v>54</v>
      </c>
      <c r="C128">
        <v>3.5</v>
      </c>
      <c r="D128">
        <v>206.29</v>
      </c>
      <c r="E128">
        <v>0.73</v>
      </c>
      <c r="F128">
        <v>0.7</v>
      </c>
      <c r="G128">
        <v>0.56000000000000005</v>
      </c>
      <c r="H128">
        <v>0.79</v>
      </c>
      <c r="I128">
        <v>1.7770999999999999</v>
      </c>
      <c r="J128">
        <v>37.299999999999997</v>
      </c>
      <c r="K128" t="s">
        <v>55</v>
      </c>
      <c r="L128" t="s">
        <v>51</v>
      </c>
      <c r="M128">
        <v>2</v>
      </c>
      <c r="N128">
        <v>25.196000000000002</v>
      </c>
      <c r="O128">
        <v>0</v>
      </c>
      <c r="P128">
        <v>1.41</v>
      </c>
      <c r="Q128" t="s">
        <v>52</v>
      </c>
      <c r="R128" t="s">
        <v>164</v>
      </c>
      <c r="S128" t="s">
        <v>164</v>
      </c>
      <c r="T128" t="s">
        <v>164</v>
      </c>
      <c r="U128" t="s">
        <v>164</v>
      </c>
      <c r="V128" s="7">
        <v>0.78241680204573549</v>
      </c>
      <c r="W128">
        <v>2.89</v>
      </c>
      <c r="X128" t="s">
        <v>164</v>
      </c>
      <c r="Y128">
        <v>6.8</v>
      </c>
      <c r="Z128">
        <v>8.57</v>
      </c>
      <c r="AA128">
        <v>7</v>
      </c>
      <c r="AB128">
        <v>25</v>
      </c>
      <c r="AC128" s="20">
        <v>2</v>
      </c>
      <c r="AD128">
        <v>1</v>
      </c>
      <c r="AE128">
        <v>20</v>
      </c>
      <c r="AF128" s="11">
        <v>0.78</v>
      </c>
    </row>
    <row r="129" spans="1:32" x14ac:dyDescent="0.3">
      <c r="A129" t="s">
        <v>53</v>
      </c>
      <c r="B129" t="s">
        <v>54</v>
      </c>
      <c r="C129">
        <v>3.5</v>
      </c>
      <c r="D129">
        <v>206.29</v>
      </c>
      <c r="E129">
        <v>0.73</v>
      </c>
      <c r="F129">
        <v>0.7</v>
      </c>
      <c r="G129">
        <v>0.56000000000000005</v>
      </c>
      <c r="H129">
        <v>0.79</v>
      </c>
      <c r="I129">
        <v>1.7770999999999999</v>
      </c>
      <c r="J129">
        <v>37.299999999999997</v>
      </c>
      <c r="K129" t="s">
        <v>55</v>
      </c>
      <c r="L129" t="s">
        <v>51</v>
      </c>
      <c r="M129">
        <v>2</v>
      </c>
      <c r="N129">
        <v>25.196000000000002</v>
      </c>
      <c r="O129">
        <v>0</v>
      </c>
      <c r="P129">
        <v>1.41</v>
      </c>
      <c r="Q129" t="s">
        <v>52</v>
      </c>
      <c r="R129" t="s">
        <v>164</v>
      </c>
      <c r="S129" t="s">
        <v>164</v>
      </c>
      <c r="T129" t="s">
        <v>164</v>
      </c>
      <c r="U129" t="s">
        <v>164</v>
      </c>
      <c r="V129" s="7">
        <v>0.78241680204573549</v>
      </c>
      <c r="W129">
        <v>2.89</v>
      </c>
      <c r="X129" t="s">
        <v>164</v>
      </c>
      <c r="Y129">
        <v>6.8</v>
      </c>
      <c r="Z129">
        <v>8.57</v>
      </c>
      <c r="AA129">
        <v>7</v>
      </c>
      <c r="AB129">
        <v>25</v>
      </c>
      <c r="AC129" s="19">
        <f>5/60</f>
        <v>8.3333333333333329E-2</v>
      </c>
      <c r="AD129">
        <v>1</v>
      </c>
      <c r="AE129">
        <v>25</v>
      </c>
      <c r="AF129" s="11">
        <v>0.7</v>
      </c>
    </row>
    <row r="130" spans="1:32" x14ac:dyDescent="0.3">
      <c r="A130" t="s">
        <v>53</v>
      </c>
      <c r="B130" t="s">
        <v>54</v>
      </c>
      <c r="C130">
        <v>3.5</v>
      </c>
      <c r="D130">
        <v>206.29</v>
      </c>
      <c r="E130">
        <v>0.73</v>
      </c>
      <c r="F130">
        <v>0.7</v>
      </c>
      <c r="G130">
        <v>0.56000000000000005</v>
      </c>
      <c r="H130">
        <v>0.79</v>
      </c>
      <c r="I130">
        <v>1.7770999999999999</v>
      </c>
      <c r="J130">
        <v>37.299999999999997</v>
      </c>
      <c r="K130" t="s">
        <v>55</v>
      </c>
      <c r="L130" t="s">
        <v>51</v>
      </c>
      <c r="M130">
        <v>2</v>
      </c>
      <c r="N130">
        <v>25.196000000000002</v>
      </c>
      <c r="O130">
        <v>0</v>
      </c>
      <c r="P130">
        <v>1.41</v>
      </c>
      <c r="Q130" t="s">
        <v>52</v>
      </c>
      <c r="R130" t="s">
        <v>164</v>
      </c>
      <c r="S130" t="s">
        <v>164</v>
      </c>
      <c r="T130" t="s">
        <v>164</v>
      </c>
      <c r="U130" t="s">
        <v>164</v>
      </c>
      <c r="V130" s="7">
        <v>0.78241680204573549</v>
      </c>
      <c r="W130">
        <v>2.89</v>
      </c>
      <c r="X130" t="s">
        <v>164</v>
      </c>
      <c r="Y130">
        <v>6.8</v>
      </c>
      <c r="Z130">
        <v>8.57</v>
      </c>
      <c r="AA130">
        <v>7</v>
      </c>
      <c r="AB130">
        <v>25</v>
      </c>
      <c r="AC130" s="19">
        <f>10/60</f>
        <v>0.16666666666666666</v>
      </c>
      <c r="AD130">
        <v>1</v>
      </c>
      <c r="AE130">
        <v>25</v>
      </c>
      <c r="AF130" s="11">
        <v>0.9</v>
      </c>
    </row>
    <row r="131" spans="1:32" x14ac:dyDescent="0.3">
      <c r="A131" t="s">
        <v>53</v>
      </c>
      <c r="B131" t="s">
        <v>54</v>
      </c>
      <c r="C131">
        <v>3.5</v>
      </c>
      <c r="D131">
        <v>206.29</v>
      </c>
      <c r="E131">
        <v>0.73</v>
      </c>
      <c r="F131">
        <v>0.7</v>
      </c>
      <c r="G131">
        <v>0.56000000000000005</v>
      </c>
      <c r="H131">
        <v>0.79</v>
      </c>
      <c r="I131">
        <v>1.7770999999999999</v>
      </c>
      <c r="J131">
        <v>37.299999999999997</v>
      </c>
      <c r="K131" t="s">
        <v>55</v>
      </c>
      <c r="L131" t="s">
        <v>51</v>
      </c>
      <c r="M131">
        <v>2</v>
      </c>
      <c r="N131">
        <v>25.196000000000002</v>
      </c>
      <c r="O131">
        <v>0</v>
      </c>
      <c r="P131">
        <v>1.41</v>
      </c>
      <c r="Q131" t="s">
        <v>52</v>
      </c>
      <c r="R131" t="s">
        <v>164</v>
      </c>
      <c r="S131" t="s">
        <v>164</v>
      </c>
      <c r="T131" t="s">
        <v>164</v>
      </c>
      <c r="U131" t="s">
        <v>164</v>
      </c>
      <c r="V131" s="7">
        <v>0.78241680204573549</v>
      </c>
      <c r="W131">
        <v>2.89</v>
      </c>
      <c r="X131" t="s">
        <v>164</v>
      </c>
      <c r="Y131">
        <v>6.8</v>
      </c>
      <c r="Z131">
        <v>8.57</v>
      </c>
      <c r="AA131">
        <v>7</v>
      </c>
      <c r="AB131">
        <v>25</v>
      </c>
      <c r="AC131" s="19">
        <f>20/60</f>
        <v>0.33333333333333331</v>
      </c>
      <c r="AD131">
        <v>1</v>
      </c>
      <c r="AE131">
        <v>25</v>
      </c>
      <c r="AF131" s="11">
        <v>0.95</v>
      </c>
    </row>
    <row r="132" spans="1:32" x14ac:dyDescent="0.3">
      <c r="A132" t="s">
        <v>53</v>
      </c>
      <c r="B132" t="s">
        <v>54</v>
      </c>
      <c r="C132">
        <v>3.5</v>
      </c>
      <c r="D132">
        <v>206.29</v>
      </c>
      <c r="E132">
        <v>0.73</v>
      </c>
      <c r="F132">
        <v>0.7</v>
      </c>
      <c r="G132">
        <v>0.56000000000000005</v>
      </c>
      <c r="H132">
        <v>0.79</v>
      </c>
      <c r="I132">
        <v>1.7770999999999999</v>
      </c>
      <c r="J132">
        <v>37.299999999999997</v>
      </c>
      <c r="K132" t="s">
        <v>55</v>
      </c>
      <c r="L132" t="s">
        <v>51</v>
      </c>
      <c r="M132">
        <v>2</v>
      </c>
      <c r="N132">
        <v>25.196000000000002</v>
      </c>
      <c r="O132">
        <v>0</v>
      </c>
      <c r="P132">
        <v>1.41</v>
      </c>
      <c r="Q132" t="s">
        <v>52</v>
      </c>
      <c r="R132" t="s">
        <v>164</v>
      </c>
      <c r="S132" t="s">
        <v>164</v>
      </c>
      <c r="T132" t="s">
        <v>164</v>
      </c>
      <c r="U132" t="s">
        <v>164</v>
      </c>
      <c r="V132" s="7">
        <v>0.78241680204573549</v>
      </c>
      <c r="W132">
        <v>2.89</v>
      </c>
      <c r="X132" t="s">
        <v>164</v>
      </c>
      <c r="Y132">
        <v>6.8</v>
      </c>
      <c r="Z132">
        <v>8.57</v>
      </c>
      <c r="AA132">
        <v>7</v>
      </c>
      <c r="AB132">
        <v>25</v>
      </c>
      <c r="AC132" s="19">
        <f>40/60</f>
        <v>0.66666666666666663</v>
      </c>
      <c r="AD132">
        <v>1</v>
      </c>
      <c r="AE132">
        <v>25</v>
      </c>
      <c r="AF132" s="11">
        <v>0.64</v>
      </c>
    </row>
    <row r="133" spans="1:32" x14ac:dyDescent="0.3">
      <c r="A133" t="s">
        <v>53</v>
      </c>
      <c r="B133" t="s">
        <v>54</v>
      </c>
      <c r="C133">
        <v>3.5</v>
      </c>
      <c r="D133">
        <v>206.29</v>
      </c>
      <c r="E133">
        <v>0.73</v>
      </c>
      <c r="F133">
        <v>0.7</v>
      </c>
      <c r="G133">
        <v>0.56000000000000005</v>
      </c>
      <c r="H133">
        <v>0.79</v>
      </c>
      <c r="I133">
        <v>1.7770999999999999</v>
      </c>
      <c r="J133">
        <v>37.299999999999997</v>
      </c>
      <c r="K133" t="s">
        <v>55</v>
      </c>
      <c r="L133" t="s">
        <v>51</v>
      </c>
      <c r="M133">
        <v>2</v>
      </c>
      <c r="N133">
        <v>25.196000000000002</v>
      </c>
      <c r="O133">
        <v>0</v>
      </c>
      <c r="P133">
        <v>1.41</v>
      </c>
      <c r="Q133" t="s">
        <v>52</v>
      </c>
      <c r="R133" t="s">
        <v>164</v>
      </c>
      <c r="S133" t="s">
        <v>164</v>
      </c>
      <c r="T133" t="s">
        <v>164</v>
      </c>
      <c r="U133" t="s">
        <v>164</v>
      </c>
      <c r="V133" s="7">
        <v>0.78241680204573549</v>
      </c>
      <c r="W133">
        <v>2.89</v>
      </c>
      <c r="X133" t="s">
        <v>164</v>
      </c>
      <c r="Y133">
        <v>6.8</v>
      </c>
      <c r="Z133">
        <v>8.57</v>
      </c>
      <c r="AA133">
        <v>7</v>
      </c>
      <c r="AB133">
        <v>25</v>
      </c>
      <c r="AC133" s="20">
        <v>1</v>
      </c>
      <c r="AD133">
        <v>1</v>
      </c>
      <c r="AE133">
        <v>25</v>
      </c>
      <c r="AF133" s="11">
        <v>0.65</v>
      </c>
    </row>
    <row r="134" spans="1:32" x14ac:dyDescent="0.3">
      <c r="A134" t="s">
        <v>53</v>
      </c>
      <c r="B134" t="s">
        <v>54</v>
      </c>
      <c r="C134">
        <v>3.5</v>
      </c>
      <c r="D134">
        <v>206.29</v>
      </c>
      <c r="E134">
        <v>0.73</v>
      </c>
      <c r="F134">
        <v>0.7</v>
      </c>
      <c r="G134">
        <v>0.56000000000000005</v>
      </c>
      <c r="H134">
        <v>0.79</v>
      </c>
      <c r="I134">
        <v>1.7770999999999999</v>
      </c>
      <c r="J134">
        <v>37.299999999999997</v>
      </c>
      <c r="K134" t="s">
        <v>55</v>
      </c>
      <c r="L134" t="s">
        <v>51</v>
      </c>
      <c r="M134">
        <v>2</v>
      </c>
      <c r="N134">
        <v>25.196000000000002</v>
      </c>
      <c r="O134">
        <v>0</v>
      </c>
      <c r="P134">
        <v>1.41</v>
      </c>
      <c r="Q134" t="s">
        <v>52</v>
      </c>
      <c r="R134" t="s">
        <v>164</v>
      </c>
      <c r="S134" t="s">
        <v>164</v>
      </c>
      <c r="T134" t="s">
        <v>164</v>
      </c>
      <c r="U134" t="s">
        <v>164</v>
      </c>
      <c r="V134" s="7">
        <v>0.78241680204573549</v>
      </c>
      <c r="W134">
        <v>2.89</v>
      </c>
      <c r="X134" t="s">
        <v>164</v>
      </c>
      <c r="Y134">
        <v>6.8</v>
      </c>
      <c r="Z134">
        <v>8.57</v>
      </c>
      <c r="AA134">
        <v>7</v>
      </c>
      <c r="AB134">
        <v>25</v>
      </c>
      <c r="AC134" s="20">
        <v>1.5</v>
      </c>
      <c r="AD134">
        <v>1</v>
      </c>
      <c r="AE134">
        <v>25</v>
      </c>
      <c r="AF134" s="11">
        <v>0.54</v>
      </c>
    </row>
    <row r="135" spans="1:32" x14ac:dyDescent="0.3">
      <c r="A135" t="s">
        <v>53</v>
      </c>
      <c r="B135" t="s">
        <v>54</v>
      </c>
      <c r="C135">
        <v>3.5</v>
      </c>
      <c r="D135">
        <v>206.29</v>
      </c>
      <c r="E135">
        <v>0.73</v>
      </c>
      <c r="F135">
        <v>0.7</v>
      </c>
      <c r="G135">
        <v>0.56000000000000005</v>
      </c>
      <c r="H135">
        <v>0.79</v>
      </c>
      <c r="I135">
        <v>1.7770999999999999</v>
      </c>
      <c r="J135">
        <v>37.299999999999997</v>
      </c>
      <c r="K135" t="s">
        <v>55</v>
      </c>
      <c r="L135" t="s">
        <v>51</v>
      </c>
      <c r="M135">
        <v>2</v>
      </c>
      <c r="N135">
        <v>25.196000000000002</v>
      </c>
      <c r="O135">
        <v>0</v>
      </c>
      <c r="P135">
        <v>1.41</v>
      </c>
      <c r="Q135" t="s">
        <v>52</v>
      </c>
      <c r="R135" t="s">
        <v>164</v>
      </c>
      <c r="S135" t="s">
        <v>164</v>
      </c>
      <c r="T135" t="s">
        <v>164</v>
      </c>
      <c r="U135" t="s">
        <v>164</v>
      </c>
      <c r="V135" s="7">
        <v>0.78241680204573549</v>
      </c>
      <c r="W135">
        <v>2.89</v>
      </c>
      <c r="X135" t="s">
        <v>164</v>
      </c>
      <c r="Y135">
        <v>6.8</v>
      </c>
      <c r="Z135">
        <v>8.57</v>
      </c>
      <c r="AA135">
        <v>7</v>
      </c>
      <c r="AB135">
        <v>25</v>
      </c>
      <c r="AC135" s="20">
        <v>2</v>
      </c>
      <c r="AD135">
        <v>1</v>
      </c>
      <c r="AE135">
        <v>25</v>
      </c>
      <c r="AF135" s="11">
        <v>0.55000000000000004</v>
      </c>
    </row>
    <row r="136" spans="1:32" x14ac:dyDescent="0.3">
      <c r="A136" t="s">
        <v>53</v>
      </c>
      <c r="B136" t="s">
        <v>54</v>
      </c>
      <c r="C136">
        <v>3.5</v>
      </c>
      <c r="D136">
        <v>206.29</v>
      </c>
      <c r="E136">
        <v>0.73</v>
      </c>
      <c r="F136">
        <v>0.7</v>
      </c>
      <c r="G136">
        <v>0.56000000000000005</v>
      </c>
      <c r="H136">
        <v>0.79</v>
      </c>
      <c r="I136">
        <v>1.7770999999999999</v>
      </c>
      <c r="J136">
        <v>37.299999999999997</v>
      </c>
      <c r="K136" t="s">
        <v>55</v>
      </c>
      <c r="L136" t="s">
        <v>51</v>
      </c>
      <c r="M136">
        <v>2</v>
      </c>
      <c r="N136">
        <v>25.196000000000002</v>
      </c>
      <c r="O136">
        <v>0</v>
      </c>
      <c r="P136">
        <v>1.41</v>
      </c>
      <c r="Q136" t="s">
        <v>52</v>
      </c>
      <c r="R136" t="s">
        <v>164</v>
      </c>
      <c r="S136" t="s">
        <v>164</v>
      </c>
      <c r="T136" t="s">
        <v>164</v>
      </c>
      <c r="U136" t="s">
        <v>164</v>
      </c>
      <c r="V136" s="7">
        <v>0.78241680204573549</v>
      </c>
      <c r="W136">
        <v>2.89</v>
      </c>
      <c r="X136" t="s">
        <v>164</v>
      </c>
      <c r="Y136">
        <v>6.8</v>
      </c>
      <c r="Z136">
        <v>8.57</v>
      </c>
      <c r="AA136">
        <v>3</v>
      </c>
      <c r="AB136">
        <v>25</v>
      </c>
      <c r="AC136" s="21">
        <f>40/60</f>
        <v>0.66666666666666663</v>
      </c>
      <c r="AD136">
        <v>1</v>
      </c>
      <c r="AE136">
        <v>25</v>
      </c>
      <c r="AF136" s="11">
        <v>0.78569999999999995</v>
      </c>
    </row>
    <row r="137" spans="1:32" x14ac:dyDescent="0.3">
      <c r="A137" t="s">
        <v>53</v>
      </c>
      <c r="B137" t="s">
        <v>54</v>
      </c>
      <c r="C137">
        <v>3.5</v>
      </c>
      <c r="D137">
        <v>206.29</v>
      </c>
      <c r="E137">
        <v>0.73</v>
      </c>
      <c r="F137">
        <v>0.7</v>
      </c>
      <c r="G137">
        <v>0.56000000000000005</v>
      </c>
      <c r="H137">
        <v>0.79</v>
      </c>
      <c r="I137">
        <v>1.7770999999999999</v>
      </c>
      <c r="J137">
        <v>37.299999999999997</v>
      </c>
      <c r="K137" t="s">
        <v>55</v>
      </c>
      <c r="L137" t="s">
        <v>51</v>
      </c>
      <c r="M137">
        <v>2</v>
      </c>
      <c r="N137">
        <v>25.196000000000002</v>
      </c>
      <c r="O137">
        <v>0</v>
      </c>
      <c r="P137">
        <v>1.41</v>
      </c>
      <c r="Q137" t="s">
        <v>52</v>
      </c>
      <c r="R137" t="s">
        <v>164</v>
      </c>
      <c r="S137" t="s">
        <v>164</v>
      </c>
      <c r="T137" t="s">
        <v>164</v>
      </c>
      <c r="U137" t="s">
        <v>164</v>
      </c>
      <c r="V137" s="7">
        <v>0.78241680204573549</v>
      </c>
      <c r="W137">
        <v>2.89</v>
      </c>
      <c r="X137" t="s">
        <v>164</v>
      </c>
      <c r="Y137">
        <v>6.8</v>
      </c>
      <c r="Z137">
        <v>8.57</v>
      </c>
      <c r="AA137">
        <v>5</v>
      </c>
      <c r="AB137">
        <v>25</v>
      </c>
      <c r="AC137" s="21">
        <f>40/60</f>
        <v>0.66666666666666663</v>
      </c>
      <c r="AD137">
        <v>1</v>
      </c>
      <c r="AE137">
        <v>25</v>
      </c>
      <c r="AF137" s="11">
        <v>0.85840000000000005</v>
      </c>
    </row>
    <row r="138" spans="1:32" x14ac:dyDescent="0.3">
      <c r="A138" t="s">
        <v>53</v>
      </c>
      <c r="B138" t="s">
        <v>54</v>
      </c>
      <c r="C138">
        <v>3.5</v>
      </c>
      <c r="D138">
        <v>206.29</v>
      </c>
      <c r="E138">
        <v>0.73</v>
      </c>
      <c r="F138">
        <v>0.7</v>
      </c>
      <c r="G138">
        <v>0.56000000000000005</v>
      </c>
      <c r="H138">
        <v>0.79</v>
      </c>
      <c r="I138">
        <v>1.7770999999999999</v>
      </c>
      <c r="J138">
        <v>37.299999999999997</v>
      </c>
      <c r="K138" t="s">
        <v>55</v>
      </c>
      <c r="L138" t="s">
        <v>51</v>
      </c>
      <c r="M138">
        <v>2</v>
      </c>
      <c r="N138">
        <v>25.196000000000002</v>
      </c>
      <c r="O138">
        <v>0</v>
      </c>
      <c r="P138">
        <v>1.41</v>
      </c>
      <c r="Q138" t="s">
        <v>52</v>
      </c>
      <c r="R138" t="s">
        <v>164</v>
      </c>
      <c r="S138" t="s">
        <v>164</v>
      </c>
      <c r="T138" t="s">
        <v>164</v>
      </c>
      <c r="U138" t="s">
        <v>164</v>
      </c>
      <c r="V138" s="7">
        <v>0.78241680204573549</v>
      </c>
      <c r="W138">
        <v>2.89</v>
      </c>
      <c r="X138" t="s">
        <v>164</v>
      </c>
      <c r="Y138">
        <v>6.8</v>
      </c>
      <c r="Z138">
        <v>8.57</v>
      </c>
      <c r="AA138">
        <v>7</v>
      </c>
      <c r="AB138">
        <v>25</v>
      </c>
      <c r="AC138" s="21">
        <f>40/60</f>
        <v>0.66666666666666663</v>
      </c>
      <c r="AD138">
        <v>1</v>
      </c>
      <c r="AE138">
        <v>25</v>
      </c>
      <c r="AF138" s="11">
        <v>0.72499999999999998</v>
      </c>
    </row>
    <row r="139" spans="1:32" x14ac:dyDescent="0.3">
      <c r="A139" t="s">
        <v>53</v>
      </c>
      <c r="B139" t="s">
        <v>54</v>
      </c>
      <c r="C139">
        <v>3.5</v>
      </c>
      <c r="D139">
        <v>206.29</v>
      </c>
      <c r="E139">
        <v>0.73</v>
      </c>
      <c r="F139">
        <v>0.7</v>
      </c>
      <c r="G139">
        <v>0.56000000000000005</v>
      </c>
      <c r="H139">
        <v>0.79</v>
      </c>
      <c r="I139">
        <v>1.7770999999999999</v>
      </c>
      <c r="J139">
        <v>37.299999999999997</v>
      </c>
      <c r="K139" t="s">
        <v>55</v>
      </c>
      <c r="L139" t="s">
        <v>51</v>
      </c>
      <c r="M139">
        <v>2</v>
      </c>
      <c r="N139">
        <v>25.196000000000002</v>
      </c>
      <c r="O139">
        <v>0</v>
      </c>
      <c r="P139">
        <v>1.41</v>
      </c>
      <c r="Q139" t="s">
        <v>52</v>
      </c>
      <c r="R139" t="s">
        <v>164</v>
      </c>
      <c r="S139" t="s">
        <v>164</v>
      </c>
      <c r="T139" t="s">
        <v>164</v>
      </c>
      <c r="U139" t="s">
        <v>164</v>
      </c>
      <c r="V139" s="7">
        <v>0.78241680204573549</v>
      </c>
      <c r="W139">
        <v>2.89</v>
      </c>
      <c r="X139" t="s">
        <v>164</v>
      </c>
      <c r="Y139">
        <v>6.8</v>
      </c>
      <c r="Z139">
        <v>8.57</v>
      </c>
      <c r="AA139">
        <v>9</v>
      </c>
      <c r="AB139">
        <v>25</v>
      </c>
      <c r="AC139" s="21">
        <f>40/60</f>
        <v>0.66666666666666663</v>
      </c>
      <c r="AD139">
        <v>1</v>
      </c>
      <c r="AE139">
        <v>25</v>
      </c>
      <c r="AF139" s="11">
        <v>0.90600000000000003</v>
      </c>
    </row>
    <row r="140" spans="1:32" x14ac:dyDescent="0.3">
      <c r="A140" t="s">
        <v>56</v>
      </c>
      <c r="B140" t="s">
        <v>40</v>
      </c>
      <c r="C140">
        <v>-0.02</v>
      </c>
      <c r="D140">
        <v>444.43</v>
      </c>
      <c r="E140">
        <v>2.1</v>
      </c>
      <c r="F140">
        <v>3.05</v>
      </c>
      <c r="G140">
        <v>1.55</v>
      </c>
      <c r="H140">
        <v>1.7</v>
      </c>
      <c r="I140">
        <v>2.86</v>
      </c>
      <c r="J140">
        <v>181.62</v>
      </c>
      <c r="K140" t="s">
        <v>57</v>
      </c>
      <c r="L140" t="s">
        <v>51</v>
      </c>
      <c r="M140">
        <v>3</v>
      </c>
      <c r="N140">
        <v>54.405000000000001</v>
      </c>
      <c r="O140">
        <v>6.75</v>
      </c>
      <c r="P140">
        <v>1.83</v>
      </c>
      <c r="Q140" t="s">
        <v>58</v>
      </c>
      <c r="R140">
        <v>110</v>
      </c>
      <c r="S140">
        <v>12</v>
      </c>
      <c r="T140" t="s">
        <v>164</v>
      </c>
      <c r="U140" t="s">
        <v>164</v>
      </c>
      <c r="V140" s="7">
        <v>0.88558682006286138</v>
      </c>
      <c r="W140">
        <v>16.149999999999999</v>
      </c>
      <c r="X140">
        <v>2.7799999999999998E-2</v>
      </c>
      <c r="Y140">
        <v>3.83</v>
      </c>
      <c r="Z140" t="s">
        <v>164</v>
      </c>
      <c r="AA140">
        <v>2</v>
      </c>
      <c r="AB140">
        <v>25</v>
      </c>
      <c r="AC140" s="18">
        <f>120/60</f>
        <v>2</v>
      </c>
      <c r="AD140">
        <v>0.5</v>
      </c>
      <c r="AE140">
        <v>100</v>
      </c>
      <c r="AF140" s="11">
        <v>0.12</v>
      </c>
    </row>
    <row r="141" spans="1:32" x14ac:dyDescent="0.3">
      <c r="A141" t="s">
        <v>56</v>
      </c>
      <c r="B141" t="s">
        <v>40</v>
      </c>
      <c r="C141">
        <v>-0.02</v>
      </c>
      <c r="D141">
        <v>444.43</v>
      </c>
      <c r="E141">
        <v>2.1</v>
      </c>
      <c r="F141">
        <v>3.05</v>
      </c>
      <c r="G141">
        <v>1.55</v>
      </c>
      <c r="H141">
        <v>1.7</v>
      </c>
      <c r="I141">
        <v>2.86</v>
      </c>
      <c r="J141">
        <v>181.62</v>
      </c>
      <c r="K141" t="s">
        <v>57</v>
      </c>
      <c r="L141" t="s">
        <v>51</v>
      </c>
      <c r="M141">
        <v>3</v>
      </c>
      <c r="N141">
        <v>54.405000000000001</v>
      </c>
      <c r="O141">
        <v>6.75</v>
      </c>
      <c r="P141">
        <v>1.83</v>
      </c>
      <c r="Q141" t="s">
        <v>58</v>
      </c>
      <c r="R141">
        <v>110</v>
      </c>
      <c r="S141">
        <v>12</v>
      </c>
      <c r="T141" t="s">
        <v>164</v>
      </c>
      <c r="U141" t="s">
        <v>164</v>
      </c>
      <c r="V141" s="7">
        <v>0.88558682006286138</v>
      </c>
      <c r="W141">
        <v>16.149999999999999</v>
      </c>
      <c r="X141">
        <v>2.7799999999999998E-2</v>
      </c>
      <c r="Y141">
        <v>3.83</v>
      </c>
      <c r="Z141" t="s">
        <v>164</v>
      </c>
      <c r="AA141">
        <v>4</v>
      </c>
      <c r="AB141">
        <v>25</v>
      </c>
      <c r="AC141" s="18">
        <f t="shared" ref="AC141:AC150" si="1">120/60</f>
        <v>2</v>
      </c>
      <c r="AD141">
        <v>0.5</v>
      </c>
      <c r="AE141">
        <v>100</v>
      </c>
      <c r="AF141" s="11">
        <v>0.2</v>
      </c>
    </row>
    <row r="142" spans="1:32" x14ac:dyDescent="0.3">
      <c r="A142" t="s">
        <v>56</v>
      </c>
      <c r="B142" t="s">
        <v>40</v>
      </c>
      <c r="C142">
        <v>-0.02</v>
      </c>
      <c r="D142">
        <v>444.43</v>
      </c>
      <c r="E142">
        <v>2.1</v>
      </c>
      <c r="F142">
        <v>3.05</v>
      </c>
      <c r="G142">
        <v>1.55</v>
      </c>
      <c r="H142">
        <v>1.7</v>
      </c>
      <c r="I142">
        <v>2.86</v>
      </c>
      <c r="J142">
        <v>181.62</v>
      </c>
      <c r="K142" t="s">
        <v>57</v>
      </c>
      <c r="L142" t="s">
        <v>51</v>
      </c>
      <c r="M142">
        <v>3</v>
      </c>
      <c r="N142">
        <v>54.405000000000001</v>
      </c>
      <c r="O142">
        <v>6.75</v>
      </c>
      <c r="P142">
        <v>1.83</v>
      </c>
      <c r="Q142" t="s">
        <v>58</v>
      </c>
      <c r="R142">
        <v>110</v>
      </c>
      <c r="S142">
        <v>12</v>
      </c>
      <c r="T142" t="s">
        <v>164</v>
      </c>
      <c r="U142" t="s">
        <v>164</v>
      </c>
      <c r="V142" s="7">
        <v>0.88558682006286138</v>
      </c>
      <c r="W142">
        <v>16.149999999999999</v>
      </c>
      <c r="X142">
        <v>2.7799999999999998E-2</v>
      </c>
      <c r="Y142">
        <v>3.83</v>
      </c>
      <c r="Z142" t="s">
        <v>164</v>
      </c>
      <c r="AA142">
        <v>6</v>
      </c>
      <c r="AB142">
        <v>25</v>
      </c>
      <c r="AC142" s="18">
        <f t="shared" si="1"/>
        <v>2</v>
      </c>
      <c r="AD142">
        <v>0.5</v>
      </c>
      <c r="AE142">
        <v>100</v>
      </c>
      <c r="AF142" s="11">
        <v>0.25</v>
      </c>
    </row>
    <row r="143" spans="1:32" x14ac:dyDescent="0.3">
      <c r="A143" t="s">
        <v>56</v>
      </c>
      <c r="B143" t="s">
        <v>40</v>
      </c>
      <c r="C143">
        <v>-0.02</v>
      </c>
      <c r="D143">
        <v>444.43</v>
      </c>
      <c r="E143">
        <v>2.1</v>
      </c>
      <c r="F143">
        <v>3.05</v>
      </c>
      <c r="G143">
        <v>1.55</v>
      </c>
      <c r="H143">
        <v>1.7</v>
      </c>
      <c r="I143">
        <v>2.86</v>
      </c>
      <c r="J143">
        <v>181.62</v>
      </c>
      <c r="K143" t="s">
        <v>57</v>
      </c>
      <c r="L143" t="s">
        <v>51</v>
      </c>
      <c r="M143">
        <v>3</v>
      </c>
      <c r="N143">
        <v>54.405000000000001</v>
      </c>
      <c r="O143">
        <v>6.75</v>
      </c>
      <c r="P143">
        <v>1.83</v>
      </c>
      <c r="Q143" t="s">
        <v>58</v>
      </c>
      <c r="R143">
        <v>110</v>
      </c>
      <c r="S143">
        <v>12</v>
      </c>
      <c r="T143" t="s">
        <v>164</v>
      </c>
      <c r="U143" t="s">
        <v>164</v>
      </c>
      <c r="V143" s="7">
        <v>0.88558682006286138</v>
      </c>
      <c r="W143">
        <v>16.149999999999999</v>
      </c>
      <c r="X143">
        <v>2.7799999999999998E-2</v>
      </c>
      <c r="Y143">
        <v>3.83</v>
      </c>
      <c r="Z143" t="s">
        <v>164</v>
      </c>
      <c r="AA143">
        <v>8</v>
      </c>
      <c r="AB143">
        <v>25</v>
      </c>
      <c r="AC143" s="18">
        <f t="shared" si="1"/>
        <v>2</v>
      </c>
      <c r="AD143">
        <v>0.5</v>
      </c>
      <c r="AE143">
        <v>100</v>
      </c>
      <c r="AF143" s="11">
        <v>0.28000000000000003</v>
      </c>
    </row>
    <row r="144" spans="1:32" x14ac:dyDescent="0.3">
      <c r="A144" t="s">
        <v>56</v>
      </c>
      <c r="B144" t="s">
        <v>40</v>
      </c>
      <c r="C144">
        <v>-0.02</v>
      </c>
      <c r="D144">
        <v>444.43</v>
      </c>
      <c r="E144">
        <v>2.1</v>
      </c>
      <c r="F144">
        <v>3.05</v>
      </c>
      <c r="G144">
        <v>1.55</v>
      </c>
      <c r="H144">
        <v>1.7</v>
      </c>
      <c r="I144">
        <v>2.86</v>
      </c>
      <c r="J144">
        <v>181.62</v>
      </c>
      <c r="K144" t="s">
        <v>57</v>
      </c>
      <c r="L144" t="s">
        <v>51</v>
      </c>
      <c r="M144">
        <v>3</v>
      </c>
      <c r="N144">
        <v>54.405000000000001</v>
      </c>
      <c r="O144">
        <v>6.75</v>
      </c>
      <c r="P144">
        <v>1.83</v>
      </c>
      <c r="Q144" t="s">
        <v>58</v>
      </c>
      <c r="R144">
        <v>110</v>
      </c>
      <c r="S144">
        <v>12</v>
      </c>
      <c r="T144" t="s">
        <v>164</v>
      </c>
      <c r="U144" t="s">
        <v>164</v>
      </c>
      <c r="V144" s="7">
        <v>0.88558682006286138</v>
      </c>
      <c r="W144">
        <v>16.149999999999999</v>
      </c>
      <c r="X144">
        <v>2.7799999999999998E-2</v>
      </c>
      <c r="Y144">
        <v>3.83</v>
      </c>
      <c r="Z144" t="s">
        <v>164</v>
      </c>
      <c r="AA144">
        <v>10</v>
      </c>
      <c r="AB144">
        <v>25</v>
      </c>
      <c r="AC144" s="18">
        <f t="shared" si="1"/>
        <v>2</v>
      </c>
      <c r="AD144">
        <v>0.5</v>
      </c>
      <c r="AE144">
        <v>100</v>
      </c>
      <c r="AF144" s="11">
        <v>0.21</v>
      </c>
    </row>
    <row r="145" spans="1:32" x14ac:dyDescent="0.3">
      <c r="A145" t="s">
        <v>56</v>
      </c>
      <c r="B145" t="s">
        <v>40</v>
      </c>
      <c r="C145">
        <v>-0.02</v>
      </c>
      <c r="D145">
        <v>444.43</v>
      </c>
      <c r="E145">
        <v>2.1</v>
      </c>
      <c r="F145">
        <v>3.05</v>
      </c>
      <c r="G145">
        <v>1.55</v>
      </c>
      <c r="H145">
        <v>1.7</v>
      </c>
      <c r="I145">
        <v>2.86</v>
      </c>
      <c r="J145">
        <v>181.62</v>
      </c>
      <c r="K145" t="s">
        <v>57</v>
      </c>
      <c r="L145" t="s">
        <v>51</v>
      </c>
      <c r="M145">
        <v>3</v>
      </c>
      <c r="N145">
        <v>54.405000000000001</v>
      </c>
      <c r="O145">
        <v>6.75</v>
      </c>
      <c r="P145">
        <v>1.83</v>
      </c>
      <c r="Q145" t="s">
        <v>58</v>
      </c>
      <c r="R145">
        <v>110</v>
      </c>
      <c r="S145">
        <v>12</v>
      </c>
      <c r="T145" t="s">
        <v>164</v>
      </c>
      <c r="U145" t="s">
        <v>164</v>
      </c>
      <c r="V145" s="7">
        <v>0.88558682006286138</v>
      </c>
      <c r="W145">
        <v>16.149999999999999</v>
      </c>
      <c r="X145">
        <v>2.7799999999999998E-2</v>
      </c>
      <c r="Y145">
        <v>3.83</v>
      </c>
      <c r="Z145" t="s">
        <v>164</v>
      </c>
      <c r="AA145">
        <v>12</v>
      </c>
      <c r="AB145">
        <v>25</v>
      </c>
      <c r="AC145" s="18">
        <f t="shared" si="1"/>
        <v>2</v>
      </c>
      <c r="AD145">
        <v>0.5</v>
      </c>
      <c r="AE145">
        <v>100</v>
      </c>
      <c r="AF145" s="15">
        <v>0.18</v>
      </c>
    </row>
    <row r="146" spans="1:32" x14ac:dyDescent="0.3">
      <c r="A146" t="s">
        <v>56</v>
      </c>
      <c r="B146" t="s">
        <v>40</v>
      </c>
      <c r="C146">
        <v>-0.02</v>
      </c>
      <c r="D146">
        <v>444.43</v>
      </c>
      <c r="E146">
        <v>2.1</v>
      </c>
      <c r="F146">
        <v>3.05</v>
      </c>
      <c r="G146">
        <v>1.55</v>
      </c>
      <c r="H146">
        <v>1.7</v>
      </c>
      <c r="I146">
        <v>2.86</v>
      </c>
      <c r="J146">
        <v>181.62</v>
      </c>
      <c r="K146" t="s">
        <v>57</v>
      </c>
      <c r="L146" t="s">
        <v>51</v>
      </c>
      <c r="M146">
        <v>3</v>
      </c>
      <c r="N146">
        <v>54.405000000000001</v>
      </c>
      <c r="O146">
        <v>6.75</v>
      </c>
      <c r="P146">
        <v>1.83</v>
      </c>
      <c r="Q146" t="s">
        <v>58</v>
      </c>
      <c r="R146">
        <v>110</v>
      </c>
      <c r="S146">
        <v>12</v>
      </c>
      <c r="T146" t="s">
        <v>164</v>
      </c>
      <c r="U146" t="s">
        <v>164</v>
      </c>
      <c r="V146" s="7">
        <v>0.88558682006286138</v>
      </c>
      <c r="W146">
        <v>16.149999999999999</v>
      </c>
      <c r="X146">
        <v>2.7799999999999998E-2</v>
      </c>
      <c r="Y146">
        <v>3.83</v>
      </c>
      <c r="Z146" t="s">
        <v>164</v>
      </c>
      <c r="AA146">
        <v>8</v>
      </c>
      <c r="AB146">
        <v>25</v>
      </c>
      <c r="AC146" s="18">
        <f t="shared" si="1"/>
        <v>2</v>
      </c>
      <c r="AD146">
        <v>0.5</v>
      </c>
      <c r="AE146">
        <v>20</v>
      </c>
      <c r="AF146" s="15">
        <v>0.45</v>
      </c>
    </row>
    <row r="147" spans="1:32" x14ac:dyDescent="0.3">
      <c r="A147" t="s">
        <v>56</v>
      </c>
      <c r="B147" t="s">
        <v>40</v>
      </c>
      <c r="C147">
        <v>-0.02</v>
      </c>
      <c r="D147">
        <v>444.43</v>
      </c>
      <c r="E147">
        <v>2.1</v>
      </c>
      <c r="F147">
        <v>3.05</v>
      </c>
      <c r="G147">
        <v>1.55</v>
      </c>
      <c r="H147">
        <v>1.7</v>
      </c>
      <c r="I147">
        <v>2.86</v>
      </c>
      <c r="J147">
        <v>181.62</v>
      </c>
      <c r="K147" t="s">
        <v>57</v>
      </c>
      <c r="L147" t="s">
        <v>51</v>
      </c>
      <c r="M147">
        <v>3</v>
      </c>
      <c r="N147">
        <v>54.405000000000001</v>
      </c>
      <c r="O147">
        <v>6.75</v>
      </c>
      <c r="P147">
        <v>1.83</v>
      </c>
      <c r="Q147" t="s">
        <v>58</v>
      </c>
      <c r="R147">
        <v>110</v>
      </c>
      <c r="S147">
        <v>12</v>
      </c>
      <c r="T147" t="s">
        <v>164</v>
      </c>
      <c r="U147" t="s">
        <v>164</v>
      </c>
      <c r="V147" s="7">
        <v>0.88558682006286138</v>
      </c>
      <c r="W147">
        <v>16.149999999999999</v>
      </c>
      <c r="X147">
        <v>2.7799999999999998E-2</v>
      </c>
      <c r="Y147">
        <v>3.83</v>
      </c>
      <c r="Z147" t="s">
        <v>164</v>
      </c>
      <c r="AA147">
        <v>8</v>
      </c>
      <c r="AB147">
        <v>25</v>
      </c>
      <c r="AC147" s="18">
        <f t="shared" si="1"/>
        <v>2</v>
      </c>
      <c r="AD147">
        <v>0.5</v>
      </c>
      <c r="AE147">
        <v>40</v>
      </c>
      <c r="AF147" s="15">
        <v>0.375</v>
      </c>
    </row>
    <row r="148" spans="1:32" x14ac:dyDescent="0.3">
      <c r="A148" t="s">
        <v>56</v>
      </c>
      <c r="B148" t="s">
        <v>40</v>
      </c>
      <c r="C148">
        <v>-0.02</v>
      </c>
      <c r="D148">
        <v>444.43</v>
      </c>
      <c r="E148">
        <v>2.1</v>
      </c>
      <c r="F148">
        <v>3.05</v>
      </c>
      <c r="G148">
        <v>1.55</v>
      </c>
      <c r="H148">
        <v>1.7</v>
      </c>
      <c r="I148">
        <v>2.86</v>
      </c>
      <c r="J148">
        <v>181.62</v>
      </c>
      <c r="K148" t="s">
        <v>57</v>
      </c>
      <c r="L148" t="s">
        <v>51</v>
      </c>
      <c r="M148">
        <v>3</v>
      </c>
      <c r="N148">
        <v>54.405000000000001</v>
      </c>
      <c r="O148">
        <v>6.75</v>
      </c>
      <c r="P148">
        <v>1.83</v>
      </c>
      <c r="Q148" t="s">
        <v>58</v>
      </c>
      <c r="R148">
        <v>110</v>
      </c>
      <c r="S148">
        <v>12</v>
      </c>
      <c r="T148" t="s">
        <v>164</v>
      </c>
      <c r="U148" t="s">
        <v>164</v>
      </c>
      <c r="V148" s="7">
        <v>0.88558682006286138</v>
      </c>
      <c r="W148">
        <v>16.149999999999999</v>
      </c>
      <c r="X148">
        <v>2.7799999999999998E-2</v>
      </c>
      <c r="Y148">
        <v>3.83</v>
      </c>
      <c r="Z148" t="s">
        <v>164</v>
      </c>
      <c r="AA148">
        <v>8</v>
      </c>
      <c r="AB148">
        <v>25</v>
      </c>
      <c r="AC148" s="18">
        <f t="shared" si="1"/>
        <v>2</v>
      </c>
      <c r="AD148">
        <v>0.5</v>
      </c>
      <c r="AE148">
        <v>60</v>
      </c>
      <c r="AF148" s="15">
        <v>0.41666666666666669</v>
      </c>
    </row>
    <row r="149" spans="1:32" x14ac:dyDescent="0.3">
      <c r="A149" t="s">
        <v>56</v>
      </c>
      <c r="B149" t="s">
        <v>40</v>
      </c>
      <c r="C149">
        <v>-0.02</v>
      </c>
      <c r="D149">
        <v>444.43</v>
      </c>
      <c r="E149">
        <v>2.1</v>
      </c>
      <c r="F149">
        <v>3.05</v>
      </c>
      <c r="G149">
        <v>1.55</v>
      </c>
      <c r="H149">
        <v>1.7</v>
      </c>
      <c r="I149">
        <v>2.86</v>
      </c>
      <c r="J149">
        <v>181.62</v>
      </c>
      <c r="K149" t="s">
        <v>57</v>
      </c>
      <c r="L149" t="s">
        <v>51</v>
      </c>
      <c r="M149">
        <v>3</v>
      </c>
      <c r="N149">
        <v>54.405000000000001</v>
      </c>
      <c r="O149">
        <v>6.75</v>
      </c>
      <c r="P149">
        <v>1.83</v>
      </c>
      <c r="Q149" t="s">
        <v>58</v>
      </c>
      <c r="R149">
        <v>110</v>
      </c>
      <c r="S149">
        <v>12</v>
      </c>
      <c r="T149" t="s">
        <v>164</v>
      </c>
      <c r="U149" t="s">
        <v>164</v>
      </c>
      <c r="V149" s="7">
        <v>0.88558682006286138</v>
      </c>
      <c r="W149">
        <v>16.149999999999999</v>
      </c>
      <c r="X149">
        <v>2.7799999999999998E-2</v>
      </c>
      <c r="Y149">
        <v>3.83</v>
      </c>
      <c r="Z149" t="s">
        <v>164</v>
      </c>
      <c r="AA149">
        <v>8</v>
      </c>
      <c r="AB149">
        <v>25</v>
      </c>
      <c r="AC149" s="18">
        <f t="shared" si="1"/>
        <v>2</v>
      </c>
      <c r="AD149">
        <v>0.5</v>
      </c>
      <c r="AE149">
        <v>80</v>
      </c>
      <c r="AF149" s="15">
        <v>0.4375</v>
      </c>
    </row>
    <row r="150" spans="1:32" x14ac:dyDescent="0.3">
      <c r="A150" t="s">
        <v>56</v>
      </c>
      <c r="B150" t="s">
        <v>40</v>
      </c>
      <c r="C150">
        <v>-0.02</v>
      </c>
      <c r="D150">
        <v>444.43</v>
      </c>
      <c r="E150">
        <v>2.1</v>
      </c>
      <c r="F150">
        <v>3.05</v>
      </c>
      <c r="G150">
        <v>1.55</v>
      </c>
      <c r="H150">
        <v>1.7</v>
      </c>
      <c r="I150">
        <v>2.86</v>
      </c>
      <c r="J150">
        <v>181.62</v>
      </c>
      <c r="K150" t="s">
        <v>57</v>
      </c>
      <c r="L150" t="s">
        <v>51</v>
      </c>
      <c r="M150">
        <v>3</v>
      </c>
      <c r="N150">
        <v>54.405000000000001</v>
      </c>
      <c r="O150">
        <v>6.75</v>
      </c>
      <c r="P150">
        <v>1.83</v>
      </c>
      <c r="Q150" t="s">
        <v>58</v>
      </c>
      <c r="R150">
        <v>110</v>
      </c>
      <c r="S150">
        <v>12</v>
      </c>
      <c r="T150" t="s">
        <v>164</v>
      </c>
      <c r="U150" t="s">
        <v>164</v>
      </c>
      <c r="V150" s="7">
        <v>0.88558682006286138</v>
      </c>
      <c r="W150">
        <v>16.149999999999999</v>
      </c>
      <c r="X150">
        <v>2.7799999999999998E-2</v>
      </c>
      <c r="Y150">
        <v>3.83</v>
      </c>
      <c r="Z150" t="s">
        <v>164</v>
      </c>
      <c r="AA150">
        <v>8</v>
      </c>
      <c r="AB150">
        <v>25</v>
      </c>
      <c r="AC150" s="18">
        <f t="shared" si="1"/>
        <v>2</v>
      </c>
      <c r="AD150">
        <v>0.5</v>
      </c>
      <c r="AE150">
        <v>100</v>
      </c>
      <c r="AF150" s="15">
        <v>0.35</v>
      </c>
    </row>
    <row r="151" spans="1:32" x14ac:dyDescent="0.3">
      <c r="A151" t="s">
        <v>56</v>
      </c>
      <c r="B151" t="s">
        <v>40</v>
      </c>
      <c r="C151">
        <v>-0.02</v>
      </c>
      <c r="D151">
        <v>444.43</v>
      </c>
      <c r="E151">
        <v>2.1</v>
      </c>
      <c r="F151">
        <v>3.05</v>
      </c>
      <c r="G151">
        <v>1.55</v>
      </c>
      <c r="H151">
        <v>1.7</v>
      </c>
      <c r="I151">
        <v>2.86</v>
      </c>
      <c r="J151">
        <v>181.62</v>
      </c>
      <c r="K151" t="s">
        <v>57</v>
      </c>
      <c r="L151" t="s">
        <v>51</v>
      </c>
      <c r="M151">
        <v>3</v>
      </c>
      <c r="N151">
        <v>54.405000000000001</v>
      </c>
      <c r="O151">
        <v>6.75</v>
      </c>
      <c r="P151">
        <v>1.83</v>
      </c>
      <c r="Q151" t="s">
        <v>58</v>
      </c>
      <c r="R151">
        <v>110</v>
      </c>
      <c r="S151">
        <v>12</v>
      </c>
      <c r="T151" t="s">
        <v>164</v>
      </c>
      <c r="U151" t="s">
        <v>164</v>
      </c>
      <c r="V151" s="7">
        <v>0.88558682006286138</v>
      </c>
      <c r="W151">
        <v>16.149999999999999</v>
      </c>
      <c r="X151">
        <v>2.7799999999999998E-2</v>
      </c>
      <c r="Y151">
        <v>3.83</v>
      </c>
      <c r="Z151" t="s">
        <v>164</v>
      </c>
      <c r="AA151">
        <v>8</v>
      </c>
      <c r="AB151">
        <v>25</v>
      </c>
      <c r="AC151" s="20">
        <v>0.33333333333333331</v>
      </c>
      <c r="AD151">
        <v>0.5</v>
      </c>
      <c r="AE151">
        <v>100</v>
      </c>
      <c r="AF151" s="11">
        <v>0.19</v>
      </c>
    </row>
    <row r="152" spans="1:32" x14ac:dyDescent="0.3">
      <c r="A152" t="s">
        <v>56</v>
      </c>
      <c r="B152" t="s">
        <v>40</v>
      </c>
      <c r="C152">
        <v>-0.02</v>
      </c>
      <c r="D152">
        <v>444.43</v>
      </c>
      <c r="E152">
        <v>2.1</v>
      </c>
      <c r="F152">
        <v>3.05</v>
      </c>
      <c r="G152">
        <v>1.55</v>
      </c>
      <c r="H152">
        <v>1.7</v>
      </c>
      <c r="I152">
        <v>2.86</v>
      </c>
      <c r="J152">
        <v>181.62</v>
      </c>
      <c r="K152" t="s">
        <v>57</v>
      </c>
      <c r="L152" t="s">
        <v>51</v>
      </c>
      <c r="M152">
        <v>3</v>
      </c>
      <c r="N152">
        <v>54.405000000000001</v>
      </c>
      <c r="O152">
        <v>6.75</v>
      </c>
      <c r="P152">
        <v>1.83</v>
      </c>
      <c r="Q152" t="s">
        <v>58</v>
      </c>
      <c r="R152">
        <v>110</v>
      </c>
      <c r="S152">
        <v>12</v>
      </c>
      <c r="T152" t="s">
        <v>164</v>
      </c>
      <c r="U152" t="s">
        <v>164</v>
      </c>
      <c r="V152" s="7">
        <v>0.88558682006286138</v>
      </c>
      <c r="W152">
        <v>16.149999999999999</v>
      </c>
      <c r="X152">
        <v>2.7799999999999998E-2</v>
      </c>
      <c r="Y152">
        <v>3.83</v>
      </c>
      <c r="Z152" t="s">
        <v>164</v>
      </c>
      <c r="AA152">
        <v>8</v>
      </c>
      <c r="AB152">
        <v>25</v>
      </c>
      <c r="AC152" s="20">
        <v>0.66666666666666663</v>
      </c>
      <c r="AD152">
        <v>0.5</v>
      </c>
      <c r="AE152">
        <v>100</v>
      </c>
      <c r="AF152" s="11">
        <v>0.3</v>
      </c>
    </row>
    <row r="153" spans="1:32" x14ac:dyDescent="0.3">
      <c r="A153" t="s">
        <v>56</v>
      </c>
      <c r="B153" t="s">
        <v>40</v>
      </c>
      <c r="C153">
        <v>-0.02</v>
      </c>
      <c r="D153">
        <v>444.43</v>
      </c>
      <c r="E153">
        <v>2.1</v>
      </c>
      <c r="F153">
        <v>3.05</v>
      </c>
      <c r="G153">
        <v>1.55</v>
      </c>
      <c r="H153">
        <v>1.7</v>
      </c>
      <c r="I153">
        <v>2.86</v>
      </c>
      <c r="J153">
        <v>181.62</v>
      </c>
      <c r="K153" t="s">
        <v>57</v>
      </c>
      <c r="L153" t="s">
        <v>51</v>
      </c>
      <c r="M153">
        <v>3</v>
      </c>
      <c r="N153">
        <v>54.405000000000001</v>
      </c>
      <c r="O153">
        <v>6.75</v>
      </c>
      <c r="P153">
        <v>1.83</v>
      </c>
      <c r="Q153" t="s">
        <v>58</v>
      </c>
      <c r="R153">
        <v>110</v>
      </c>
      <c r="S153">
        <v>12</v>
      </c>
      <c r="T153" t="s">
        <v>164</v>
      </c>
      <c r="U153" t="s">
        <v>164</v>
      </c>
      <c r="V153" s="7">
        <v>0.88558682006286138</v>
      </c>
      <c r="W153">
        <v>16.149999999999999</v>
      </c>
      <c r="X153">
        <v>2.7799999999999998E-2</v>
      </c>
      <c r="Y153">
        <v>3.83</v>
      </c>
      <c r="Z153" t="s">
        <v>164</v>
      </c>
      <c r="AA153">
        <v>8</v>
      </c>
      <c r="AB153">
        <v>25</v>
      </c>
      <c r="AC153" s="20">
        <v>1</v>
      </c>
      <c r="AD153">
        <v>0.5</v>
      </c>
      <c r="AE153">
        <v>100</v>
      </c>
      <c r="AF153" s="11">
        <v>0.31</v>
      </c>
    </row>
    <row r="154" spans="1:32" x14ac:dyDescent="0.3">
      <c r="A154" t="s">
        <v>56</v>
      </c>
      <c r="B154" t="s">
        <v>40</v>
      </c>
      <c r="C154">
        <v>-0.02</v>
      </c>
      <c r="D154">
        <v>444.43</v>
      </c>
      <c r="E154">
        <v>2.1</v>
      </c>
      <c r="F154">
        <v>3.05</v>
      </c>
      <c r="G154">
        <v>1.55</v>
      </c>
      <c r="H154">
        <v>1.7</v>
      </c>
      <c r="I154">
        <v>2.86</v>
      </c>
      <c r="J154">
        <v>181.62</v>
      </c>
      <c r="K154" t="s">
        <v>57</v>
      </c>
      <c r="L154" t="s">
        <v>51</v>
      </c>
      <c r="M154">
        <v>3</v>
      </c>
      <c r="N154">
        <v>54.405000000000001</v>
      </c>
      <c r="O154">
        <v>6.75</v>
      </c>
      <c r="P154">
        <v>1.83</v>
      </c>
      <c r="Q154" t="s">
        <v>58</v>
      </c>
      <c r="R154">
        <v>110</v>
      </c>
      <c r="S154">
        <v>12</v>
      </c>
      <c r="T154" t="s">
        <v>164</v>
      </c>
      <c r="U154" t="s">
        <v>164</v>
      </c>
      <c r="V154" s="7">
        <v>0.88558682006286138</v>
      </c>
      <c r="W154">
        <v>16.149999999999999</v>
      </c>
      <c r="X154">
        <v>2.7799999999999998E-2</v>
      </c>
      <c r="Y154">
        <v>3.83</v>
      </c>
      <c r="Z154" t="s">
        <v>164</v>
      </c>
      <c r="AA154">
        <v>8</v>
      </c>
      <c r="AB154">
        <v>25</v>
      </c>
      <c r="AC154" s="20">
        <v>1.3333333333333333</v>
      </c>
      <c r="AD154">
        <v>0.5</v>
      </c>
      <c r="AE154">
        <v>100</v>
      </c>
      <c r="AF154" s="11">
        <v>0.33</v>
      </c>
    </row>
    <row r="155" spans="1:32" x14ac:dyDescent="0.3">
      <c r="A155" t="s">
        <v>56</v>
      </c>
      <c r="B155" t="s">
        <v>40</v>
      </c>
      <c r="C155">
        <v>-0.02</v>
      </c>
      <c r="D155">
        <v>444.43</v>
      </c>
      <c r="E155">
        <v>2.1</v>
      </c>
      <c r="F155">
        <v>3.05</v>
      </c>
      <c r="G155">
        <v>1.55</v>
      </c>
      <c r="H155">
        <v>1.7</v>
      </c>
      <c r="I155">
        <v>2.86</v>
      </c>
      <c r="J155">
        <v>181.62</v>
      </c>
      <c r="K155" t="s">
        <v>57</v>
      </c>
      <c r="L155" t="s">
        <v>51</v>
      </c>
      <c r="M155">
        <v>3</v>
      </c>
      <c r="N155">
        <v>54.405000000000001</v>
      </c>
      <c r="O155">
        <v>6.75</v>
      </c>
      <c r="P155">
        <v>1.83</v>
      </c>
      <c r="Q155" t="s">
        <v>58</v>
      </c>
      <c r="R155">
        <v>110</v>
      </c>
      <c r="S155">
        <v>12</v>
      </c>
      <c r="T155" t="s">
        <v>164</v>
      </c>
      <c r="U155" t="s">
        <v>164</v>
      </c>
      <c r="V155" s="7">
        <v>0.88558682006286138</v>
      </c>
      <c r="W155">
        <v>16.149999999999999</v>
      </c>
      <c r="X155">
        <v>2.7799999999999998E-2</v>
      </c>
      <c r="Y155">
        <v>3.83</v>
      </c>
      <c r="Z155" t="s">
        <v>164</v>
      </c>
      <c r="AA155">
        <v>8</v>
      </c>
      <c r="AB155">
        <v>25</v>
      </c>
      <c r="AC155" s="20">
        <v>1.6666666666666667</v>
      </c>
      <c r="AD155">
        <v>0.5</v>
      </c>
      <c r="AE155">
        <v>100</v>
      </c>
      <c r="AF155" s="11">
        <v>0.35</v>
      </c>
    </row>
    <row r="156" spans="1:32" x14ac:dyDescent="0.3">
      <c r="A156" t="s">
        <v>56</v>
      </c>
      <c r="B156" t="s">
        <v>40</v>
      </c>
      <c r="C156">
        <v>-0.02</v>
      </c>
      <c r="D156">
        <v>444.43</v>
      </c>
      <c r="E156">
        <v>2.1</v>
      </c>
      <c r="F156">
        <v>3.05</v>
      </c>
      <c r="G156">
        <v>1.55</v>
      </c>
      <c r="H156">
        <v>1.7</v>
      </c>
      <c r="I156">
        <v>2.86</v>
      </c>
      <c r="J156">
        <v>181.62</v>
      </c>
      <c r="K156" t="s">
        <v>57</v>
      </c>
      <c r="L156" t="s">
        <v>51</v>
      </c>
      <c r="M156">
        <v>3</v>
      </c>
      <c r="N156">
        <v>54.405000000000001</v>
      </c>
      <c r="O156">
        <v>6.75</v>
      </c>
      <c r="P156">
        <v>1.83</v>
      </c>
      <c r="Q156" t="s">
        <v>58</v>
      </c>
      <c r="R156">
        <v>110</v>
      </c>
      <c r="S156">
        <v>12</v>
      </c>
      <c r="T156" t="s">
        <v>164</v>
      </c>
      <c r="U156" t="s">
        <v>164</v>
      </c>
      <c r="V156" s="7">
        <v>0.88558682006286138</v>
      </c>
      <c r="W156">
        <v>16.149999999999999</v>
      </c>
      <c r="X156">
        <v>2.7799999999999998E-2</v>
      </c>
      <c r="Y156">
        <v>3.83</v>
      </c>
      <c r="Z156" t="s">
        <v>164</v>
      </c>
      <c r="AA156">
        <v>8</v>
      </c>
      <c r="AB156">
        <v>25</v>
      </c>
      <c r="AC156" s="20">
        <v>2</v>
      </c>
      <c r="AD156">
        <v>0.5</v>
      </c>
      <c r="AE156">
        <v>100</v>
      </c>
      <c r="AF156" s="11">
        <v>0.4</v>
      </c>
    </row>
    <row r="157" spans="1:32" x14ac:dyDescent="0.3">
      <c r="A157" t="s">
        <v>56</v>
      </c>
      <c r="B157" t="s">
        <v>40</v>
      </c>
      <c r="C157">
        <v>-0.02</v>
      </c>
      <c r="D157">
        <v>444.43</v>
      </c>
      <c r="E157">
        <v>2.1</v>
      </c>
      <c r="F157">
        <v>3.05</v>
      </c>
      <c r="G157">
        <v>1.55</v>
      </c>
      <c r="H157">
        <v>1.7</v>
      </c>
      <c r="I157">
        <v>2.86</v>
      </c>
      <c r="J157">
        <v>181.62</v>
      </c>
      <c r="K157" t="s">
        <v>57</v>
      </c>
      <c r="L157" t="s">
        <v>51</v>
      </c>
      <c r="M157">
        <v>3</v>
      </c>
      <c r="N157">
        <v>54.405000000000001</v>
      </c>
      <c r="O157">
        <v>6.75</v>
      </c>
      <c r="P157">
        <v>1.83</v>
      </c>
      <c r="Q157" t="s">
        <v>58</v>
      </c>
      <c r="R157">
        <v>110</v>
      </c>
      <c r="S157">
        <v>12</v>
      </c>
      <c r="T157" t="s">
        <v>164</v>
      </c>
      <c r="U157" t="s">
        <v>164</v>
      </c>
      <c r="V157" s="7">
        <v>0.88558682006286138</v>
      </c>
      <c r="W157">
        <v>16.149999999999999</v>
      </c>
      <c r="X157">
        <v>2.7799999999999998E-2</v>
      </c>
      <c r="Y157">
        <v>3.83</v>
      </c>
      <c r="Z157" t="s">
        <v>164</v>
      </c>
      <c r="AA157">
        <v>8</v>
      </c>
      <c r="AB157">
        <v>25</v>
      </c>
      <c r="AC157" s="20">
        <v>2.3333333333333335</v>
      </c>
      <c r="AD157">
        <v>0.5</v>
      </c>
      <c r="AE157">
        <v>100</v>
      </c>
      <c r="AF157" s="11">
        <v>0.4</v>
      </c>
    </row>
    <row r="158" spans="1:32" x14ac:dyDescent="0.3">
      <c r="A158" t="s">
        <v>59</v>
      </c>
      <c r="B158" t="s">
        <v>44</v>
      </c>
      <c r="C158">
        <v>-0.25</v>
      </c>
      <c r="D158">
        <v>361.37</v>
      </c>
      <c r="E158">
        <v>1.65</v>
      </c>
      <c r="F158">
        <v>2.1</v>
      </c>
      <c r="G158">
        <v>0.7</v>
      </c>
      <c r="H158">
        <v>1.4</v>
      </c>
      <c r="I158" s="7">
        <v>2.5043000000000002</v>
      </c>
      <c r="J158" s="10">
        <v>76.2</v>
      </c>
      <c r="K158" t="s">
        <v>45</v>
      </c>
      <c r="L158" t="s">
        <v>51</v>
      </c>
      <c r="M158">
        <v>3</v>
      </c>
      <c r="N158">
        <v>55.78</v>
      </c>
      <c r="O158">
        <v>7.5</v>
      </c>
      <c r="P158">
        <v>1.64</v>
      </c>
      <c r="Q158" t="s">
        <v>52</v>
      </c>
      <c r="R158">
        <v>70</v>
      </c>
      <c r="S158">
        <v>24</v>
      </c>
      <c r="T158" t="s">
        <v>164</v>
      </c>
      <c r="U158" t="s">
        <v>164</v>
      </c>
      <c r="V158" s="7">
        <v>0.76487692961639897</v>
      </c>
      <c r="W158">
        <v>40.65</v>
      </c>
      <c r="X158">
        <v>0.04</v>
      </c>
      <c r="Y158">
        <v>5.63</v>
      </c>
      <c r="Z158">
        <v>7</v>
      </c>
      <c r="AA158">
        <v>3</v>
      </c>
      <c r="AB158">
        <v>25</v>
      </c>
      <c r="AC158" s="18">
        <v>20</v>
      </c>
      <c r="AD158">
        <v>2.5</v>
      </c>
      <c r="AE158">
        <v>15</v>
      </c>
      <c r="AF158" s="11">
        <v>0.1</v>
      </c>
    </row>
    <row r="159" spans="1:32" x14ac:dyDescent="0.3">
      <c r="A159" t="s">
        <v>59</v>
      </c>
      <c r="B159" t="s">
        <v>44</v>
      </c>
      <c r="C159">
        <v>-0.25</v>
      </c>
      <c r="D159">
        <v>361.37</v>
      </c>
      <c r="E159">
        <v>1.65</v>
      </c>
      <c r="F159">
        <v>2.1</v>
      </c>
      <c r="G159">
        <v>0.7</v>
      </c>
      <c r="H159">
        <v>1.4</v>
      </c>
      <c r="I159" s="7">
        <v>2.5043000000000002</v>
      </c>
      <c r="J159" s="10">
        <v>76.2</v>
      </c>
      <c r="K159" t="s">
        <v>45</v>
      </c>
      <c r="L159" t="s">
        <v>51</v>
      </c>
      <c r="M159">
        <v>3</v>
      </c>
      <c r="N159">
        <v>55.78</v>
      </c>
      <c r="O159">
        <v>7.5</v>
      </c>
      <c r="P159">
        <v>1.64</v>
      </c>
      <c r="Q159" t="s">
        <v>52</v>
      </c>
      <c r="R159">
        <v>70</v>
      </c>
      <c r="S159">
        <v>24</v>
      </c>
      <c r="T159" t="s">
        <v>164</v>
      </c>
      <c r="U159" t="s">
        <v>164</v>
      </c>
      <c r="V159" s="7">
        <v>0.76487692961639897</v>
      </c>
      <c r="W159">
        <v>40.65</v>
      </c>
      <c r="X159">
        <v>0.04</v>
      </c>
      <c r="Y159">
        <v>5.63</v>
      </c>
      <c r="Z159">
        <v>7</v>
      </c>
      <c r="AA159">
        <v>5</v>
      </c>
      <c r="AB159">
        <v>25</v>
      </c>
      <c r="AC159" s="18">
        <v>20</v>
      </c>
      <c r="AD159">
        <v>2.5</v>
      </c>
      <c r="AE159">
        <v>15</v>
      </c>
      <c r="AF159" s="11">
        <v>0.17</v>
      </c>
    </row>
    <row r="160" spans="1:32" x14ac:dyDescent="0.3">
      <c r="A160" t="s">
        <v>59</v>
      </c>
      <c r="B160" t="s">
        <v>44</v>
      </c>
      <c r="C160">
        <v>-0.25</v>
      </c>
      <c r="D160">
        <v>361.37</v>
      </c>
      <c r="E160">
        <v>1.65</v>
      </c>
      <c r="F160">
        <v>2.1</v>
      </c>
      <c r="G160">
        <v>0.7</v>
      </c>
      <c r="H160">
        <v>1.4</v>
      </c>
      <c r="I160" s="7">
        <v>2.5043000000000002</v>
      </c>
      <c r="J160" s="10">
        <v>76.2</v>
      </c>
      <c r="K160" t="s">
        <v>45</v>
      </c>
      <c r="L160" t="s">
        <v>51</v>
      </c>
      <c r="M160">
        <v>3</v>
      </c>
      <c r="N160">
        <v>55.78</v>
      </c>
      <c r="O160">
        <v>7.5</v>
      </c>
      <c r="P160">
        <v>1.64</v>
      </c>
      <c r="Q160" t="s">
        <v>52</v>
      </c>
      <c r="R160">
        <v>70</v>
      </c>
      <c r="S160">
        <v>24</v>
      </c>
      <c r="T160" t="s">
        <v>164</v>
      </c>
      <c r="U160" t="s">
        <v>164</v>
      </c>
      <c r="V160" s="7">
        <v>0.76487692961639897</v>
      </c>
      <c r="W160">
        <v>40.65</v>
      </c>
      <c r="X160">
        <v>0.04</v>
      </c>
      <c r="Y160">
        <v>5.63</v>
      </c>
      <c r="Z160">
        <v>7</v>
      </c>
      <c r="AA160">
        <v>7</v>
      </c>
      <c r="AB160">
        <v>25</v>
      </c>
      <c r="AC160" s="18">
        <v>20</v>
      </c>
      <c r="AD160">
        <v>2.5</v>
      </c>
      <c r="AE160">
        <v>15</v>
      </c>
      <c r="AF160" s="11">
        <v>0.35</v>
      </c>
    </row>
    <row r="161" spans="1:32" x14ac:dyDescent="0.3">
      <c r="A161" t="s">
        <v>59</v>
      </c>
      <c r="B161" t="s">
        <v>44</v>
      </c>
      <c r="C161">
        <v>-0.25</v>
      </c>
      <c r="D161">
        <v>361.37</v>
      </c>
      <c r="E161">
        <v>1.65</v>
      </c>
      <c r="F161">
        <v>2.1</v>
      </c>
      <c r="G161">
        <v>0.7</v>
      </c>
      <c r="H161">
        <v>1.4</v>
      </c>
      <c r="I161" s="7">
        <v>2.5043000000000002</v>
      </c>
      <c r="J161" s="10">
        <v>76.2</v>
      </c>
      <c r="K161" t="s">
        <v>45</v>
      </c>
      <c r="L161" t="s">
        <v>51</v>
      </c>
      <c r="M161">
        <v>3</v>
      </c>
      <c r="N161">
        <v>55.78</v>
      </c>
      <c r="O161">
        <v>7.5</v>
      </c>
      <c r="P161">
        <v>1.64</v>
      </c>
      <c r="Q161" t="s">
        <v>52</v>
      </c>
      <c r="R161">
        <v>70</v>
      </c>
      <c r="S161">
        <v>24</v>
      </c>
      <c r="T161" t="s">
        <v>164</v>
      </c>
      <c r="U161" t="s">
        <v>164</v>
      </c>
      <c r="V161" s="7">
        <v>0.76487692961639897</v>
      </c>
      <c r="W161">
        <v>40.65</v>
      </c>
      <c r="X161">
        <v>0.04</v>
      </c>
      <c r="Y161">
        <v>5.63</v>
      </c>
      <c r="Z161">
        <v>7</v>
      </c>
      <c r="AA161">
        <v>9</v>
      </c>
      <c r="AB161">
        <v>25</v>
      </c>
      <c r="AC161" s="18">
        <v>20</v>
      </c>
      <c r="AD161">
        <v>2.5</v>
      </c>
      <c r="AE161">
        <v>15</v>
      </c>
      <c r="AF161" s="11">
        <v>0.75</v>
      </c>
    </row>
    <row r="162" spans="1:32" x14ac:dyDescent="0.3">
      <c r="A162" t="s">
        <v>59</v>
      </c>
      <c r="B162" t="s">
        <v>44</v>
      </c>
      <c r="C162">
        <v>-0.25</v>
      </c>
      <c r="D162">
        <v>361.37</v>
      </c>
      <c r="E162">
        <v>1.65</v>
      </c>
      <c r="F162">
        <v>2.1</v>
      </c>
      <c r="G162">
        <v>0.7</v>
      </c>
      <c r="H162">
        <v>1.4</v>
      </c>
      <c r="I162" s="7">
        <v>2.5043000000000002</v>
      </c>
      <c r="J162" s="10">
        <v>76.2</v>
      </c>
      <c r="K162" t="s">
        <v>45</v>
      </c>
      <c r="L162" t="s">
        <v>51</v>
      </c>
      <c r="M162">
        <v>3</v>
      </c>
      <c r="N162">
        <v>55.78</v>
      </c>
      <c r="O162">
        <v>7.5</v>
      </c>
      <c r="P162">
        <v>1.64</v>
      </c>
      <c r="Q162" t="s">
        <v>52</v>
      </c>
      <c r="R162">
        <v>70</v>
      </c>
      <c r="S162">
        <v>24</v>
      </c>
      <c r="T162" t="s">
        <v>164</v>
      </c>
      <c r="U162" t="s">
        <v>164</v>
      </c>
      <c r="V162" s="7">
        <v>0.76487692961639897</v>
      </c>
      <c r="W162">
        <v>40.65</v>
      </c>
      <c r="X162">
        <v>0.04</v>
      </c>
      <c r="Y162">
        <v>5.63</v>
      </c>
      <c r="Z162">
        <v>7</v>
      </c>
      <c r="AA162">
        <v>11</v>
      </c>
      <c r="AB162">
        <v>25</v>
      </c>
      <c r="AC162" s="18">
        <v>20</v>
      </c>
      <c r="AD162">
        <v>2.5</v>
      </c>
      <c r="AE162">
        <v>15</v>
      </c>
      <c r="AF162" s="11">
        <v>0.25</v>
      </c>
    </row>
    <row r="163" spans="1:32" x14ac:dyDescent="0.3">
      <c r="A163" t="s">
        <v>59</v>
      </c>
      <c r="B163" t="s">
        <v>44</v>
      </c>
      <c r="C163">
        <v>-0.25</v>
      </c>
      <c r="D163">
        <v>361.37</v>
      </c>
      <c r="E163">
        <v>1.65</v>
      </c>
      <c r="F163">
        <v>2.1</v>
      </c>
      <c r="G163">
        <v>0.7</v>
      </c>
      <c r="H163">
        <v>1.4</v>
      </c>
      <c r="I163" s="7">
        <v>2.5043000000000002</v>
      </c>
      <c r="J163" s="10">
        <v>76.2</v>
      </c>
      <c r="K163" t="s">
        <v>45</v>
      </c>
      <c r="L163" t="s">
        <v>51</v>
      </c>
      <c r="M163">
        <v>3</v>
      </c>
      <c r="N163">
        <v>55.78</v>
      </c>
      <c r="O163">
        <v>7.5</v>
      </c>
      <c r="P163">
        <v>1.64</v>
      </c>
      <c r="Q163" t="s">
        <v>52</v>
      </c>
      <c r="R163">
        <v>70</v>
      </c>
      <c r="S163">
        <v>24</v>
      </c>
      <c r="T163" t="s">
        <v>164</v>
      </c>
      <c r="U163" t="s">
        <v>164</v>
      </c>
      <c r="V163" s="7">
        <v>0.76487692961639897</v>
      </c>
      <c r="W163">
        <v>40.65</v>
      </c>
      <c r="X163">
        <v>0.04</v>
      </c>
      <c r="Y163">
        <v>5.63</v>
      </c>
      <c r="Z163">
        <v>7</v>
      </c>
      <c r="AA163">
        <v>9</v>
      </c>
      <c r="AB163">
        <v>25</v>
      </c>
      <c r="AC163" s="18">
        <v>20</v>
      </c>
      <c r="AD163">
        <v>0.25</v>
      </c>
      <c r="AE163">
        <v>15</v>
      </c>
      <c r="AF163" s="11">
        <v>0.25</v>
      </c>
    </row>
    <row r="164" spans="1:32" x14ac:dyDescent="0.3">
      <c r="A164" t="s">
        <v>59</v>
      </c>
      <c r="B164" t="s">
        <v>44</v>
      </c>
      <c r="C164">
        <v>-0.25</v>
      </c>
      <c r="D164">
        <v>361.37</v>
      </c>
      <c r="E164">
        <v>1.65</v>
      </c>
      <c r="F164">
        <v>2.1</v>
      </c>
      <c r="G164">
        <v>0.7</v>
      </c>
      <c r="H164">
        <v>1.4</v>
      </c>
      <c r="I164" s="7">
        <v>2.5043000000000002</v>
      </c>
      <c r="J164" s="10">
        <v>76.2</v>
      </c>
      <c r="K164" t="s">
        <v>45</v>
      </c>
      <c r="L164" t="s">
        <v>51</v>
      </c>
      <c r="M164">
        <v>3</v>
      </c>
      <c r="N164">
        <v>55.78</v>
      </c>
      <c r="O164">
        <v>7.5</v>
      </c>
      <c r="P164">
        <v>1.64</v>
      </c>
      <c r="Q164" t="s">
        <v>52</v>
      </c>
      <c r="R164">
        <v>70</v>
      </c>
      <c r="S164">
        <v>24</v>
      </c>
      <c r="T164" t="s">
        <v>164</v>
      </c>
      <c r="U164" t="s">
        <v>164</v>
      </c>
      <c r="V164" s="7">
        <v>0.76487692961639897</v>
      </c>
      <c r="W164">
        <v>40.65</v>
      </c>
      <c r="X164">
        <v>0.04</v>
      </c>
      <c r="Y164">
        <v>5.63</v>
      </c>
      <c r="Z164">
        <v>7</v>
      </c>
      <c r="AA164">
        <v>9</v>
      </c>
      <c r="AB164">
        <v>25</v>
      </c>
      <c r="AC164" s="18">
        <v>20</v>
      </c>
      <c r="AD164">
        <v>0.5</v>
      </c>
      <c r="AE164">
        <v>15</v>
      </c>
      <c r="AF164" s="11">
        <v>0.3</v>
      </c>
    </row>
    <row r="165" spans="1:32" x14ac:dyDescent="0.3">
      <c r="A165" t="s">
        <v>59</v>
      </c>
      <c r="B165" t="s">
        <v>44</v>
      </c>
      <c r="C165">
        <v>-0.25</v>
      </c>
      <c r="D165">
        <v>361.37</v>
      </c>
      <c r="E165">
        <v>1.65</v>
      </c>
      <c r="F165">
        <v>2.1</v>
      </c>
      <c r="G165">
        <v>0.7</v>
      </c>
      <c r="H165">
        <v>1.4</v>
      </c>
      <c r="I165" s="7">
        <v>2.5043000000000002</v>
      </c>
      <c r="J165" s="10">
        <v>76.2</v>
      </c>
      <c r="K165" t="s">
        <v>45</v>
      </c>
      <c r="L165" t="s">
        <v>51</v>
      </c>
      <c r="M165">
        <v>3</v>
      </c>
      <c r="N165">
        <v>55.78</v>
      </c>
      <c r="O165">
        <v>7.5</v>
      </c>
      <c r="P165">
        <v>1.64</v>
      </c>
      <c r="Q165" t="s">
        <v>52</v>
      </c>
      <c r="R165">
        <v>70</v>
      </c>
      <c r="S165">
        <v>24</v>
      </c>
      <c r="T165" t="s">
        <v>164</v>
      </c>
      <c r="U165" t="s">
        <v>164</v>
      </c>
      <c r="V165" s="7">
        <v>0.76487692961639897</v>
      </c>
      <c r="W165">
        <v>40.65</v>
      </c>
      <c r="X165">
        <v>0.04</v>
      </c>
      <c r="Y165">
        <v>5.63</v>
      </c>
      <c r="Z165">
        <v>7</v>
      </c>
      <c r="AA165">
        <v>9</v>
      </c>
      <c r="AB165">
        <v>25</v>
      </c>
      <c r="AC165" s="18">
        <v>20</v>
      </c>
      <c r="AD165">
        <v>1</v>
      </c>
      <c r="AE165">
        <v>15</v>
      </c>
      <c r="AF165" s="11">
        <v>0.5</v>
      </c>
    </row>
    <row r="166" spans="1:32" x14ac:dyDescent="0.3">
      <c r="A166" t="s">
        <v>59</v>
      </c>
      <c r="B166" t="s">
        <v>44</v>
      </c>
      <c r="C166">
        <v>-0.25</v>
      </c>
      <c r="D166">
        <v>361.37</v>
      </c>
      <c r="E166">
        <v>1.65</v>
      </c>
      <c r="F166">
        <v>2.1</v>
      </c>
      <c r="G166">
        <v>0.7</v>
      </c>
      <c r="H166">
        <v>1.4</v>
      </c>
      <c r="I166" s="7">
        <v>2.5043000000000002</v>
      </c>
      <c r="J166" s="10">
        <v>76.2</v>
      </c>
      <c r="K166" t="s">
        <v>45</v>
      </c>
      <c r="L166" t="s">
        <v>51</v>
      </c>
      <c r="M166">
        <v>3</v>
      </c>
      <c r="N166">
        <v>55.78</v>
      </c>
      <c r="O166">
        <v>7.5</v>
      </c>
      <c r="P166">
        <v>1.64</v>
      </c>
      <c r="Q166" t="s">
        <v>52</v>
      </c>
      <c r="R166">
        <v>70</v>
      </c>
      <c r="S166">
        <v>24</v>
      </c>
      <c r="T166" t="s">
        <v>164</v>
      </c>
      <c r="U166" t="s">
        <v>164</v>
      </c>
      <c r="V166" s="7">
        <v>0.76487692961639897</v>
      </c>
      <c r="W166">
        <v>40.65</v>
      </c>
      <c r="X166">
        <v>0.04</v>
      </c>
      <c r="Y166">
        <v>5.63</v>
      </c>
      <c r="Z166">
        <v>7</v>
      </c>
      <c r="AA166">
        <v>9</v>
      </c>
      <c r="AB166">
        <v>25</v>
      </c>
      <c r="AC166" s="18">
        <v>20</v>
      </c>
      <c r="AD166">
        <v>1.5</v>
      </c>
      <c r="AE166">
        <v>15</v>
      </c>
      <c r="AF166" s="11">
        <v>0.6</v>
      </c>
    </row>
    <row r="167" spans="1:32" x14ac:dyDescent="0.3">
      <c r="A167" t="s">
        <v>59</v>
      </c>
      <c r="B167" t="s">
        <v>44</v>
      </c>
      <c r="C167">
        <v>-0.25</v>
      </c>
      <c r="D167">
        <v>361.37</v>
      </c>
      <c r="E167">
        <v>1.65</v>
      </c>
      <c r="F167">
        <v>2.1</v>
      </c>
      <c r="G167">
        <v>0.7</v>
      </c>
      <c r="H167">
        <v>1.4</v>
      </c>
      <c r="I167" s="7">
        <v>2.5043000000000002</v>
      </c>
      <c r="J167" s="10">
        <v>76.2</v>
      </c>
      <c r="K167" t="s">
        <v>45</v>
      </c>
      <c r="L167" t="s">
        <v>51</v>
      </c>
      <c r="M167">
        <v>3</v>
      </c>
      <c r="N167">
        <v>55.78</v>
      </c>
      <c r="O167">
        <v>7.5</v>
      </c>
      <c r="P167">
        <v>1.64</v>
      </c>
      <c r="Q167" t="s">
        <v>52</v>
      </c>
      <c r="R167">
        <v>70</v>
      </c>
      <c r="S167">
        <v>24</v>
      </c>
      <c r="T167" t="s">
        <v>164</v>
      </c>
      <c r="U167" t="s">
        <v>164</v>
      </c>
      <c r="V167" s="7">
        <v>0.76487692961639897</v>
      </c>
      <c r="W167">
        <v>40.65</v>
      </c>
      <c r="X167">
        <v>0.04</v>
      </c>
      <c r="Y167">
        <v>5.63</v>
      </c>
      <c r="Z167">
        <v>7</v>
      </c>
      <c r="AA167">
        <v>9</v>
      </c>
      <c r="AB167">
        <v>25</v>
      </c>
      <c r="AC167" s="18">
        <v>20</v>
      </c>
      <c r="AD167">
        <v>2</v>
      </c>
      <c r="AE167">
        <v>15</v>
      </c>
      <c r="AF167" s="11">
        <v>0.7</v>
      </c>
    </row>
    <row r="168" spans="1:32" x14ac:dyDescent="0.3">
      <c r="A168" t="s">
        <v>59</v>
      </c>
      <c r="B168" t="s">
        <v>44</v>
      </c>
      <c r="C168">
        <v>-0.25</v>
      </c>
      <c r="D168">
        <v>361.37</v>
      </c>
      <c r="E168">
        <v>1.65</v>
      </c>
      <c r="F168">
        <v>2.1</v>
      </c>
      <c r="G168">
        <v>0.7</v>
      </c>
      <c r="H168">
        <v>1.4</v>
      </c>
      <c r="I168" s="7">
        <v>2.5043000000000002</v>
      </c>
      <c r="J168" s="10">
        <v>76.2</v>
      </c>
      <c r="K168" t="s">
        <v>45</v>
      </c>
      <c r="L168" t="s">
        <v>51</v>
      </c>
      <c r="M168">
        <v>3</v>
      </c>
      <c r="N168">
        <v>55.78</v>
      </c>
      <c r="O168">
        <v>7.5</v>
      </c>
      <c r="P168">
        <v>1.64</v>
      </c>
      <c r="Q168" t="s">
        <v>52</v>
      </c>
      <c r="R168">
        <v>70</v>
      </c>
      <c r="S168">
        <v>24</v>
      </c>
      <c r="T168" t="s">
        <v>164</v>
      </c>
      <c r="U168" t="s">
        <v>164</v>
      </c>
      <c r="V168" s="7">
        <v>0.76487692961639897</v>
      </c>
      <c r="W168">
        <v>40.65</v>
      </c>
      <c r="X168">
        <v>0.04</v>
      </c>
      <c r="Y168">
        <v>5.63</v>
      </c>
      <c r="Z168">
        <v>7</v>
      </c>
      <c r="AA168">
        <v>9</v>
      </c>
      <c r="AB168">
        <v>25</v>
      </c>
      <c r="AC168" s="18">
        <v>20</v>
      </c>
      <c r="AD168">
        <v>2.5</v>
      </c>
      <c r="AE168">
        <v>15</v>
      </c>
      <c r="AF168" s="11">
        <v>0.73</v>
      </c>
    </row>
    <row r="169" spans="1:32" x14ac:dyDescent="0.3">
      <c r="A169" t="s">
        <v>59</v>
      </c>
      <c r="B169" t="s">
        <v>44</v>
      </c>
      <c r="C169">
        <v>-0.25</v>
      </c>
      <c r="D169">
        <v>361.37</v>
      </c>
      <c r="E169">
        <v>1.65</v>
      </c>
      <c r="F169">
        <v>2.1</v>
      </c>
      <c r="G169">
        <v>0.7</v>
      </c>
      <c r="H169">
        <v>1.4</v>
      </c>
      <c r="I169" s="7">
        <v>2.5043000000000002</v>
      </c>
      <c r="J169" s="10">
        <v>76.2</v>
      </c>
      <c r="K169" t="s">
        <v>45</v>
      </c>
      <c r="L169" t="s">
        <v>51</v>
      </c>
      <c r="M169">
        <v>3</v>
      </c>
      <c r="N169">
        <v>55.78</v>
      </c>
      <c r="O169">
        <v>7.5</v>
      </c>
      <c r="P169">
        <v>1.64</v>
      </c>
      <c r="Q169" t="s">
        <v>52</v>
      </c>
      <c r="R169">
        <v>70</v>
      </c>
      <c r="S169">
        <v>24</v>
      </c>
      <c r="T169" t="s">
        <v>164</v>
      </c>
      <c r="U169" t="s">
        <v>164</v>
      </c>
      <c r="V169" s="7">
        <v>0.76487692961639897</v>
      </c>
      <c r="W169">
        <v>40.65</v>
      </c>
      <c r="X169">
        <v>0.04</v>
      </c>
      <c r="Y169">
        <v>5.63</v>
      </c>
      <c r="Z169">
        <v>7</v>
      </c>
      <c r="AA169">
        <v>9</v>
      </c>
      <c r="AB169">
        <v>25</v>
      </c>
      <c r="AC169" s="18">
        <v>20</v>
      </c>
      <c r="AD169">
        <v>3</v>
      </c>
      <c r="AE169">
        <v>15</v>
      </c>
      <c r="AF169" s="11">
        <v>0.73</v>
      </c>
    </row>
    <row r="170" spans="1:32" x14ac:dyDescent="0.3">
      <c r="A170" t="s">
        <v>59</v>
      </c>
      <c r="B170" t="s">
        <v>44</v>
      </c>
      <c r="C170">
        <v>-0.25</v>
      </c>
      <c r="D170">
        <v>361.37</v>
      </c>
      <c r="E170">
        <v>1.65</v>
      </c>
      <c r="F170">
        <v>2.1</v>
      </c>
      <c r="G170">
        <v>0.7</v>
      </c>
      <c r="H170">
        <v>1.4</v>
      </c>
      <c r="I170" s="7">
        <v>2.5043000000000002</v>
      </c>
      <c r="J170" s="10">
        <v>76.2</v>
      </c>
      <c r="K170" t="s">
        <v>45</v>
      </c>
      <c r="L170" t="s">
        <v>51</v>
      </c>
      <c r="M170">
        <v>3</v>
      </c>
      <c r="N170">
        <v>55.78</v>
      </c>
      <c r="O170">
        <v>7.5</v>
      </c>
      <c r="P170">
        <v>1.64</v>
      </c>
      <c r="Q170" t="s">
        <v>52</v>
      </c>
      <c r="R170">
        <v>70</v>
      </c>
      <c r="S170">
        <v>24</v>
      </c>
      <c r="T170" t="s">
        <v>164</v>
      </c>
      <c r="U170" t="s">
        <v>164</v>
      </c>
      <c r="V170" s="7">
        <v>0.76487692961639897</v>
      </c>
      <c r="W170">
        <v>40.65</v>
      </c>
      <c r="X170">
        <v>0.04</v>
      </c>
      <c r="Y170">
        <v>5.63</v>
      </c>
      <c r="Z170">
        <v>7</v>
      </c>
      <c r="AA170">
        <v>9</v>
      </c>
      <c r="AB170">
        <v>25</v>
      </c>
      <c r="AC170" s="18">
        <v>20</v>
      </c>
      <c r="AD170">
        <v>3.5</v>
      </c>
      <c r="AE170">
        <v>15</v>
      </c>
      <c r="AF170" s="11">
        <v>0.73</v>
      </c>
    </row>
    <row r="171" spans="1:32" x14ac:dyDescent="0.3">
      <c r="A171" t="s">
        <v>59</v>
      </c>
      <c r="B171" t="s">
        <v>44</v>
      </c>
      <c r="C171">
        <v>-0.25</v>
      </c>
      <c r="D171">
        <v>361.37</v>
      </c>
      <c r="E171">
        <v>1.65</v>
      </c>
      <c r="F171">
        <v>2.1</v>
      </c>
      <c r="G171">
        <v>0.7</v>
      </c>
      <c r="H171">
        <v>1.4</v>
      </c>
      <c r="I171" s="7">
        <v>2.5043000000000002</v>
      </c>
      <c r="J171" s="10">
        <v>76.2</v>
      </c>
      <c r="K171" t="s">
        <v>45</v>
      </c>
      <c r="L171" t="s">
        <v>51</v>
      </c>
      <c r="M171">
        <v>3</v>
      </c>
      <c r="N171">
        <v>55.78</v>
      </c>
      <c r="O171">
        <v>7.5</v>
      </c>
      <c r="P171">
        <v>1.64</v>
      </c>
      <c r="Q171" t="s">
        <v>52</v>
      </c>
      <c r="R171">
        <v>70</v>
      </c>
      <c r="S171">
        <v>24</v>
      </c>
      <c r="T171" t="s">
        <v>164</v>
      </c>
      <c r="U171" t="s">
        <v>164</v>
      </c>
      <c r="V171" s="7">
        <v>0.76487692961639897</v>
      </c>
      <c r="W171">
        <v>40.65</v>
      </c>
      <c r="X171">
        <v>0.04</v>
      </c>
      <c r="Y171">
        <v>5.63</v>
      </c>
      <c r="Z171">
        <v>7</v>
      </c>
      <c r="AA171">
        <v>9</v>
      </c>
      <c r="AB171">
        <v>25</v>
      </c>
      <c r="AC171" s="18">
        <v>20</v>
      </c>
      <c r="AD171">
        <v>4</v>
      </c>
      <c r="AE171">
        <v>15</v>
      </c>
      <c r="AF171" s="11">
        <v>0.73</v>
      </c>
    </row>
    <row r="172" spans="1:32" x14ac:dyDescent="0.3">
      <c r="A172" t="s">
        <v>59</v>
      </c>
      <c r="B172" t="s">
        <v>44</v>
      </c>
      <c r="C172">
        <v>-0.25</v>
      </c>
      <c r="D172">
        <v>361.37</v>
      </c>
      <c r="E172">
        <v>1.65</v>
      </c>
      <c r="F172">
        <v>2.1</v>
      </c>
      <c r="G172">
        <v>0.7</v>
      </c>
      <c r="H172">
        <v>1.4</v>
      </c>
      <c r="I172" s="7">
        <v>2.5043000000000002</v>
      </c>
      <c r="J172" s="10">
        <v>76.2</v>
      </c>
      <c r="K172" t="s">
        <v>45</v>
      </c>
      <c r="L172" t="s">
        <v>51</v>
      </c>
      <c r="M172">
        <v>3</v>
      </c>
      <c r="N172">
        <v>55.78</v>
      </c>
      <c r="O172">
        <v>7.5</v>
      </c>
      <c r="P172">
        <v>1.64</v>
      </c>
      <c r="Q172" t="s">
        <v>52</v>
      </c>
      <c r="R172">
        <v>70</v>
      </c>
      <c r="S172">
        <v>24</v>
      </c>
      <c r="T172" t="s">
        <v>164</v>
      </c>
      <c r="U172" t="s">
        <v>164</v>
      </c>
      <c r="V172" s="7">
        <v>0.76487692961639897</v>
      </c>
      <c r="W172">
        <v>40.65</v>
      </c>
      <c r="X172">
        <v>0.04</v>
      </c>
      <c r="Y172">
        <v>5.63</v>
      </c>
      <c r="Z172">
        <v>7</v>
      </c>
      <c r="AA172">
        <v>9</v>
      </c>
      <c r="AB172">
        <v>15</v>
      </c>
      <c r="AC172" s="18">
        <v>20</v>
      </c>
      <c r="AD172">
        <v>2.5</v>
      </c>
      <c r="AE172">
        <v>15</v>
      </c>
      <c r="AF172" s="11">
        <v>0.55000000000000004</v>
      </c>
    </row>
    <row r="173" spans="1:32" x14ac:dyDescent="0.3">
      <c r="A173" t="s">
        <v>59</v>
      </c>
      <c r="B173" t="s">
        <v>44</v>
      </c>
      <c r="C173">
        <v>-0.25</v>
      </c>
      <c r="D173">
        <v>361.37</v>
      </c>
      <c r="E173">
        <v>1.65</v>
      </c>
      <c r="F173">
        <v>2.1</v>
      </c>
      <c r="G173">
        <v>0.7</v>
      </c>
      <c r="H173">
        <v>1.4</v>
      </c>
      <c r="I173" s="7">
        <v>2.5043000000000002</v>
      </c>
      <c r="J173" s="10">
        <v>76.2</v>
      </c>
      <c r="K173" t="s">
        <v>45</v>
      </c>
      <c r="L173" t="s">
        <v>51</v>
      </c>
      <c r="M173">
        <v>3</v>
      </c>
      <c r="N173">
        <v>55.78</v>
      </c>
      <c r="O173">
        <v>7.5</v>
      </c>
      <c r="P173">
        <v>1.64</v>
      </c>
      <c r="Q173" t="s">
        <v>52</v>
      </c>
      <c r="R173">
        <v>70</v>
      </c>
      <c r="S173">
        <v>24</v>
      </c>
      <c r="T173" t="s">
        <v>164</v>
      </c>
      <c r="U173" t="s">
        <v>164</v>
      </c>
      <c r="V173" s="7">
        <v>0.76487692961639897</v>
      </c>
      <c r="W173">
        <v>40.65</v>
      </c>
      <c r="X173">
        <v>0.04</v>
      </c>
      <c r="Y173">
        <v>5.63</v>
      </c>
      <c r="Z173">
        <v>7</v>
      </c>
      <c r="AA173">
        <v>9</v>
      </c>
      <c r="AB173">
        <v>25</v>
      </c>
      <c r="AC173" s="18">
        <v>20</v>
      </c>
      <c r="AD173">
        <v>2.5</v>
      </c>
      <c r="AE173">
        <v>15</v>
      </c>
      <c r="AF173" s="11">
        <v>0.47499999999999998</v>
      </c>
    </row>
    <row r="174" spans="1:32" x14ac:dyDescent="0.3">
      <c r="A174" t="s">
        <v>59</v>
      </c>
      <c r="B174" t="s">
        <v>44</v>
      </c>
      <c r="C174">
        <v>-0.25</v>
      </c>
      <c r="D174">
        <v>361.37</v>
      </c>
      <c r="E174">
        <v>1.65</v>
      </c>
      <c r="F174">
        <v>2.1</v>
      </c>
      <c r="G174">
        <v>0.7</v>
      </c>
      <c r="H174">
        <v>1.4</v>
      </c>
      <c r="I174" s="7">
        <v>2.5043000000000002</v>
      </c>
      <c r="J174" s="10">
        <v>76.2</v>
      </c>
      <c r="K174" t="s">
        <v>45</v>
      </c>
      <c r="L174" t="s">
        <v>51</v>
      </c>
      <c r="M174">
        <v>3</v>
      </c>
      <c r="N174">
        <v>55.78</v>
      </c>
      <c r="O174">
        <v>7.5</v>
      </c>
      <c r="P174">
        <v>1.64</v>
      </c>
      <c r="Q174" t="s">
        <v>52</v>
      </c>
      <c r="R174">
        <v>70</v>
      </c>
      <c r="S174">
        <v>24</v>
      </c>
      <c r="T174" t="s">
        <v>164</v>
      </c>
      <c r="U174" t="s">
        <v>164</v>
      </c>
      <c r="V174" s="7">
        <v>0.76487692961639897</v>
      </c>
      <c r="W174">
        <v>40.65</v>
      </c>
      <c r="X174">
        <v>0.04</v>
      </c>
      <c r="Y174">
        <v>5.63</v>
      </c>
      <c r="Z174">
        <v>7</v>
      </c>
      <c r="AA174">
        <v>9</v>
      </c>
      <c r="AB174">
        <v>35</v>
      </c>
      <c r="AC174" s="18">
        <v>20</v>
      </c>
      <c r="AD174">
        <v>2.5</v>
      </c>
      <c r="AE174">
        <v>15</v>
      </c>
      <c r="AF174" s="11">
        <v>0.41</v>
      </c>
    </row>
    <row r="175" spans="1:32" x14ac:dyDescent="0.3">
      <c r="A175" t="s">
        <v>59</v>
      </c>
      <c r="B175" t="s">
        <v>44</v>
      </c>
      <c r="C175">
        <v>-0.25</v>
      </c>
      <c r="D175">
        <v>361.37</v>
      </c>
      <c r="E175">
        <v>1.65</v>
      </c>
      <c r="F175">
        <v>2.1</v>
      </c>
      <c r="G175">
        <v>0.7</v>
      </c>
      <c r="H175">
        <v>1.4</v>
      </c>
      <c r="I175" s="7">
        <v>2.5043000000000002</v>
      </c>
      <c r="J175" s="10">
        <v>76.2</v>
      </c>
      <c r="K175" t="s">
        <v>45</v>
      </c>
      <c r="L175" t="s">
        <v>51</v>
      </c>
      <c r="M175">
        <v>3</v>
      </c>
      <c r="N175">
        <v>55.78</v>
      </c>
      <c r="O175">
        <v>7.5</v>
      </c>
      <c r="P175">
        <v>1.64</v>
      </c>
      <c r="Q175" t="s">
        <v>52</v>
      </c>
      <c r="R175">
        <v>70</v>
      </c>
      <c r="S175">
        <v>24</v>
      </c>
      <c r="T175" t="s">
        <v>164</v>
      </c>
      <c r="U175" t="s">
        <v>164</v>
      </c>
      <c r="V175" s="7">
        <v>0.76487692961639897</v>
      </c>
      <c r="W175">
        <v>40.65</v>
      </c>
      <c r="X175">
        <v>0.04</v>
      </c>
      <c r="Y175">
        <v>5.63</v>
      </c>
      <c r="Z175">
        <v>7</v>
      </c>
      <c r="AA175">
        <v>9</v>
      </c>
      <c r="AB175">
        <v>45</v>
      </c>
      <c r="AC175" s="18">
        <v>20</v>
      </c>
      <c r="AD175">
        <v>2.5</v>
      </c>
      <c r="AE175">
        <v>15</v>
      </c>
      <c r="AF175" s="11">
        <v>0.375</v>
      </c>
    </row>
    <row r="176" spans="1:32" x14ac:dyDescent="0.3">
      <c r="A176" t="s">
        <v>59</v>
      </c>
      <c r="B176" t="s">
        <v>44</v>
      </c>
      <c r="C176">
        <v>-0.25</v>
      </c>
      <c r="D176">
        <v>361.37</v>
      </c>
      <c r="E176">
        <v>1.65</v>
      </c>
      <c r="F176">
        <v>2.1</v>
      </c>
      <c r="G176">
        <v>0.7</v>
      </c>
      <c r="H176">
        <v>1.4</v>
      </c>
      <c r="I176" s="7">
        <v>2.5043000000000002</v>
      </c>
      <c r="J176" s="10">
        <v>76.2</v>
      </c>
      <c r="K176" t="s">
        <v>45</v>
      </c>
      <c r="L176" t="s">
        <v>51</v>
      </c>
      <c r="M176">
        <v>3</v>
      </c>
      <c r="N176">
        <v>55.78</v>
      </c>
      <c r="O176">
        <v>7.5</v>
      </c>
      <c r="P176">
        <v>1.64</v>
      </c>
      <c r="Q176" t="s">
        <v>52</v>
      </c>
      <c r="R176">
        <v>70</v>
      </c>
      <c r="S176">
        <v>24</v>
      </c>
      <c r="T176" t="s">
        <v>164</v>
      </c>
      <c r="U176" t="s">
        <v>164</v>
      </c>
      <c r="V176" s="7">
        <v>0.76487692961639897</v>
      </c>
      <c r="W176">
        <v>40.65</v>
      </c>
      <c r="X176">
        <v>0.04</v>
      </c>
      <c r="Y176">
        <v>5.63</v>
      </c>
      <c r="Z176">
        <v>7</v>
      </c>
      <c r="AA176">
        <v>9</v>
      </c>
      <c r="AB176">
        <v>55</v>
      </c>
      <c r="AC176" s="18">
        <v>20</v>
      </c>
      <c r="AD176">
        <v>2.5</v>
      </c>
      <c r="AE176">
        <v>15</v>
      </c>
      <c r="AF176" s="11">
        <v>0.3</v>
      </c>
    </row>
    <row r="177" spans="1:32" x14ac:dyDescent="0.3">
      <c r="A177" t="s">
        <v>60</v>
      </c>
      <c r="B177" t="s">
        <v>49</v>
      </c>
      <c r="C177">
        <v>-2.67</v>
      </c>
      <c r="D177">
        <v>365.41</v>
      </c>
      <c r="E177">
        <v>2.2000000000000002</v>
      </c>
      <c r="F177">
        <v>2.6</v>
      </c>
      <c r="G177">
        <v>0.9</v>
      </c>
      <c r="H177">
        <v>1.7</v>
      </c>
      <c r="I177">
        <v>2.5385</v>
      </c>
      <c r="J177">
        <v>158</v>
      </c>
      <c r="K177" t="s">
        <v>55</v>
      </c>
      <c r="L177" t="s">
        <v>51</v>
      </c>
      <c r="M177">
        <v>2</v>
      </c>
      <c r="N177">
        <v>25.196000000000002</v>
      </c>
      <c r="O177">
        <v>0</v>
      </c>
      <c r="P177">
        <v>1.41</v>
      </c>
      <c r="Q177" t="s">
        <v>52</v>
      </c>
      <c r="R177" t="s">
        <v>164</v>
      </c>
      <c r="S177" t="s">
        <v>164</v>
      </c>
      <c r="T177" t="s">
        <v>164</v>
      </c>
      <c r="U177" t="s">
        <v>164</v>
      </c>
      <c r="V177" s="7">
        <v>0.77085828615306529</v>
      </c>
      <c r="W177" t="s">
        <v>164</v>
      </c>
      <c r="X177" t="s">
        <v>164</v>
      </c>
      <c r="Y177" t="s">
        <v>164</v>
      </c>
      <c r="Z177" t="s">
        <v>164</v>
      </c>
      <c r="AA177">
        <v>2.5</v>
      </c>
      <c r="AB177">
        <v>25</v>
      </c>
      <c r="AC177" s="18">
        <v>2</v>
      </c>
      <c r="AD177">
        <v>1</v>
      </c>
      <c r="AE177">
        <v>240</v>
      </c>
      <c r="AF177" s="11">
        <v>5.6250000000000001E-2</v>
      </c>
    </row>
    <row r="178" spans="1:32" x14ac:dyDescent="0.3">
      <c r="A178" t="s">
        <v>60</v>
      </c>
      <c r="B178" t="s">
        <v>49</v>
      </c>
      <c r="C178">
        <v>-2.67</v>
      </c>
      <c r="D178">
        <v>365.41</v>
      </c>
      <c r="E178">
        <v>2.2000000000000002</v>
      </c>
      <c r="F178">
        <v>2.6</v>
      </c>
      <c r="G178">
        <v>0.9</v>
      </c>
      <c r="H178">
        <v>1.7</v>
      </c>
      <c r="I178">
        <v>2.5385</v>
      </c>
      <c r="J178">
        <v>158</v>
      </c>
      <c r="K178" t="s">
        <v>55</v>
      </c>
      <c r="L178" t="s">
        <v>51</v>
      </c>
      <c r="M178">
        <v>2</v>
      </c>
      <c r="N178">
        <v>25.196000000000002</v>
      </c>
      <c r="O178">
        <v>0</v>
      </c>
      <c r="P178">
        <v>1.41</v>
      </c>
      <c r="Q178" t="s">
        <v>52</v>
      </c>
      <c r="R178" t="s">
        <v>164</v>
      </c>
      <c r="S178" t="s">
        <v>164</v>
      </c>
      <c r="T178" t="s">
        <v>164</v>
      </c>
      <c r="U178" t="s">
        <v>164</v>
      </c>
      <c r="V178" s="7">
        <v>0.77085828615306529</v>
      </c>
      <c r="W178" t="s">
        <v>164</v>
      </c>
      <c r="X178" t="s">
        <v>164</v>
      </c>
      <c r="Y178" t="s">
        <v>164</v>
      </c>
      <c r="Z178" t="s">
        <v>164</v>
      </c>
      <c r="AA178">
        <v>4</v>
      </c>
      <c r="AB178">
        <v>25</v>
      </c>
      <c r="AC178" s="18">
        <v>2</v>
      </c>
      <c r="AD178">
        <v>1</v>
      </c>
      <c r="AE178">
        <v>240</v>
      </c>
      <c r="AF178" s="11">
        <v>0.1</v>
      </c>
    </row>
    <row r="179" spans="1:32" x14ac:dyDescent="0.3">
      <c r="A179" t="s">
        <v>60</v>
      </c>
      <c r="B179" t="s">
        <v>49</v>
      </c>
      <c r="C179">
        <v>-2.67</v>
      </c>
      <c r="D179">
        <v>365.41</v>
      </c>
      <c r="E179">
        <v>2.2000000000000002</v>
      </c>
      <c r="F179">
        <v>2.6</v>
      </c>
      <c r="G179">
        <v>0.9</v>
      </c>
      <c r="H179">
        <v>1.7</v>
      </c>
      <c r="I179">
        <v>2.5385</v>
      </c>
      <c r="J179">
        <v>158</v>
      </c>
      <c r="K179" t="s">
        <v>55</v>
      </c>
      <c r="L179" t="s">
        <v>51</v>
      </c>
      <c r="M179">
        <v>2</v>
      </c>
      <c r="N179">
        <v>25.196000000000002</v>
      </c>
      <c r="O179">
        <v>0</v>
      </c>
      <c r="P179">
        <v>1.41</v>
      </c>
      <c r="Q179" t="s">
        <v>52</v>
      </c>
      <c r="R179" t="s">
        <v>164</v>
      </c>
      <c r="S179" t="s">
        <v>164</v>
      </c>
      <c r="T179" t="s">
        <v>164</v>
      </c>
      <c r="U179" t="s">
        <v>164</v>
      </c>
      <c r="V179" s="7">
        <v>0.77085828615306529</v>
      </c>
      <c r="W179" t="s">
        <v>164</v>
      </c>
      <c r="X179" t="s">
        <v>164</v>
      </c>
      <c r="Y179" t="s">
        <v>164</v>
      </c>
      <c r="Z179" t="s">
        <v>164</v>
      </c>
      <c r="AA179">
        <v>5.5</v>
      </c>
      <c r="AB179">
        <v>25</v>
      </c>
      <c r="AC179" s="18">
        <v>2</v>
      </c>
      <c r="AD179">
        <v>1</v>
      </c>
      <c r="AE179">
        <v>240</v>
      </c>
      <c r="AF179" s="11">
        <v>0.1875</v>
      </c>
    </row>
    <row r="180" spans="1:32" x14ac:dyDescent="0.3">
      <c r="A180" t="s">
        <v>60</v>
      </c>
      <c r="B180" t="s">
        <v>49</v>
      </c>
      <c r="C180">
        <v>-2.67</v>
      </c>
      <c r="D180">
        <v>365.41</v>
      </c>
      <c r="E180">
        <v>2.2000000000000002</v>
      </c>
      <c r="F180">
        <v>2.6</v>
      </c>
      <c r="G180">
        <v>0.9</v>
      </c>
      <c r="H180">
        <v>1.7</v>
      </c>
      <c r="I180">
        <v>2.5385</v>
      </c>
      <c r="J180">
        <v>158</v>
      </c>
      <c r="K180" t="s">
        <v>55</v>
      </c>
      <c r="L180" t="s">
        <v>51</v>
      </c>
      <c r="M180">
        <v>2</v>
      </c>
      <c r="N180">
        <v>25.196000000000002</v>
      </c>
      <c r="O180">
        <v>0</v>
      </c>
      <c r="P180">
        <v>1.41</v>
      </c>
      <c r="Q180" t="s">
        <v>52</v>
      </c>
      <c r="R180" t="s">
        <v>164</v>
      </c>
      <c r="S180" t="s">
        <v>164</v>
      </c>
      <c r="T180" t="s">
        <v>164</v>
      </c>
      <c r="U180" t="s">
        <v>164</v>
      </c>
      <c r="V180" s="7">
        <v>0.77085828615306529</v>
      </c>
      <c r="W180" t="s">
        <v>164</v>
      </c>
      <c r="X180" t="s">
        <v>164</v>
      </c>
      <c r="Y180" t="s">
        <v>164</v>
      </c>
      <c r="Z180" t="s">
        <v>164</v>
      </c>
      <c r="AA180">
        <v>8</v>
      </c>
      <c r="AB180">
        <v>25</v>
      </c>
      <c r="AC180" s="18">
        <v>2</v>
      </c>
      <c r="AD180">
        <v>1</v>
      </c>
      <c r="AE180">
        <v>240</v>
      </c>
      <c r="AF180" s="11">
        <v>0.15416666666666667</v>
      </c>
    </row>
    <row r="181" spans="1:32" x14ac:dyDescent="0.3">
      <c r="A181" t="s">
        <v>60</v>
      </c>
      <c r="B181" t="s">
        <v>49</v>
      </c>
      <c r="C181">
        <v>-2.67</v>
      </c>
      <c r="D181">
        <v>365.41</v>
      </c>
      <c r="E181">
        <v>2.2000000000000002</v>
      </c>
      <c r="F181">
        <v>2.6</v>
      </c>
      <c r="G181">
        <v>0.9</v>
      </c>
      <c r="H181">
        <v>1.7</v>
      </c>
      <c r="I181">
        <v>2.5385</v>
      </c>
      <c r="J181">
        <v>158</v>
      </c>
      <c r="K181" t="s">
        <v>55</v>
      </c>
      <c r="L181" t="s">
        <v>51</v>
      </c>
      <c r="M181">
        <v>2</v>
      </c>
      <c r="N181">
        <v>25.196000000000002</v>
      </c>
      <c r="O181">
        <v>0</v>
      </c>
      <c r="P181">
        <v>1.41</v>
      </c>
      <c r="Q181" t="s">
        <v>52</v>
      </c>
      <c r="R181" t="s">
        <v>164</v>
      </c>
      <c r="S181" t="s">
        <v>164</v>
      </c>
      <c r="T181" t="s">
        <v>164</v>
      </c>
      <c r="U181" t="s">
        <v>164</v>
      </c>
      <c r="V181" s="7">
        <v>0.77085828615306529</v>
      </c>
      <c r="W181" t="s">
        <v>164</v>
      </c>
      <c r="X181" t="s">
        <v>164</v>
      </c>
      <c r="Y181" t="s">
        <v>164</v>
      </c>
      <c r="Z181" t="s">
        <v>164</v>
      </c>
      <c r="AA181">
        <v>10</v>
      </c>
      <c r="AB181">
        <v>25</v>
      </c>
      <c r="AC181" s="18">
        <v>2</v>
      </c>
      <c r="AD181">
        <v>1</v>
      </c>
      <c r="AE181">
        <v>240</v>
      </c>
      <c r="AF181" s="11">
        <v>0.16250000000000001</v>
      </c>
    </row>
    <row r="182" spans="1:32" x14ac:dyDescent="0.3">
      <c r="A182" t="s">
        <v>60</v>
      </c>
      <c r="B182" t="s">
        <v>49</v>
      </c>
      <c r="C182">
        <v>-2.67</v>
      </c>
      <c r="D182">
        <v>365.41</v>
      </c>
      <c r="E182">
        <v>2.2000000000000002</v>
      </c>
      <c r="F182">
        <v>2.6</v>
      </c>
      <c r="G182">
        <v>0.9</v>
      </c>
      <c r="H182">
        <v>1.7</v>
      </c>
      <c r="I182">
        <v>2.5385</v>
      </c>
      <c r="J182">
        <v>158</v>
      </c>
      <c r="K182" t="s">
        <v>55</v>
      </c>
      <c r="L182" t="s">
        <v>51</v>
      </c>
      <c r="M182">
        <v>2</v>
      </c>
      <c r="N182">
        <v>25.196000000000002</v>
      </c>
      <c r="O182">
        <v>0</v>
      </c>
      <c r="P182">
        <v>1.41</v>
      </c>
      <c r="Q182" t="s">
        <v>52</v>
      </c>
      <c r="R182" t="s">
        <v>164</v>
      </c>
      <c r="S182" t="s">
        <v>164</v>
      </c>
      <c r="T182" t="s">
        <v>164</v>
      </c>
      <c r="U182" t="s">
        <v>164</v>
      </c>
      <c r="V182" s="7">
        <v>0.77085828615306529</v>
      </c>
      <c r="W182" t="s">
        <v>164</v>
      </c>
      <c r="X182" t="s">
        <v>164</v>
      </c>
      <c r="Y182" t="s">
        <v>164</v>
      </c>
      <c r="Z182" t="s">
        <v>164</v>
      </c>
      <c r="AA182">
        <v>6</v>
      </c>
      <c r="AB182">
        <v>30</v>
      </c>
      <c r="AC182" s="18">
        <v>2</v>
      </c>
      <c r="AD182">
        <v>1</v>
      </c>
      <c r="AE182">
        <v>240</v>
      </c>
      <c r="AF182" s="11">
        <v>0.125</v>
      </c>
    </row>
    <row r="183" spans="1:32" x14ac:dyDescent="0.3">
      <c r="A183" t="s">
        <v>60</v>
      </c>
      <c r="B183" t="s">
        <v>49</v>
      </c>
      <c r="C183">
        <v>-2.67</v>
      </c>
      <c r="D183">
        <v>365.41</v>
      </c>
      <c r="E183">
        <v>2.2000000000000002</v>
      </c>
      <c r="F183">
        <v>2.6</v>
      </c>
      <c r="G183">
        <v>0.9</v>
      </c>
      <c r="H183">
        <v>1.7</v>
      </c>
      <c r="I183">
        <v>2.5385</v>
      </c>
      <c r="J183">
        <v>158</v>
      </c>
      <c r="K183" t="s">
        <v>55</v>
      </c>
      <c r="L183" t="s">
        <v>51</v>
      </c>
      <c r="M183">
        <v>2</v>
      </c>
      <c r="N183">
        <v>25.196000000000002</v>
      </c>
      <c r="O183">
        <v>0</v>
      </c>
      <c r="P183">
        <v>1.41</v>
      </c>
      <c r="Q183" t="s">
        <v>52</v>
      </c>
      <c r="R183" t="s">
        <v>164</v>
      </c>
      <c r="S183" t="s">
        <v>164</v>
      </c>
      <c r="T183" t="s">
        <v>164</v>
      </c>
      <c r="U183" t="s">
        <v>164</v>
      </c>
      <c r="V183" s="7">
        <v>0.77085828615306529</v>
      </c>
      <c r="W183" t="s">
        <v>164</v>
      </c>
      <c r="X183" t="s">
        <v>164</v>
      </c>
      <c r="Y183" t="s">
        <v>164</v>
      </c>
      <c r="Z183" t="s">
        <v>164</v>
      </c>
      <c r="AA183">
        <v>6</v>
      </c>
      <c r="AB183">
        <v>40</v>
      </c>
      <c r="AC183" s="18">
        <v>2</v>
      </c>
      <c r="AD183">
        <v>1</v>
      </c>
      <c r="AE183">
        <v>240</v>
      </c>
      <c r="AF183" s="11">
        <v>0.17083333333333334</v>
      </c>
    </row>
    <row r="184" spans="1:32" x14ac:dyDescent="0.3">
      <c r="A184" t="s">
        <v>60</v>
      </c>
      <c r="B184" t="s">
        <v>49</v>
      </c>
      <c r="C184">
        <v>-2.67</v>
      </c>
      <c r="D184">
        <v>365.41</v>
      </c>
      <c r="E184">
        <v>2.2000000000000002</v>
      </c>
      <c r="F184">
        <v>2.6</v>
      </c>
      <c r="G184">
        <v>0.9</v>
      </c>
      <c r="H184">
        <v>1.7</v>
      </c>
      <c r="I184">
        <v>2.5385</v>
      </c>
      <c r="J184">
        <v>158</v>
      </c>
      <c r="K184" t="s">
        <v>55</v>
      </c>
      <c r="L184" t="s">
        <v>51</v>
      </c>
      <c r="M184">
        <v>2</v>
      </c>
      <c r="N184">
        <v>25.196000000000002</v>
      </c>
      <c r="O184">
        <v>0</v>
      </c>
      <c r="P184">
        <v>1.41</v>
      </c>
      <c r="Q184" t="s">
        <v>52</v>
      </c>
      <c r="R184" t="s">
        <v>164</v>
      </c>
      <c r="S184" t="s">
        <v>164</v>
      </c>
      <c r="T184" t="s">
        <v>164</v>
      </c>
      <c r="U184" t="s">
        <v>164</v>
      </c>
      <c r="V184" s="7">
        <v>0.77085828615306529</v>
      </c>
      <c r="W184" t="s">
        <v>164</v>
      </c>
      <c r="X184" t="s">
        <v>164</v>
      </c>
      <c r="Y184" t="s">
        <v>164</v>
      </c>
      <c r="Z184" t="s">
        <v>164</v>
      </c>
      <c r="AA184">
        <v>6</v>
      </c>
      <c r="AB184">
        <v>50</v>
      </c>
      <c r="AC184" s="18">
        <v>2</v>
      </c>
      <c r="AD184">
        <v>1</v>
      </c>
      <c r="AE184">
        <v>240</v>
      </c>
      <c r="AF184" s="11">
        <v>0.20833333333333334</v>
      </c>
    </row>
    <row r="185" spans="1:32" x14ac:dyDescent="0.3">
      <c r="A185" t="s">
        <v>60</v>
      </c>
      <c r="B185" t="s">
        <v>49</v>
      </c>
      <c r="C185">
        <v>-2.67</v>
      </c>
      <c r="D185">
        <v>365.41</v>
      </c>
      <c r="E185">
        <v>2.2000000000000002</v>
      </c>
      <c r="F185">
        <v>2.6</v>
      </c>
      <c r="G185">
        <v>0.9</v>
      </c>
      <c r="H185">
        <v>1.7</v>
      </c>
      <c r="I185">
        <v>2.5385</v>
      </c>
      <c r="J185">
        <v>158</v>
      </c>
      <c r="K185" t="s">
        <v>55</v>
      </c>
      <c r="L185" t="s">
        <v>51</v>
      </c>
      <c r="M185">
        <v>2</v>
      </c>
      <c r="N185">
        <v>25.196000000000002</v>
      </c>
      <c r="O185">
        <v>0</v>
      </c>
      <c r="P185">
        <v>1.41</v>
      </c>
      <c r="Q185" t="s">
        <v>52</v>
      </c>
      <c r="R185" t="s">
        <v>164</v>
      </c>
      <c r="S185" t="s">
        <v>164</v>
      </c>
      <c r="T185" t="s">
        <v>164</v>
      </c>
      <c r="U185" t="s">
        <v>164</v>
      </c>
      <c r="V185" s="7">
        <v>0.77085828615306529</v>
      </c>
      <c r="W185" t="s">
        <v>164</v>
      </c>
      <c r="X185" t="s">
        <v>164</v>
      </c>
      <c r="Y185" t="s">
        <v>164</v>
      </c>
      <c r="Z185" t="s">
        <v>164</v>
      </c>
      <c r="AA185">
        <v>6</v>
      </c>
      <c r="AB185">
        <v>25</v>
      </c>
      <c r="AC185" s="19">
        <f>5/60</f>
        <v>8.3333333333333329E-2</v>
      </c>
      <c r="AD185">
        <v>1</v>
      </c>
      <c r="AE185">
        <v>50</v>
      </c>
      <c r="AF185" s="11">
        <v>0.26</v>
      </c>
    </row>
    <row r="186" spans="1:32" x14ac:dyDescent="0.3">
      <c r="A186" t="s">
        <v>60</v>
      </c>
      <c r="B186" t="s">
        <v>49</v>
      </c>
      <c r="C186">
        <v>-2.67</v>
      </c>
      <c r="D186">
        <v>365.41</v>
      </c>
      <c r="E186">
        <v>2.2000000000000002</v>
      </c>
      <c r="F186">
        <v>2.6</v>
      </c>
      <c r="G186">
        <v>0.9</v>
      </c>
      <c r="H186">
        <v>1.7</v>
      </c>
      <c r="I186">
        <v>2.5385</v>
      </c>
      <c r="J186">
        <v>158</v>
      </c>
      <c r="K186" t="s">
        <v>55</v>
      </c>
      <c r="L186" t="s">
        <v>51</v>
      </c>
      <c r="M186">
        <v>2</v>
      </c>
      <c r="N186">
        <v>25.196000000000002</v>
      </c>
      <c r="O186">
        <v>0</v>
      </c>
      <c r="P186">
        <v>1.41</v>
      </c>
      <c r="Q186" t="s">
        <v>52</v>
      </c>
      <c r="R186" t="s">
        <v>164</v>
      </c>
      <c r="S186" t="s">
        <v>164</v>
      </c>
      <c r="T186" t="s">
        <v>164</v>
      </c>
      <c r="U186" t="s">
        <v>164</v>
      </c>
      <c r="V186" s="7">
        <v>0.77085828615306529</v>
      </c>
      <c r="W186" t="s">
        <v>164</v>
      </c>
      <c r="X186" t="s">
        <v>164</v>
      </c>
      <c r="Y186" t="s">
        <v>164</v>
      </c>
      <c r="Z186" t="s">
        <v>164</v>
      </c>
      <c r="AA186">
        <v>6</v>
      </c>
      <c r="AB186">
        <v>25</v>
      </c>
      <c r="AC186" s="19">
        <f>10/60</f>
        <v>0.16666666666666666</v>
      </c>
      <c r="AD186">
        <v>1</v>
      </c>
      <c r="AE186">
        <v>50</v>
      </c>
      <c r="AF186" s="11">
        <v>0.28000000000000003</v>
      </c>
    </row>
    <row r="187" spans="1:32" x14ac:dyDescent="0.3">
      <c r="A187" t="s">
        <v>60</v>
      </c>
      <c r="B187" t="s">
        <v>49</v>
      </c>
      <c r="C187">
        <v>-2.67</v>
      </c>
      <c r="D187">
        <v>365.41</v>
      </c>
      <c r="E187">
        <v>2.2000000000000002</v>
      </c>
      <c r="F187">
        <v>2.6</v>
      </c>
      <c r="G187">
        <v>0.9</v>
      </c>
      <c r="H187">
        <v>1.7</v>
      </c>
      <c r="I187">
        <v>2.5385</v>
      </c>
      <c r="J187">
        <v>158</v>
      </c>
      <c r="K187" t="s">
        <v>55</v>
      </c>
      <c r="L187" t="s">
        <v>51</v>
      </c>
      <c r="M187">
        <v>2</v>
      </c>
      <c r="N187">
        <v>25.196000000000002</v>
      </c>
      <c r="O187">
        <v>0</v>
      </c>
      <c r="P187">
        <v>1.41</v>
      </c>
      <c r="Q187" t="s">
        <v>52</v>
      </c>
      <c r="R187" t="s">
        <v>164</v>
      </c>
      <c r="S187" t="s">
        <v>164</v>
      </c>
      <c r="T187" t="s">
        <v>164</v>
      </c>
      <c r="U187" t="s">
        <v>164</v>
      </c>
      <c r="V187" s="7">
        <v>0.77085828615306529</v>
      </c>
      <c r="W187" t="s">
        <v>164</v>
      </c>
      <c r="X187" t="s">
        <v>164</v>
      </c>
      <c r="Y187" t="s">
        <v>164</v>
      </c>
      <c r="Z187" t="s">
        <v>164</v>
      </c>
      <c r="AA187">
        <v>6</v>
      </c>
      <c r="AB187">
        <v>25</v>
      </c>
      <c r="AC187" s="19">
        <f>20/60</f>
        <v>0.33333333333333331</v>
      </c>
      <c r="AD187">
        <v>1</v>
      </c>
      <c r="AE187">
        <v>50</v>
      </c>
      <c r="AF187" s="11">
        <v>0.31</v>
      </c>
    </row>
    <row r="188" spans="1:32" x14ac:dyDescent="0.3">
      <c r="A188" t="s">
        <v>60</v>
      </c>
      <c r="B188" t="s">
        <v>49</v>
      </c>
      <c r="C188">
        <v>-2.67</v>
      </c>
      <c r="D188">
        <v>365.41</v>
      </c>
      <c r="E188">
        <v>2.2000000000000002</v>
      </c>
      <c r="F188">
        <v>2.6</v>
      </c>
      <c r="G188">
        <v>0.9</v>
      </c>
      <c r="H188">
        <v>1.7</v>
      </c>
      <c r="I188">
        <v>2.5385</v>
      </c>
      <c r="J188">
        <v>158</v>
      </c>
      <c r="K188" t="s">
        <v>55</v>
      </c>
      <c r="L188" t="s">
        <v>51</v>
      </c>
      <c r="M188">
        <v>2</v>
      </c>
      <c r="N188">
        <v>25.196000000000002</v>
      </c>
      <c r="O188">
        <v>0</v>
      </c>
      <c r="P188">
        <v>1.41</v>
      </c>
      <c r="Q188" t="s">
        <v>52</v>
      </c>
      <c r="R188" t="s">
        <v>164</v>
      </c>
      <c r="S188" t="s">
        <v>164</v>
      </c>
      <c r="T188" t="s">
        <v>164</v>
      </c>
      <c r="U188" t="s">
        <v>164</v>
      </c>
      <c r="V188" s="7">
        <v>0.77085828615306529</v>
      </c>
      <c r="W188" t="s">
        <v>164</v>
      </c>
      <c r="X188" t="s">
        <v>164</v>
      </c>
      <c r="Y188" t="s">
        <v>164</v>
      </c>
      <c r="Z188" t="s">
        <v>164</v>
      </c>
      <c r="AA188">
        <v>6</v>
      </c>
      <c r="AB188">
        <v>25</v>
      </c>
      <c r="AC188" s="19">
        <f>25/60</f>
        <v>0.41666666666666669</v>
      </c>
      <c r="AD188">
        <v>1</v>
      </c>
      <c r="AE188">
        <v>50</v>
      </c>
      <c r="AF188" s="11">
        <v>0.32</v>
      </c>
    </row>
    <row r="189" spans="1:32" x14ac:dyDescent="0.3">
      <c r="A189" t="s">
        <v>60</v>
      </c>
      <c r="B189" t="s">
        <v>49</v>
      </c>
      <c r="C189">
        <v>-2.67</v>
      </c>
      <c r="D189">
        <v>365.41</v>
      </c>
      <c r="E189">
        <v>2.2000000000000002</v>
      </c>
      <c r="F189">
        <v>2.6</v>
      </c>
      <c r="G189">
        <v>0.9</v>
      </c>
      <c r="H189">
        <v>1.7</v>
      </c>
      <c r="I189">
        <v>2.5385</v>
      </c>
      <c r="J189">
        <v>158</v>
      </c>
      <c r="K189" t="s">
        <v>55</v>
      </c>
      <c r="L189" t="s">
        <v>51</v>
      </c>
      <c r="M189">
        <v>2</v>
      </c>
      <c r="N189">
        <v>25.196000000000002</v>
      </c>
      <c r="O189">
        <v>0</v>
      </c>
      <c r="P189">
        <v>1.41</v>
      </c>
      <c r="Q189" t="s">
        <v>52</v>
      </c>
      <c r="R189" t="s">
        <v>164</v>
      </c>
      <c r="S189" t="s">
        <v>164</v>
      </c>
      <c r="T189" t="s">
        <v>164</v>
      </c>
      <c r="U189" t="s">
        <v>164</v>
      </c>
      <c r="V189" s="7">
        <v>0.77085828615306529</v>
      </c>
      <c r="W189" t="s">
        <v>164</v>
      </c>
      <c r="X189" t="s">
        <v>164</v>
      </c>
      <c r="Y189" t="s">
        <v>164</v>
      </c>
      <c r="Z189" t="s">
        <v>164</v>
      </c>
      <c r="AA189">
        <v>6</v>
      </c>
      <c r="AB189">
        <v>25</v>
      </c>
      <c r="AC189" s="19">
        <f>50/60</f>
        <v>0.83333333333333337</v>
      </c>
      <c r="AD189">
        <v>1</v>
      </c>
      <c r="AE189">
        <v>50</v>
      </c>
      <c r="AF189" s="11">
        <v>0.3</v>
      </c>
    </row>
    <row r="190" spans="1:32" x14ac:dyDescent="0.3">
      <c r="A190" t="s">
        <v>60</v>
      </c>
      <c r="B190" t="s">
        <v>49</v>
      </c>
      <c r="C190">
        <v>-2.67</v>
      </c>
      <c r="D190">
        <v>365.41</v>
      </c>
      <c r="E190">
        <v>2.2000000000000002</v>
      </c>
      <c r="F190">
        <v>2.6</v>
      </c>
      <c r="G190">
        <v>0.9</v>
      </c>
      <c r="H190">
        <v>1.7</v>
      </c>
      <c r="I190">
        <v>2.5385</v>
      </c>
      <c r="J190">
        <v>158</v>
      </c>
      <c r="K190" t="s">
        <v>55</v>
      </c>
      <c r="L190" t="s">
        <v>51</v>
      </c>
      <c r="M190">
        <v>2</v>
      </c>
      <c r="N190">
        <v>25.196000000000002</v>
      </c>
      <c r="O190">
        <v>0</v>
      </c>
      <c r="P190">
        <v>1.41</v>
      </c>
      <c r="Q190" t="s">
        <v>52</v>
      </c>
      <c r="R190" t="s">
        <v>164</v>
      </c>
      <c r="S190" t="s">
        <v>164</v>
      </c>
      <c r="T190" t="s">
        <v>164</v>
      </c>
      <c r="U190" t="s">
        <v>164</v>
      </c>
      <c r="V190" s="7">
        <v>0.77085828615306529</v>
      </c>
      <c r="W190" t="s">
        <v>164</v>
      </c>
      <c r="X190" t="s">
        <v>164</v>
      </c>
      <c r="Y190" t="s">
        <v>164</v>
      </c>
      <c r="Z190" t="s">
        <v>164</v>
      </c>
      <c r="AA190">
        <v>6</v>
      </c>
      <c r="AB190">
        <v>25</v>
      </c>
      <c r="AC190" s="18">
        <v>1</v>
      </c>
      <c r="AD190">
        <v>1</v>
      </c>
      <c r="AE190">
        <v>50</v>
      </c>
      <c r="AF190" s="11">
        <v>0.29400000000000004</v>
      </c>
    </row>
    <row r="191" spans="1:32" x14ac:dyDescent="0.3">
      <c r="A191" t="s">
        <v>60</v>
      </c>
      <c r="B191" t="s">
        <v>49</v>
      </c>
      <c r="C191">
        <v>-2.67</v>
      </c>
      <c r="D191">
        <v>365.41</v>
      </c>
      <c r="E191">
        <v>2.2000000000000002</v>
      </c>
      <c r="F191">
        <v>2.6</v>
      </c>
      <c r="G191">
        <v>0.9</v>
      </c>
      <c r="H191">
        <v>1.7</v>
      </c>
      <c r="I191">
        <v>2.5385</v>
      </c>
      <c r="J191">
        <v>158</v>
      </c>
      <c r="K191" t="s">
        <v>55</v>
      </c>
      <c r="L191" t="s">
        <v>51</v>
      </c>
      <c r="M191">
        <v>2</v>
      </c>
      <c r="N191">
        <v>25.196000000000002</v>
      </c>
      <c r="O191">
        <v>0</v>
      </c>
      <c r="P191">
        <v>1.41</v>
      </c>
      <c r="Q191" t="s">
        <v>52</v>
      </c>
      <c r="R191" t="s">
        <v>164</v>
      </c>
      <c r="S191" t="s">
        <v>164</v>
      </c>
      <c r="T191" t="s">
        <v>164</v>
      </c>
      <c r="U191" t="s">
        <v>164</v>
      </c>
      <c r="V191" s="7">
        <v>0.77085828615306529</v>
      </c>
      <c r="W191" t="s">
        <v>164</v>
      </c>
      <c r="X191" t="s">
        <v>164</v>
      </c>
      <c r="Y191" t="s">
        <v>164</v>
      </c>
      <c r="Z191" t="s">
        <v>164</v>
      </c>
      <c r="AA191">
        <v>6</v>
      </c>
      <c r="AB191">
        <v>25</v>
      </c>
      <c r="AC191" s="19">
        <f>100/60</f>
        <v>1.6666666666666667</v>
      </c>
      <c r="AD191">
        <v>1</v>
      </c>
      <c r="AE191">
        <v>50</v>
      </c>
      <c r="AF191" s="11">
        <v>0.32</v>
      </c>
    </row>
    <row r="192" spans="1:32" x14ac:dyDescent="0.3">
      <c r="A192" t="s">
        <v>60</v>
      </c>
      <c r="B192" t="s">
        <v>49</v>
      </c>
      <c r="C192">
        <v>-2.67</v>
      </c>
      <c r="D192">
        <v>365.41</v>
      </c>
      <c r="E192">
        <v>2.2000000000000002</v>
      </c>
      <c r="F192">
        <v>2.6</v>
      </c>
      <c r="G192">
        <v>0.9</v>
      </c>
      <c r="H192">
        <v>1.7</v>
      </c>
      <c r="I192">
        <v>2.5385</v>
      </c>
      <c r="J192">
        <v>158</v>
      </c>
      <c r="K192" t="s">
        <v>55</v>
      </c>
      <c r="L192" t="s">
        <v>51</v>
      </c>
      <c r="M192">
        <v>2</v>
      </c>
      <c r="N192">
        <v>25.196000000000002</v>
      </c>
      <c r="O192">
        <v>0</v>
      </c>
      <c r="P192">
        <v>1.41</v>
      </c>
      <c r="Q192" t="s">
        <v>52</v>
      </c>
      <c r="R192" t="s">
        <v>164</v>
      </c>
      <c r="S192" t="s">
        <v>164</v>
      </c>
      <c r="T192" t="s">
        <v>164</v>
      </c>
      <c r="U192" t="s">
        <v>164</v>
      </c>
      <c r="V192" s="7">
        <v>0.77085828615306529</v>
      </c>
      <c r="W192" t="s">
        <v>164</v>
      </c>
      <c r="X192" t="s">
        <v>164</v>
      </c>
      <c r="Y192" t="s">
        <v>164</v>
      </c>
      <c r="Z192" t="s">
        <v>164</v>
      </c>
      <c r="AA192">
        <v>6</v>
      </c>
      <c r="AB192">
        <v>25</v>
      </c>
      <c r="AC192" s="18">
        <f>120/60</f>
        <v>2</v>
      </c>
      <c r="AD192">
        <v>1</v>
      </c>
      <c r="AE192">
        <v>50</v>
      </c>
      <c r="AF192" s="11">
        <v>0.3</v>
      </c>
    </row>
    <row r="193" spans="1:32" x14ac:dyDescent="0.3">
      <c r="A193" t="s">
        <v>60</v>
      </c>
      <c r="B193" t="s">
        <v>49</v>
      </c>
      <c r="C193">
        <v>-2.67</v>
      </c>
      <c r="D193">
        <v>365.41</v>
      </c>
      <c r="E193">
        <v>2.2000000000000002</v>
      </c>
      <c r="F193">
        <v>2.6</v>
      </c>
      <c r="G193">
        <v>0.9</v>
      </c>
      <c r="H193">
        <v>1.7</v>
      </c>
      <c r="I193">
        <v>2.5385</v>
      </c>
      <c r="J193">
        <v>158</v>
      </c>
      <c r="K193" t="s">
        <v>55</v>
      </c>
      <c r="L193" t="s">
        <v>51</v>
      </c>
      <c r="M193">
        <v>2</v>
      </c>
      <c r="N193">
        <v>25.196000000000002</v>
      </c>
      <c r="O193">
        <v>0</v>
      </c>
      <c r="P193">
        <v>1.41</v>
      </c>
      <c r="Q193" t="s">
        <v>52</v>
      </c>
      <c r="R193" t="s">
        <v>164</v>
      </c>
      <c r="S193" t="s">
        <v>164</v>
      </c>
      <c r="T193" t="s">
        <v>164</v>
      </c>
      <c r="U193" t="s">
        <v>164</v>
      </c>
      <c r="V193" s="7">
        <v>0.77085828615306529</v>
      </c>
      <c r="W193" t="s">
        <v>164</v>
      </c>
      <c r="X193" t="s">
        <v>164</v>
      </c>
      <c r="Y193" t="s">
        <v>164</v>
      </c>
      <c r="Z193" t="s">
        <v>164</v>
      </c>
      <c r="AA193">
        <v>6</v>
      </c>
      <c r="AB193">
        <v>25</v>
      </c>
      <c r="AC193" s="18">
        <f>180/60</f>
        <v>3</v>
      </c>
      <c r="AD193">
        <v>1</v>
      </c>
      <c r="AE193">
        <v>50</v>
      </c>
      <c r="AF193" s="11">
        <v>0.3</v>
      </c>
    </row>
    <row r="194" spans="1:32" x14ac:dyDescent="0.3">
      <c r="A194" t="s">
        <v>60</v>
      </c>
      <c r="B194" t="s">
        <v>49</v>
      </c>
      <c r="C194">
        <v>-2.67</v>
      </c>
      <c r="D194">
        <v>365.41</v>
      </c>
      <c r="E194">
        <v>2.2000000000000002</v>
      </c>
      <c r="F194">
        <v>2.6</v>
      </c>
      <c r="G194">
        <v>0.9</v>
      </c>
      <c r="H194">
        <v>1.7</v>
      </c>
      <c r="I194">
        <v>2.5385</v>
      </c>
      <c r="J194">
        <v>158</v>
      </c>
      <c r="K194" t="s">
        <v>55</v>
      </c>
      <c r="L194" t="s">
        <v>51</v>
      </c>
      <c r="M194">
        <v>2</v>
      </c>
      <c r="N194">
        <v>25.196000000000002</v>
      </c>
      <c r="O194">
        <v>0</v>
      </c>
      <c r="P194">
        <v>1.41</v>
      </c>
      <c r="Q194" t="s">
        <v>52</v>
      </c>
      <c r="R194" t="s">
        <v>164</v>
      </c>
      <c r="S194" t="s">
        <v>164</v>
      </c>
      <c r="T194" t="s">
        <v>164</v>
      </c>
      <c r="U194" t="s">
        <v>164</v>
      </c>
      <c r="V194" s="7">
        <v>0.77085828615306529</v>
      </c>
      <c r="W194" t="s">
        <v>164</v>
      </c>
      <c r="X194" t="s">
        <v>164</v>
      </c>
      <c r="Y194" t="s">
        <v>164</v>
      </c>
      <c r="Z194" t="s">
        <v>164</v>
      </c>
      <c r="AA194">
        <v>6</v>
      </c>
      <c r="AB194">
        <v>25</v>
      </c>
      <c r="AC194" s="19">
        <f>5/60</f>
        <v>8.3333333333333329E-2</v>
      </c>
      <c r="AD194">
        <v>1</v>
      </c>
      <c r="AE194">
        <v>100</v>
      </c>
      <c r="AF194" s="11">
        <v>0.27500000000000002</v>
      </c>
    </row>
    <row r="195" spans="1:32" x14ac:dyDescent="0.3">
      <c r="A195" t="s">
        <v>60</v>
      </c>
      <c r="B195" t="s">
        <v>49</v>
      </c>
      <c r="C195">
        <v>-2.67</v>
      </c>
      <c r="D195">
        <v>365.41</v>
      </c>
      <c r="E195">
        <v>2.2000000000000002</v>
      </c>
      <c r="F195">
        <v>2.6</v>
      </c>
      <c r="G195">
        <v>0.9</v>
      </c>
      <c r="H195">
        <v>1.7</v>
      </c>
      <c r="I195">
        <v>2.5385</v>
      </c>
      <c r="J195">
        <v>158</v>
      </c>
      <c r="K195" t="s">
        <v>55</v>
      </c>
      <c r="L195" t="s">
        <v>51</v>
      </c>
      <c r="M195">
        <v>2</v>
      </c>
      <c r="N195">
        <v>25.196000000000002</v>
      </c>
      <c r="O195">
        <v>0</v>
      </c>
      <c r="P195">
        <v>1.41</v>
      </c>
      <c r="Q195" t="s">
        <v>52</v>
      </c>
      <c r="R195" t="s">
        <v>164</v>
      </c>
      <c r="S195" t="s">
        <v>164</v>
      </c>
      <c r="T195" t="s">
        <v>164</v>
      </c>
      <c r="U195" t="s">
        <v>164</v>
      </c>
      <c r="V195" s="7">
        <v>0.77085828615306529</v>
      </c>
      <c r="W195" t="s">
        <v>164</v>
      </c>
      <c r="X195" t="s">
        <v>164</v>
      </c>
      <c r="Y195" t="s">
        <v>164</v>
      </c>
      <c r="Z195" t="s">
        <v>164</v>
      </c>
      <c r="AA195">
        <v>6</v>
      </c>
      <c r="AB195">
        <v>25</v>
      </c>
      <c r="AC195" s="19">
        <f>10/60</f>
        <v>0.16666666666666666</v>
      </c>
      <c r="AD195">
        <v>1</v>
      </c>
      <c r="AE195">
        <v>100</v>
      </c>
      <c r="AF195" s="11">
        <v>0.34</v>
      </c>
    </row>
    <row r="196" spans="1:32" x14ac:dyDescent="0.3">
      <c r="A196" t="s">
        <v>60</v>
      </c>
      <c r="B196" t="s">
        <v>49</v>
      </c>
      <c r="C196">
        <v>-2.67</v>
      </c>
      <c r="D196">
        <v>365.41</v>
      </c>
      <c r="E196">
        <v>2.2000000000000002</v>
      </c>
      <c r="F196">
        <v>2.6</v>
      </c>
      <c r="G196">
        <v>0.9</v>
      </c>
      <c r="H196">
        <v>1.7</v>
      </c>
      <c r="I196">
        <v>2.5385</v>
      </c>
      <c r="J196">
        <v>158</v>
      </c>
      <c r="K196" t="s">
        <v>55</v>
      </c>
      <c r="L196" t="s">
        <v>51</v>
      </c>
      <c r="M196">
        <v>2</v>
      </c>
      <c r="N196">
        <v>25.196000000000002</v>
      </c>
      <c r="O196">
        <v>0</v>
      </c>
      <c r="P196">
        <v>1.41</v>
      </c>
      <c r="Q196" t="s">
        <v>52</v>
      </c>
      <c r="R196" t="s">
        <v>164</v>
      </c>
      <c r="S196" t="s">
        <v>164</v>
      </c>
      <c r="T196" t="s">
        <v>164</v>
      </c>
      <c r="U196" t="s">
        <v>164</v>
      </c>
      <c r="V196" s="7">
        <v>0.77085828615306529</v>
      </c>
      <c r="W196" t="s">
        <v>164</v>
      </c>
      <c r="X196" t="s">
        <v>164</v>
      </c>
      <c r="Y196" t="s">
        <v>164</v>
      </c>
      <c r="Z196" t="s">
        <v>164</v>
      </c>
      <c r="AA196">
        <v>6</v>
      </c>
      <c r="AB196">
        <v>25</v>
      </c>
      <c r="AC196" s="19">
        <f>20/60</f>
        <v>0.33333333333333331</v>
      </c>
      <c r="AD196">
        <v>1</v>
      </c>
      <c r="AE196">
        <v>100</v>
      </c>
      <c r="AF196" s="11">
        <v>0.375</v>
      </c>
    </row>
    <row r="197" spans="1:32" x14ac:dyDescent="0.3">
      <c r="A197" t="s">
        <v>60</v>
      </c>
      <c r="B197" t="s">
        <v>49</v>
      </c>
      <c r="C197">
        <v>-2.67</v>
      </c>
      <c r="D197">
        <v>365.41</v>
      </c>
      <c r="E197">
        <v>2.2000000000000002</v>
      </c>
      <c r="F197">
        <v>2.6</v>
      </c>
      <c r="G197">
        <v>0.9</v>
      </c>
      <c r="H197">
        <v>1.7</v>
      </c>
      <c r="I197">
        <v>2.5385</v>
      </c>
      <c r="J197">
        <v>158</v>
      </c>
      <c r="K197" t="s">
        <v>55</v>
      </c>
      <c r="L197" t="s">
        <v>51</v>
      </c>
      <c r="M197">
        <v>2</v>
      </c>
      <c r="N197">
        <v>25.196000000000002</v>
      </c>
      <c r="O197">
        <v>0</v>
      </c>
      <c r="P197">
        <v>1.41</v>
      </c>
      <c r="Q197" t="s">
        <v>52</v>
      </c>
      <c r="R197" t="s">
        <v>164</v>
      </c>
      <c r="S197" t="s">
        <v>164</v>
      </c>
      <c r="T197" t="s">
        <v>164</v>
      </c>
      <c r="U197" t="s">
        <v>164</v>
      </c>
      <c r="V197" s="7">
        <v>0.77085828615306529</v>
      </c>
      <c r="W197" t="s">
        <v>164</v>
      </c>
      <c r="X197" t="s">
        <v>164</v>
      </c>
      <c r="Y197" t="s">
        <v>164</v>
      </c>
      <c r="Z197" t="s">
        <v>164</v>
      </c>
      <c r="AA197">
        <v>6</v>
      </c>
      <c r="AB197">
        <v>25</v>
      </c>
      <c r="AC197" s="19">
        <f>25/60</f>
        <v>0.41666666666666669</v>
      </c>
      <c r="AD197">
        <v>1</v>
      </c>
      <c r="AE197">
        <v>100</v>
      </c>
      <c r="AF197" s="11">
        <v>0.375</v>
      </c>
    </row>
    <row r="198" spans="1:32" x14ac:dyDescent="0.3">
      <c r="A198" t="s">
        <v>60</v>
      </c>
      <c r="B198" t="s">
        <v>49</v>
      </c>
      <c r="C198">
        <v>-2.67</v>
      </c>
      <c r="D198">
        <v>365.41</v>
      </c>
      <c r="E198">
        <v>2.2000000000000002</v>
      </c>
      <c r="F198">
        <v>2.6</v>
      </c>
      <c r="G198">
        <v>0.9</v>
      </c>
      <c r="H198">
        <v>1.7</v>
      </c>
      <c r="I198">
        <v>2.5385</v>
      </c>
      <c r="J198">
        <v>158</v>
      </c>
      <c r="K198" t="s">
        <v>55</v>
      </c>
      <c r="L198" t="s">
        <v>51</v>
      </c>
      <c r="M198">
        <v>2</v>
      </c>
      <c r="N198">
        <v>25.196000000000002</v>
      </c>
      <c r="O198">
        <v>0</v>
      </c>
      <c r="P198">
        <v>1.41</v>
      </c>
      <c r="Q198" t="s">
        <v>52</v>
      </c>
      <c r="R198" t="s">
        <v>164</v>
      </c>
      <c r="S198" t="s">
        <v>164</v>
      </c>
      <c r="T198" t="s">
        <v>164</v>
      </c>
      <c r="U198" t="s">
        <v>164</v>
      </c>
      <c r="V198" s="7">
        <v>0.77085828615306529</v>
      </c>
      <c r="W198" t="s">
        <v>164</v>
      </c>
      <c r="X198" t="s">
        <v>164</v>
      </c>
      <c r="Y198" t="s">
        <v>164</v>
      </c>
      <c r="Z198" t="s">
        <v>164</v>
      </c>
      <c r="AA198">
        <v>6</v>
      </c>
      <c r="AB198">
        <v>25</v>
      </c>
      <c r="AC198" s="19">
        <f>50/60</f>
        <v>0.83333333333333337</v>
      </c>
      <c r="AD198">
        <v>1</v>
      </c>
      <c r="AE198">
        <v>100</v>
      </c>
      <c r="AF198" s="11">
        <v>0.375</v>
      </c>
    </row>
    <row r="199" spans="1:32" x14ac:dyDescent="0.3">
      <c r="A199" t="s">
        <v>60</v>
      </c>
      <c r="B199" t="s">
        <v>49</v>
      </c>
      <c r="C199">
        <v>-2.67</v>
      </c>
      <c r="D199">
        <v>365.41</v>
      </c>
      <c r="E199">
        <v>2.2000000000000002</v>
      </c>
      <c r="F199">
        <v>2.6</v>
      </c>
      <c r="G199">
        <v>0.9</v>
      </c>
      <c r="H199">
        <v>1.7</v>
      </c>
      <c r="I199">
        <v>2.5385</v>
      </c>
      <c r="J199">
        <v>158</v>
      </c>
      <c r="K199" t="s">
        <v>55</v>
      </c>
      <c r="L199" t="s">
        <v>51</v>
      </c>
      <c r="M199">
        <v>2</v>
      </c>
      <c r="N199">
        <v>25.196000000000002</v>
      </c>
      <c r="O199">
        <v>0</v>
      </c>
      <c r="P199">
        <v>1.41</v>
      </c>
      <c r="Q199" t="s">
        <v>52</v>
      </c>
      <c r="R199" t="s">
        <v>164</v>
      </c>
      <c r="S199" t="s">
        <v>164</v>
      </c>
      <c r="T199" t="s">
        <v>164</v>
      </c>
      <c r="U199" t="s">
        <v>164</v>
      </c>
      <c r="V199" s="7">
        <v>0.77085828615306529</v>
      </c>
      <c r="W199" t="s">
        <v>164</v>
      </c>
      <c r="X199" t="s">
        <v>164</v>
      </c>
      <c r="Y199" t="s">
        <v>164</v>
      </c>
      <c r="Z199" t="s">
        <v>164</v>
      </c>
      <c r="AA199">
        <v>6</v>
      </c>
      <c r="AB199">
        <v>25</v>
      </c>
      <c r="AC199" s="18">
        <v>1</v>
      </c>
      <c r="AD199">
        <v>1</v>
      </c>
      <c r="AE199">
        <v>100</v>
      </c>
      <c r="AF199" s="11">
        <v>0.35</v>
      </c>
    </row>
    <row r="200" spans="1:32" x14ac:dyDescent="0.3">
      <c r="A200" t="s">
        <v>60</v>
      </c>
      <c r="B200" t="s">
        <v>49</v>
      </c>
      <c r="C200">
        <v>-2.67</v>
      </c>
      <c r="D200">
        <v>365.41</v>
      </c>
      <c r="E200">
        <v>2.2000000000000002</v>
      </c>
      <c r="F200">
        <v>2.6</v>
      </c>
      <c r="G200">
        <v>0.9</v>
      </c>
      <c r="H200">
        <v>1.7</v>
      </c>
      <c r="I200">
        <v>2.5385</v>
      </c>
      <c r="J200">
        <v>158</v>
      </c>
      <c r="K200" t="s">
        <v>55</v>
      </c>
      <c r="L200" t="s">
        <v>51</v>
      </c>
      <c r="M200">
        <v>2</v>
      </c>
      <c r="N200">
        <v>25.196000000000002</v>
      </c>
      <c r="O200">
        <v>0</v>
      </c>
      <c r="P200">
        <v>1.41</v>
      </c>
      <c r="Q200" t="s">
        <v>52</v>
      </c>
      <c r="R200" t="s">
        <v>164</v>
      </c>
      <c r="S200" t="s">
        <v>164</v>
      </c>
      <c r="T200" t="s">
        <v>164</v>
      </c>
      <c r="U200" t="s">
        <v>164</v>
      </c>
      <c r="V200" s="7">
        <v>0.77085828615306529</v>
      </c>
      <c r="W200" t="s">
        <v>164</v>
      </c>
      <c r="X200" t="s">
        <v>164</v>
      </c>
      <c r="Y200" t="s">
        <v>164</v>
      </c>
      <c r="Z200" t="s">
        <v>164</v>
      </c>
      <c r="AA200">
        <v>6</v>
      </c>
      <c r="AB200">
        <v>25</v>
      </c>
      <c r="AC200" s="19">
        <f>100/60</f>
        <v>1.6666666666666667</v>
      </c>
      <c r="AD200">
        <v>1</v>
      </c>
      <c r="AE200">
        <v>100</v>
      </c>
      <c r="AF200" s="11">
        <v>0.375</v>
      </c>
    </row>
    <row r="201" spans="1:32" x14ac:dyDescent="0.3">
      <c r="A201" t="s">
        <v>60</v>
      </c>
      <c r="B201" t="s">
        <v>49</v>
      </c>
      <c r="C201">
        <v>-2.67</v>
      </c>
      <c r="D201">
        <v>365.41</v>
      </c>
      <c r="E201">
        <v>2.2000000000000002</v>
      </c>
      <c r="F201">
        <v>2.6</v>
      </c>
      <c r="G201">
        <v>0.9</v>
      </c>
      <c r="H201">
        <v>1.7</v>
      </c>
      <c r="I201">
        <v>2.5385</v>
      </c>
      <c r="J201">
        <v>158</v>
      </c>
      <c r="K201" t="s">
        <v>55</v>
      </c>
      <c r="L201" t="s">
        <v>51</v>
      </c>
      <c r="M201">
        <v>2</v>
      </c>
      <c r="N201">
        <v>25.196000000000002</v>
      </c>
      <c r="O201">
        <v>0</v>
      </c>
      <c r="P201">
        <v>1.41</v>
      </c>
      <c r="Q201" t="s">
        <v>52</v>
      </c>
      <c r="R201" t="s">
        <v>164</v>
      </c>
      <c r="S201" t="s">
        <v>164</v>
      </c>
      <c r="T201" t="s">
        <v>164</v>
      </c>
      <c r="U201" t="s">
        <v>164</v>
      </c>
      <c r="V201" s="7">
        <v>0.77085828615306529</v>
      </c>
      <c r="W201" t="s">
        <v>164</v>
      </c>
      <c r="X201" t="s">
        <v>164</v>
      </c>
      <c r="Y201" t="s">
        <v>164</v>
      </c>
      <c r="Z201" t="s">
        <v>164</v>
      </c>
      <c r="AA201">
        <v>6</v>
      </c>
      <c r="AB201">
        <v>25</v>
      </c>
      <c r="AC201" s="18">
        <f>120/60</f>
        <v>2</v>
      </c>
      <c r="AD201">
        <v>1</v>
      </c>
      <c r="AE201">
        <v>100</v>
      </c>
      <c r="AF201" s="11">
        <v>0.35</v>
      </c>
    </row>
    <row r="202" spans="1:32" x14ac:dyDescent="0.3">
      <c r="A202" t="s">
        <v>60</v>
      </c>
      <c r="B202" t="s">
        <v>49</v>
      </c>
      <c r="C202">
        <v>-2.67</v>
      </c>
      <c r="D202">
        <v>365.41</v>
      </c>
      <c r="E202">
        <v>2.2000000000000002</v>
      </c>
      <c r="F202">
        <v>2.6</v>
      </c>
      <c r="G202">
        <v>0.9</v>
      </c>
      <c r="H202">
        <v>1.7</v>
      </c>
      <c r="I202">
        <v>2.5385</v>
      </c>
      <c r="J202">
        <v>158</v>
      </c>
      <c r="K202" t="s">
        <v>55</v>
      </c>
      <c r="L202" t="s">
        <v>51</v>
      </c>
      <c r="M202">
        <v>2</v>
      </c>
      <c r="N202">
        <v>25.196000000000002</v>
      </c>
      <c r="O202">
        <v>0</v>
      </c>
      <c r="P202">
        <v>1.41</v>
      </c>
      <c r="Q202" t="s">
        <v>52</v>
      </c>
      <c r="R202" t="s">
        <v>164</v>
      </c>
      <c r="S202" t="s">
        <v>164</v>
      </c>
      <c r="T202" t="s">
        <v>164</v>
      </c>
      <c r="U202" t="s">
        <v>164</v>
      </c>
      <c r="V202" s="7">
        <v>0.77085828615306529</v>
      </c>
      <c r="W202" t="s">
        <v>164</v>
      </c>
      <c r="X202" t="s">
        <v>164</v>
      </c>
      <c r="Y202" t="s">
        <v>164</v>
      </c>
      <c r="Z202" t="s">
        <v>164</v>
      </c>
      <c r="AA202">
        <v>6</v>
      </c>
      <c r="AB202">
        <v>25</v>
      </c>
      <c r="AC202" s="18">
        <f>180/60</f>
        <v>3</v>
      </c>
      <c r="AD202">
        <v>1</v>
      </c>
      <c r="AE202">
        <v>100</v>
      </c>
      <c r="AF202" s="11">
        <v>0.375</v>
      </c>
    </row>
    <row r="203" spans="1:32" x14ac:dyDescent="0.3">
      <c r="A203" t="s">
        <v>60</v>
      </c>
      <c r="B203" t="s">
        <v>49</v>
      </c>
      <c r="C203">
        <v>-2.67</v>
      </c>
      <c r="D203">
        <v>365.41</v>
      </c>
      <c r="E203">
        <v>2.2000000000000002</v>
      </c>
      <c r="F203">
        <v>2.6</v>
      </c>
      <c r="G203">
        <v>0.9</v>
      </c>
      <c r="H203">
        <v>1.7</v>
      </c>
      <c r="I203">
        <v>2.5385</v>
      </c>
      <c r="J203">
        <v>158</v>
      </c>
      <c r="K203" t="s">
        <v>55</v>
      </c>
      <c r="L203" t="s">
        <v>51</v>
      </c>
      <c r="M203">
        <v>2</v>
      </c>
      <c r="N203">
        <v>25.196000000000002</v>
      </c>
      <c r="O203">
        <v>0</v>
      </c>
      <c r="P203">
        <v>1.41</v>
      </c>
      <c r="Q203" t="s">
        <v>52</v>
      </c>
      <c r="R203" t="s">
        <v>164</v>
      </c>
      <c r="S203" t="s">
        <v>164</v>
      </c>
      <c r="T203" t="s">
        <v>164</v>
      </c>
      <c r="U203" t="s">
        <v>164</v>
      </c>
      <c r="V203" s="7">
        <v>0.77085828615306529</v>
      </c>
      <c r="W203" t="s">
        <v>164</v>
      </c>
      <c r="X203" t="s">
        <v>164</v>
      </c>
      <c r="Y203" t="s">
        <v>164</v>
      </c>
      <c r="Z203" t="s">
        <v>164</v>
      </c>
      <c r="AA203">
        <v>6</v>
      </c>
      <c r="AB203">
        <v>25</v>
      </c>
      <c r="AC203" s="19">
        <f>5/60</f>
        <v>8.3333333333333329E-2</v>
      </c>
      <c r="AD203">
        <v>1</v>
      </c>
      <c r="AE203">
        <v>225</v>
      </c>
      <c r="AF203" s="11">
        <v>0.16888888888888889</v>
      </c>
    </row>
    <row r="204" spans="1:32" x14ac:dyDescent="0.3">
      <c r="A204" t="s">
        <v>60</v>
      </c>
      <c r="B204" t="s">
        <v>49</v>
      </c>
      <c r="C204">
        <v>-2.67</v>
      </c>
      <c r="D204">
        <v>365.41</v>
      </c>
      <c r="E204">
        <v>2.2000000000000002</v>
      </c>
      <c r="F204">
        <v>2.6</v>
      </c>
      <c r="G204">
        <v>0.9</v>
      </c>
      <c r="H204">
        <v>1.7</v>
      </c>
      <c r="I204">
        <v>2.5385</v>
      </c>
      <c r="J204">
        <v>158</v>
      </c>
      <c r="K204" t="s">
        <v>55</v>
      </c>
      <c r="L204" t="s">
        <v>51</v>
      </c>
      <c r="M204">
        <v>2</v>
      </c>
      <c r="N204">
        <v>25.196000000000002</v>
      </c>
      <c r="O204">
        <v>0</v>
      </c>
      <c r="P204">
        <v>1.41</v>
      </c>
      <c r="Q204" t="s">
        <v>52</v>
      </c>
      <c r="R204" t="s">
        <v>164</v>
      </c>
      <c r="S204" t="s">
        <v>164</v>
      </c>
      <c r="T204" t="s">
        <v>164</v>
      </c>
      <c r="U204" t="s">
        <v>164</v>
      </c>
      <c r="V204" s="7">
        <v>0.77085828615306529</v>
      </c>
      <c r="W204" t="s">
        <v>164</v>
      </c>
      <c r="X204" t="s">
        <v>164</v>
      </c>
      <c r="Y204" t="s">
        <v>164</v>
      </c>
      <c r="Z204" t="s">
        <v>164</v>
      </c>
      <c r="AA204">
        <v>6</v>
      </c>
      <c r="AB204">
        <v>25</v>
      </c>
      <c r="AC204" s="19">
        <f>10/60</f>
        <v>0.16666666666666666</v>
      </c>
      <c r="AD204">
        <v>1</v>
      </c>
      <c r="AE204">
        <v>225</v>
      </c>
      <c r="AF204" s="11">
        <v>0.17777777777777778</v>
      </c>
    </row>
    <row r="205" spans="1:32" x14ac:dyDescent="0.3">
      <c r="A205" t="s">
        <v>60</v>
      </c>
      <c r="B205" t="s">
        <v>49</v>
      </c>
      <c r="C205">
        <v>-2.67</v>
      </c>
      <c r="D205">
        <v>365.41</v>
      </c>
      <c r="E205">
        <v>2.2000000000000002</v>
      </c>
      <c r="F205">
        <v>2.6</v>
      </c>
      <c r="G205">
        <v>0.9</v>
      </c>
      <c r="H205">
        <v>1.7</v>
      </c>
      <c r="I205">
        <v>2.5385</v>
      </c>
      <c r="J205">
        <v>158</v>
      </c>
      <c r="K205" t="s">
        <v>55</v>
      </c>
      <c r="L205" t="s">
        <v>51</v>
      </c>
      <c r="M205">
        <v>2</v>
      </c>
      <c r="N205">
        <v>25.196000000000002</v>
      </c>
      <c r="O205">
        <v>0</v>
      </c>
      <c r="P205">
        <v>1.41</v>
      </c>
      <c r="Q205" t="s">
        <v>52</v>
      </c>
      <c r="R205" t="s">
        <v>164</v>
      </c>
      <c r="S205" t="s">
        <v>164</v>
      </c>
      <c r="T205" t="s">
        <v>164</v>
      </c>
      <c r="U205" t="s">
        <v>164</v>
      </c>
      <c r="V205" s="7">
        <v>0.77085828615306529</v>
      </c>
      <c r="W205" t="s">
        <v>164</v>
      </c>
      <c r="X205" t="s">
        <v>164</v>
      </c>
      <c r="Y205" t="s">
        <v>164</v>
      </c>
      <c r="Z205" t="s">
        <v>164</v>
      </c>
      <c r="AA205">
        <v>6</v>
      </c>
      <c r="AB205">
        <v>25</v>
      </c>
      <c r="AC205" s="20">
        <f>15/60</f>
        <v>0.25</v>
      </c>
      <c r="AD205">
        <v>1</v>
      </c>
      <c r="AE205">
        <v>225</v>
      </c>
      <c r="AF205" s="11">
        <v>0.21333333333333335</v>
      </c>
    </row>
    <row r="206" spans="1:32" x14ac:dyDescent="0.3">
      <c r="A206" t="s">
        <v>60</v>
      </c>
      <c r="B206" t="s">
        <v>49</v>
      </c>
      <c r="C206">
        <v>-2.67</v>
      </c>
      <c r="D206">
        <v>365.41</v>
      </c>
      <c r="E206">
        <v>2.2000000000000002</v>
      </c>
      <c r="F206">
        <v>2.6</v>
      </c>
      <c r="G206">
        <v>0.9</v>
      </c>
      <c r="H206">
        <v>1.7</v>
      </c>
      <c r="I206">
        <v>2.5385</v>
      </c>
      <c r="J206">
        <v>158</v>
      </c>
      <c r="K206" t="s">
        <v>55</v>
      </c>
      <c r="L206" t="s">
        <v>51</v>
      </c>
      <c r="M206">
        <v>2</v>
      </c>
      <c r="N206">
        <v>25.196000000000002</v>
      </c>
      <c r="O206">
        <v>0</v>
      </c>
      <c r="P206">
        <v>1.41</v>
      </c>
      <c r="Q206" t="s">
        <v>52</v>
      </c>
      <c r="R206" t="s">
        <v>164</v>
      </c>
      <c r="S206" t="s">
        <v>164</v>
      </c>
      <c r="T206" t="s">
        <v>164</v>
      </c>
      <c r="U206" t="s">
        <v>164</v>
      </c>
      <c r="V206" s="7">
        <v>0.77085828615306529</v>
      </c>
      <c r="W206" t="s">
        <v>164</v>
      </c>
      <c r="X206" t="s">
        <v>164</v>
      </c>
      <c r="Y206" t="s">
        <v>164</v>
      </c>
      <c r="Z206" t="s">
        <v>164</v>
      </c>
      <c r="AA206">
        <v>6</v>
      </c>
      <c r="AB206">
        <v>25</v>
      </c>
      <c r="AC206" s="19">
        <f>20/60</f>
        <v>0.33333333333333331</v>
      </c>
      <c r="AD206">
        <v>1</v>
      </c>
      <c r="AE206">
        <v>225</v>
      </c>
      <c r="AF206" s="11">
        <v>0.22222222222222221</v>
      </c>
    </row>
    <row r="207" spans="1:32" x14ac:dyDescent="0.3">
      <c r="A207" t="s">
        <v>60</v>
      </c>
      <c r="B207" t="s">
        <v>49</v>
      </c>
      <c r="C207">
        <v>-2.67</v>
      </c>
      <c r="D207">
        <v>365.41</v>
      </c>
      <c r="E207">
        <v>2.2000000000000002</v>
      </c>
      <c r="F207">
        <v>2.6</v>
      </c>
      <c r="G207">
        <v>0.9</v>
      </c>
      <c r="H207">
        <v>1.7</v>
      </c>
      <c r="I207">
        <v>2.5385</v>
      </c>
      <c r="J207">
        <v>158</v>
      </c>
      <c r="K207" t="s">
        <v>55</v>
      </c>
      <c r="L207" t="s">
        <v>51</v>
      </c>
      <c r="M207">
        <v>2</v>
      </c>
      <c r="N207">
        <v>25.196000000000002</v>
      </c>
      <c r="O207">
        <v>0</v>
      </c>
      <c r="P207">
        <v>1.41</v>
      </c>
      <c r="Q207" t="s">
        <v>52</v>
      </c>
      <c r="R207" t="s">
        <v>164</v>
      </c>
      <c r="S207" t="s">
        <v>164</v>
      </c>
      <c r="T207" t="s">
        <v>164</v>
      </c>
      <c r="U207" t="s">
        <v>164</v>
      </c>
      <c r="V207" s="7">
        <v>0.77085828615306529</v>
      </c>
      <c r="W207" t="s">
        <v>164</v>
      </c>
      <c r="X207" t="s">
        <v>164</v>
      </c>
      <c r="Y207" t="s">
        <v>164</v>
      </c>
      <c r="Z207" t="s">
        <v>164</v>
      </c>
      <c r="AA207">
        <v>6</v>
      </c>
      <c r="AB207">
        <v>25</v>
      </c>
      <c r="AC207" s="17">
        <f>25/60</f>
        <v>0.41666666666666669</v>
      </c>
      <c r="AD207">
        <v>1</v>
      </c>
      <c r="AE207">
        <v>225</v>
      </c>
      <c r="AF207" s="11">
        <v>0.2</v>
      </c>
    </row>
    <row r="208" spans="1:32" x14ac:dyDescent="0.3">
      <c r="A208" t="s">
        <v>60</v>
      </c>
      <c r="B208" t="s">
        <v>49</v>
      </c>
      <c r="C208">
        <v>-2.67</v>
      </c>
      <c r="D208">
        <v>365.41</v>
      </c>
      <c r="E208">
        <v>2.2000000000000002</v>
      </c>
      <c r="F208">
        <v>2.6</v>
      </c>
      <c r="G208">
        <v>0.9</v>
      </c>
      <c r="H208">
        <v>1.7</v>
      </c>
      <c r="I208">
        <v>2.5385</v>
      </c>
      <c r="J208">
        <v>158</v>
      </c>
      <c r="K208" t="s">
        <v>55</v>
      </c>
      <c r="L208" t="s">
        <v>51</v>
      </c>
      <c r="M208">
        <v>2</v>
      </c>
      <c r="N208">
        <v>25.196000000000002</v>
      </c>
      <c r="O208">
        <v>0</v>
      </c>
      <c r="P208">
        <v>1.41</v>
      </c>
      <c r="Q208" t="s">
        <v>52</v>
      </c>
      <c r="R208" t="s">
        <v>164</v>
      </c>
      <c r="S208" t="s">
        <v>164</v>
      </c>
      <c r="T208" t="s">
        <v>164</v>
      </c>
      <c r="U208" t="s">
        <v>164</v>
      </c>
      <c r="V208" s="7">
        <v>0.77085828615306529</v>
      </c>
      <c r="W208" t="s">
        <v>164</v>
      </c>
      <c r="X208" t="s">
        <v>164</v>
      </c>
      <c r="Y208" t="s">
        <v>164</v>
      </c>
      <c r="Z208" t="s">
        <v>164</v>
      </c>
      <c r="AA208">
        <v>6</v>
      </c>
      <c r="AB208">
        <v>25</v>
      </c>
      <c r="AC208" s="17">
        <f>30/60</f>
        <v>0.5</v>
      </c>
      <c r="AD208">
        <v>1</v>
      </c>
      <c r="AE208">
        <v>225</v>
      </c>
      <c r="AF208" s="11">
        <v>0.22666666666666666</v>
      </c>
    </row>
    <row r="209" spans="1:32" x14ac:dyDescent="0.3">
      <c r="A209" t="s">
        <v>60</v>
      </c>
      <c r="B209" t="s">
        <v>49</v>
      </c>
      <c r="C209">
        <v>-2.67</v>
      </c>
      <c r="D209">
        <v>365.41</v>
      </c>
      <c r="E209">
        <v>2.2000000000000002</v>
      </c>
      <c r="F209">
        <v>2.6</v>
      </c>
      <c r="G209">
        <v>0.9</v>
      </c>
      <c r="H209">
        <v>1.7</v>
      </c>
      <c r="I209">
        <v>2.5385</v>
      </c>
      <c r="J209">
        <v>158</v>
      </c>
      <c r="K209" t="s">
        <v>55</v>
      </c>
      <c r="L209" t="s">
        <v>51</v>
      </c>
      <c r="M209">
        <v>2</v>
      </c>
      <c r="N209">
        <v>25.196000000000002</v>
      </c>
      <c r="O209">
        <v>0</v>
      </c>
      <c r="P209">
        <v>1.41</v>
      </c>
      <c r="Q209" t="s">
        <v>52</v>
      </c>
      <c r="R209" t="s">
        <v>164</v>
      </c>
      <c r="S209" t="s">
        <v>164</v>
      </c>
      <c r="T209" t="s">
        <v>164</v>
      </c>
      <c r="U209" t="s">
        <v>164</v>
      </c>
      <c r="V209" s="7">
        <v>0.77085828615306529</v>
      </c>
      <c r="W209" t="s">
        <v>164</v>
      </c>
      <c r="X209" t="s">
        <v>164</v>
      </c>
      <c r="Y209" t="s">
        <v>164</v>
      </c>
      <c r="Z209" t="s">
        <v>164</v>
      </c>
      <c r="AA209">
        <v>6</v>
      </c>
      <c r="AB209">
        <v>25</v>
      </c>
      <c r="AC209" s="17">
        <f>35/60</f>
        <v>0.58333333333333337</v>
      </c>
      <c r="AD209">
        <v>1</v>
      </c>
      <c r="AE209">
        <v>225</v>
      </c>
      <c r="AF209" s="11">
        <v>0.21777777777777776</v>
      </c>
    </row>
    <row r="210" spans="1:32" x14ac:dyDescent="0.3">
      <c r="A210" t="s">
        <v>60</v>
      </c>
      <c r="B210" t="s">
        <v>49</v>
      </c>
      <c r="C210">
        <v>-2.67</v>
      </c>
      <c r="D210">
        <v>365.41</v>
      </c>
      <c r="E210">
        <v>2.2000000000000002</v>
      </c>
      <c r="F210">
        <v>2.6</v>
      </c>
      <c r="G210">
        <v>0.9</v>
      </c>
      <c r="H210">
        <v>1.7</v>
      </c>
      <c r="I210">
        <v>2.5385</v>
      </c>
      <c r="J210">
        <v>158</v>
      </c>
      <c r="K210" t="s">
        <v>55</v>
      </c>
      <c r="L210" t="s">
        <v>51</v>
      </c>
      <c r="M210">
        <v>2</v>
      </c>
      <c r="N210">
        <v>25.196000000000002</v>
      </c>
      <c r="O210">
        <v>0</v>
      </c>
      <c r="P210">
        <v>1.41</v>
      </c>
      <c r="Q210" t="s">
        <v>52</v>
      </c>
      <c r="R210" t="s">
        <v>164</v>
      </c>
      <c r="S210" t="s">
        <v>164</v>
      </c>
      <c r="T210" t="s">
        <v>164</v>
      </c>
      <c r="U210" t="s">
        <v>164</v>
      </c>
      <c r="V210" s="7">
        <v>0.77085828615306529</v>
      </c>
      <c r="W210" t="s">
        <v>164</v>
      </c>
      <c r="X210" t="s">
        <v>164</v>
      </c>
      <c r="Y210" t="s">
        <v>164</v>
      </c>
      <c r="Z210" t="s">
        <v>164</v>
      </c>
      <c r="AA210">
        <v>6</v>
      </c>
      <c r="AB210">
        <v>25</v>
      </c>
      <c r="AC210" s="17">
        <f>40/60</f>
        <v>0.66666666666666663</v>
      </c>
      <c r="AD210">
        <v>1</v>
      </c>
      <c r="AE210">
        <v>225</v>
      </c>
      <c r="AF210" s="11">
        <v>0.22222222222222221</v>
      </c>
    </row>
    <row r="211" spans="1:32" x14ac:dyDescent="0.3">
      <c r="A211" t="s">
        <v>60</v>
      </c>
      <c r="B211" t="s">
        <v>49</v>
      </c>
      <c r="C211">
        <v>-2.67</v>
      </c>
      <c r="D211">
        <v>365.41</v>
      </c>
      <c r="E211">
        <v>2.2000000000000002</v>
      </c>
      <c r="F211">
        <v>2.6</v>
      </c>
      <c r="G211">
        <v>0.9</v>
      </c>
      <c r="H211">
        <v>1.7</v>
      </c>
      <c r="I211">
        <v>2.5385</v>
      </c>
      <c r="J211">
        <v>158</v>
      </c>
      <c r="K211" t="s">
        <v>55</v>
      </c>
      <c r="L211" t="s">
        <v>51</v>
      </c>
      <c r="M211">
        <v>2</v>
      </c>
      <c r="N211">
        <v>25.196000000000002</v>
      </c>
      <c r="O211">
        <v>0</v>
      </c>
      <c r="P211">
        <v>1.41</v>
      </c>
      <c r="Q211" t="s">
        <v>52</v>
      </c>
      <c r="R211" t="s">
        <v>164</v>
      </c>
      <c r="S211" t="s">
        <v>164</v>
      </c>
      <c r="T211" t="s">
        <v>164</v>
      </c>
      <c r="U211" t="s">
        <v>164</v>
      </c>
      <c r="V211" s="7">
        <v>0.77085828615306529</v>
      </c>
      <c r="W211" t="s">
        <v>164</v>
      </c>
      <c r="X211" t="s">
        <v>164</v>
      </c>
      <c r="Y211" t="s">
        <v>164</v>
      </c>
      <c r="Z211" t="s">
        <v>164</v>
      </c>
      <c r="AA211">
        <v>6</v>
      </c>
      <c r="AB211">
        <v>25</v>
      </c>
      <c r="AC211" s="17">
        <f>45/60</f>
        <v>0.75</v>
      </c>
      <c r="AD211">
        <v>1</v>
      </c>
      <c r="AE211">
        <v>225</v>
      </c>
      <c r="AF211" s="11">
        <v>0.22222222222222221</v>
      </c>
    </row>
    <row r="212" spans="1:32" x14ac:dyDescent="0.3">
      <c r="A212" t="s">
        <v>60</v>
      </c>
      <c r="B212" t="s">
        <v>49</v>
      </c>
      <c r="C212">
        <v>-2.67</v>
      </c>
      <c r="D212">
        <v>365.41</v>
      </c>
      <c r="E212">
        <v>2.2000000000000002</v>
      </c>
      <c r="F212">
        <v>2.6</v>
      </c>
      <c r="G212">
        <v>0.9</v>
      </c>
      <c r="H212">
        <v>1.7</v>
      </c>
      <c r="I212">
        <v>2.5385</v>
      </c>
      <c r="J212">
        <v>158</v>
      </c>
      <c r="K212" t="s">
        <v>55</v>
      </c>
      <c r="L212" t="s">
        <v>51</v>
      </c>
      <c r="M212">
        <v>2</v>
      </c>
      <c r="N212">
        <v>25.196000000000002</v>
      </c>
      <c r="O212">
        <v>0</v>
      </c>
      <c r="P212">
        <v>1.41</v>
      </c>
      <c r="Q212" t="s">
        <v>52</v>
      </c>
      <c r="R212" t="s">
        <v>164</v>
      </c>
      <c r="S212" t="s">
        <v>164</v>
      </c>
      <c r="T212" t="s">
        <v>164</v>
      </c>
      <c r="U212" t="s">
        <v>164</v>
      </c>
      <c r="V212" s="7">
        <v>0.77085828615306529</v>
      </c>
      <c r="W212" t="s">
        <v>164</v>
      </c>
      <c r="X212" t="s">
        <v>164</v>
      </c>
      <c r="Y212" t="s">
        <v>164</v>
      </c>
      <c r="Z212" t="s">
        <v>164</v>
      </c>
      <c r="AA212">
        <v>6</v>
      </c>
      <c r="AB212">
        <v>25</v>
      </c>
      <c r="AC212" s="17">
        <f>50/60</f>
        <v>0.83333333333333337</v>
      </c>
      <c r="AD212">
        <v>1</v>
      </c>
      <c r="AE212">
        <v>225</v>
      </c>
      <c r="AF212" s="11">
        <v>0.22666666666666666</v>
      </c>
    </row>
    <row r="213" spans="1:32" x14ac:dyDescent="0.3">
      <c r="A213" t="s">
        <v>60</v>
      </c>
      <c r="B213" t="s">
        <v>49</v>
      </c>
      <c r="C213">
        <v>-2.67</v>
      </c>
      <c r="D213">
        <v>365.41</v>
      </c>
      <c r="E213">
        <v>2.2000000000000002</v>
      </c>
      <c r="F213">
        <v>2.6</v>
      </c>
      <c r="G213">
        <v>0.9</v>
      </c>
      <c r="H213">
        <v>1.7</v>
      </c>
      <c r="I213">
        <v>2.5385</v>
      </c>
      <c r="J213">
        <v>158</v>
      </c>
      <c r="K213" t="s">
        <v>55</v>
      </c>
      <c r="L213" t="s">
        <v>51</v>
      </c>
      <c r="M213">
        <v>2</v>
      </c>
      <c r="N213">
        <v>25.196000000000002</v>
      </c>
      <c r="O213">
        <v>0</v>
      </c>
      <c r="P213">
        <v>1.41</v>
      </c>
      <c r="Q213" t="s">
        <v>52</v>
      </c>
      <c r="R213" t="s">
        <v>164</v>
      </c>
      <c r="S213" t="s">
        <v>164</v>
      </c>
      <c r="T213" t="s">
        <v>164</v>
      </c>
      <c r="U213" t="s">
        <v>164</v>
      </c>
      <c r="V213" s="7">
        <v>0.77085828615306529</v>
      </c>
      <c r="W213" t="s">
        <v>164</v>
      </c>
      <c r="X213" t="s">
        <v>164</v>
      </c>
      <c r="Y213" t="s">
        <v>164</v>
      </c>
      <c r="Z213" t="s">
        <v>164</v>
      </c>
      <c r="AA213">
        <v>6</v>
      </c>
      <c r="AB213">
        <v>25</v>
      </c>
      <c r="AC213" s="17">
        <f>55/60</f>
        <v>0.91666666666666663</v>
      </c>
      <c r="AD213">
        <v>1</v>
      </c>
      <c r="AE213">
        <v>225</v>
      </c>
      <c r="AF213" s="11">
        <v>0.22222222222222221</v>
      </c>
    </row>
    <row r="214" spans="1:32" x14ac:dyDescent="0.3">
      <c r="A214" t="s">
        <v>60</v>
      </c>
      <c r="B214" t="s">
        <v>49</v>
      </c>
      <c r="C214">
        <v>-2.67</v>
      </c>
      <c r="D214">
        <v>365.41</v>
      </c>
      <c r="E214">
        <v>2.2000000000000002</v>
      </c>
      <c r="F214">
        <v>2.6</v>
      </c>
      <c r="G214">
        <v>0.9</v>
      </c>
      <c r="H214">
        <v>1.7</v>
      </c>
      <c r="I214">
        <v>2.5385</v>
      </c>
      <c r="J214">
        <v>158</v>
      </c>
      <c r="K214" t="s">
        <v>55</v>
      </c>
      <c r="L214" t="s">
        <v>51</v>
      </c>
      <c r="M214">
        <v>2</v>
      </c>
      <c r="N214">
        <v>25.196000000000002</v>
      </c>
      <c r="O214">
        <v>0</v>
      </c>
      <c r="P214">
        <v>1.41</v>
      </c>
      <c r="Q214" t="s">
        <v>52</v>
      </c>
      <c r="R214" t="s">
        <v>164</v>
      </c>
      <c r="S214" t="s">
        <v>164</v>
      </c>
      <c r="T214" t="s">
        <v>164</v>
      </c>
      <c r="U214" t="s">
        <v>164</v>
      </c>
      <c r="V214" s="7">
        <v>0.77085828615306529</v>
      </c>
      <c r="W214" t="s">
        <v>164</v>
      </c>
      <c r="X214" t="s">
        <v>164</v>
      </c>
      <c r="Y214" t="s">
        <v>164</v>
      </c>
      <c r="Z214" t="s">
        <v>164</v>
      </c>
      <c r="AA214">
        <v>6</v>
      </c>
      <c r="AB214">
        <v>25</v>
      </c>
      <c r="AC214" s="17">
        <v>1</v>
      </c>
      <c r="AD214">
        <v>1</v>
      </c>
      <c r="AE214">
        <v>225</v>
      </c>
      <c r="AF214" s="11">
        <v>0.22222222222222221</v>
      </c>
    </row>
    <row r="215" spans="1:32" x14ac:dyDescent="0.3">
      <c r="A215" t="s">
        <v>60</v>
      </c>
      <c r="B215" t="s">
        <v>49</v>
      </c>
      <c r="C215">
        <v>-2.67</v>
      </c>
      <c r="D215">
        <v>365.41</v>
      </c>
      <c r="E215">
        <v>2.2000000000000002</v>
      </c>
      <c r="F215">
        <v>2.6</v>
      </c>
      <c r="G215">
        <v>0.9</v>
      </c>
      <c r="H215">
        <v>1.7</v>
      </c>
      <c r="I215">
        <v>2.5385</v>
      </c>
      <c r="J215">
        <v>158</v>
      </c>
      <c r="K215" t="s">
        <v>55</v>
      </c>
      <c r="L215" t="s">
        <v>51</v>
      </c>
      <c r="M215">
        <v>2</v>
      </c>
      <c r="N215">
        <v>25.196000000000002</v>
      </c>
      <c r="O215">
        <v>0</v>
      </c>
      <c r="P215">
        <v>1.41</v>
      </c>
      <c r="Q215" t="s">
        <v>52</v>
      </c>
      <c r="R215" t="s">
        <v>164</v>
      </c>
      <c r="S215" t="s">
        <v>164</v>
      </c>
      <c r="T215" t="s">
        <v>164</v>
      </c>
      <c r="U215" t="s">
        <v>164</v>
      </c>
      <c r="V215" s="7">
        <v>0.77085828615306529</v>
      </c>
      <c r="W215" t="s">
        <v>164</v>
      </c>
      <c r="X215" t="s">
        <v>164</v>
      </c>
      <c r="Y215" t="s">
        <v>164</v>
      </c>
      <c r="Z215" t="s">
        <v>164</v>
      </c>
      <c r="AA215">
        <v>6</v>
      </c>
      <c r="AB215">
        <v>25</v>
      </c>
      <c r="AC215" s="17">
        <v>2</v>
      </c>
      <c r="AD215">
        <v>1</v>
      </c>
      <c r="AE215">
        <v>225</v>
      </c>
      <c r="AF215" s="11">
        <v>0.21777777777777776</v>
      </c>
    </row>
    <row r="216" spans="1:32" x14ac:dyDescent="0.3">
      <c r="A216" t="s">
        <v>60</v>
      </c>
      <c r="B216" t="s">
        <v>49</v>
      </c>
      <c r="C216">
        <v>-2.67</v>
      </c>
      <c r="D216">
        <v>365.41</v>
      </c>
      <c r="E216">
        <v>2.2000000000000002</v>
      </c>
      <c r="F216">
        <v>2.6</v>
      </c>
      <c r="G216">
        <v>0.9</v>
      </c>
      <c r="H216">
        <v>1.7</v>
      </c>
      <c r="I216">
        <v>2.5385</v>
      </c>
      <c r="J216">
        <v>158</v>
      </c>
      <c r="K216" t="s">
        <v>55</v>
      </c>
      <c r="L216" t="s">
        <v>51</v>
      </c>
      <c r="M216">
        <v>2</v>
      </c>
      <c r="N216">
        <v>25.196000000000002</v>
      </c>
      <c r="O216">
        <v>0</v>
      </c>
      <c r="P216">
        <v>1.41</v>
      </c>
      <c r="Q216" t="s">
        <v>52</v>
      </c>
      <c r="R216" t="s">
        <v>164</v>
      </c>
      <c r="S216" t="s">
        <v>164</v>
      </c>
      <c r="T216" t="s">
        <v>164</v>
      </c>
      <c r="U216" t="s">
        <v>164</v>
      </c>
      <c r="V216" s="7">
        <v>0.77085828615306529</v>
      </c>
      <c r="W216" t="s">
        <v>164</v>
      </c>
      <c r="X216" t="s">
        <v>164</v>
      </c>
      <c r="Y216" t="s">
        <v>164</v>
      </c>
      <c r="Z216" t="s">
        <v>164</v>
      </c>
      <c r="AA216">
        <v>6</v>
      </c>
      <c r="AB216">
        <v>25</v>
      </c>
      <c r="AC216" s="17">
        <v>3</v>
      </c>
      <c r="AD216">
        <v>1</v>
      </c>
      <c r="AE216">
        <v>225</v>
      </c>
      <c r="AF216" s="11">
        <v>0.21777777777777776</v>
      </c>
    </row>
    <row r="217" spans="1:32" x14ac:dyDescent="0.3">
      <c r="A217" t="s">
        <v>61</v>
      </c>
      <c r="B217" t="s">
        <v>14</v>
      </c>
      <c r="C217">
        <v>-1.3</v>
      </c>
      <c r="D217">
        <v>444.44</v>
      </c>
      <c r="E217">
        <v>3.5</v>
      </c>
      <c r="F217">
        <v>3.6</v>
      </c>
      <c r="G217">
        <v>1.35</v>
      </c>
      <c r="H217">
        <v>3.29</v>
      </c>
      <c r="I217">
        <v>3.0992000000000002</v>
      </c>
      <c r="J217">
        <v>182</v>
      </c>
      <c r="K217" t="s">
        <v>55</v>
      </c>
      <c r="L217" t="s">
        <v>51</v>
      </c>
      <c r="M217">
        <v>3</v>
      </c>
      <c r="N217">
        <v>24.972999999999999</v>
      </c>
      <c r="O217">
        <v>0</v>
      </c>
      <c r="P217">
        <v>1.39</v>
      </c>
      <c r="Q217" t="s">
        <v>52</v>
      </c>
      <c r="R217" t="s">
        <v>164</v>
      </c>
      <c r="S217" t="s">
        <v>164</v>
      </c>
      <c r="T217" t="s">
        <v>164</v>
      </c>
      <c r="U217" t="s">
        <v>164</v>
      </c>
      <c r="V217" s="7">
        <v>0.75575581345160314</v>
      </c>
      <c r="W217" t="s">
        <v>164</v>
      </c>
      <c r="X217" t="s">
        <v>164</v>
      </c>
      <c r="Y217" t="s">
        <v>164</v>
      </c>
      <c r="Z217">
        <v>8.5</v>
      </c>
      <c r="AA217">
        <v>4</v>
      </c>
      <c r="AB217">
        <v>25</v>
      </c>
      <c r="AC217" s="17">
        <v>3</v>
      </c>
      <c r="AD217">
        <v>0.05</v>
      </c>
      <c r="AE217">
        <v>10</v>
      </c>
      <c r="AF217" s="11">
        <v>7.4999999999999997E-2</v>
      </c>
    </row>
    <row r="218" spans="1:32" x14ac:dyDescent="0.3">
      <c r="A218" t="s">
        <v>61</v>
      </c>
      <c r="B218" t="s">
        <v>14</v>
      </c>
      <c r="C218">
        <v>-1.3</v>
      </c>
      <c r="D218">
        <v>444.44</v>
      </c>
      <c r="E218">
        <v>3.5</v>
      </c>
      <c r="F218">
        <v>3.6</v>
      </c>
      <c r="G218">
        <v>1.35</v>
      </c>
      <c r="H218">
        <v>3.29</v>
      </c>
      <c r="I218">
        <v>3.0992000000000002</v>
      </c>
      <c r="J218">
        <v>182</v>
      </c>
      <c r="K218" t="s">
        <v>55</v>
      </c>
      <c r="L218" t="s">
        <v>51</v>
      </c>
      <c r="M218">
        <v>3</v>
      </c>
      <c r="N218">
        <v>24.972999999999999</v>
      </c>
      <c r="O218">
        <v>0</v>
      </c>
      <c r="P218">
        <v>1.39</v>
      </c>
      <c r="Q218" t="s">
        <v>52</v>
      </c>
      <c r="R218" t="s">
        <v>164</v>
      </c>
      <c r="S218" t="s">
        <v>164</v>
      </c>
      <c r="T218" t="s">
        <v>164</v>
      </c>
      <c r="U218" t="s">
        <v>164</v>
      </c>
      <c r="V218" s="7">
        <v>0.75575581345160314</v>
      </c>
      <c r="W218" t="s">
        <v>164</v>
      </c>
      <c r="X218" t="s">
        <v>164</v>
      </c>
      <c r="Y218" t="s">
        <v>164</v>
      </c>
      <c r="Z218">
        <v>8.5</v>
      </c>
      <c r="AA218">
        <v>5</v>
      </c>
      <c r="AB218">
        <v>25</v>
      </c>
      <c r="AC218" s="17">
        <v>3</v>
      </c>
      <c r="AD218">
        <v>0.05</v>
      </c>
      <c r="AE218">
        <v>10</v>
      </c>
      <c r="AF218" s="11">
        <v>5.500000000000007E-2</v>
      </c>
    </row>
    <row r="219" spans="1:32" x14ac:dyDescent="0.3">
      <c r="A219" t="s">
        <v>61</v>
      </c>
      <c r="B219" t="s">
        <v>14</v>
      </c>
      <c r="C219">
        <v>-1.3</v>
      </c>
      <c r="D219">
        <v>444.44</v>
      </c>
      <c r="E219">
        <v>3.5</v>
      </c>
      <c r="F219">
        <v>3.6</v>
      </c>
      <c r="G219">
        <v>1.35</v>
      </c>
      <c r="H219">
        <v>3.29</v>
      </c>
      <c r="I219">
        <v>3.0992000000000002</v>
      </c>
      <c r="J219">
        <v>182</v>
      </c>
      <c r="K219" t="s">
        <v>55</v>
      </c>
      <c r="L219" t="s">
        <v>51</v>
      </c>
      <c r="M219">
        <v>3</v>
      </c>
      <c r="N219">
        <v>24.972999999999999</v>
      </c>
      <c r="O219">
        <v>0</v>
      </c>
      <c r="P219">
        <v>1.39</v>
      </c>
      <c r="Q219" t="s">
        <v>52</v>
      </c>
      <c r="R219" t="s">
        <v>164</v>
      </c>
      <c r="S219" t="s">
        <v>164</v>
      </c>
      <c r="T219" t="s">
        <v>164</v>
      </c>
      <c r="U219" t="s">
        <v>164</v>
      </c>
      <c r="V219" s="7">
        <v>0.75575581345160314</v>
      </c>
      <c r="W219" t="s">
        <v>164</v>
      </c>
      <c r="X219" t="s">
        <v>164</v>
      </c>
      <c r="Y219" t="s">
        <v>164</v>
      </c>
      <c r="Z219">
        <v>8.5</v>
      </c>
      <c r="AA219">
        <v>6</v>
      </c>
      <c r="AB219">
        <v>25</v>
      </c>
      <c r="AC219" s="17">
        <v>3</v>
      </c>
      <c r="AD219">
        <v>0.05</v>
      </c>
      <c r="AE219">
        <v>10</v>
      </c>
      <c r="AF219" s="11">
        <v>6.500000000000003E-2</v>
      </c>
    </row>
    <row r="220" spans="1:32" x14ac:dyDescent="0.3">
      <c r="A220" t="s">
        <v>61</v>
      </c>
      <c r="B220" t="s">
        <v>14</v>
      </c>
      <c r="C220">
        <v>-1.3</v>
      </c>
      <c r="D220">
        <v>444.44</v>
      </c>
      <c r="E220">
        <v>3.5</v>
      </c>
      <c r="F220">
        <v>3.6</v>
      </c>
      <c r="G220">
        <v>1.35</v>
      </c>
      <c r="H220">
        <v>3.29</v>
      </c>
      <c r="I220">
        <v>3.0992000000000002</v>
      </c>
      <c r="J220">
        <v>182</v>
      </c>
      <c r="K220" t="s">
        <v>55</v>
      </c>
      <c r="L220" t="s">
        <v>51</v>
      </c>
      <c r="M220">
        <v>3</v>
      </c>
      <c r="N220">
        <v>24.972999999999999</v>
      </c>
      <c r="O220">
        <v>0</v>
      </c>
      <c r="P220">
        <v>1.39</v>
      </c>
      <c r="Q220" t="s">
        <v>52</v>
      </c>
      <c r="R220" t="s">
        <v>164</v>
      </c>
      <c r="S220" t="s">
        <v>164</v>
      </c>
      <c r="T220" t="s">
        <v>164</v>
      </c>
      <c r="U220" t="s">
        <v>164</v>
      </c>
      <c r="V220" s="7">
        <v>0.75575581345160314</v>
      </c>
      <c r="W220" t="s">
        <v>164</v>
      </c>
      <c r="X220" t="s">
        <v>164</v>
      </c>
      <c r="Y220" t="s">
        <v>164</v>
      </c>
      <c r="Z220">
        <v>8.5</v>
      </c>
      <c r="AA220">
        <v>7</v>
      </c>
      <c r="AB220">
        <v>25</v>
      </c>
      <c r="AC220" s="17">
        <v>3</v>
      </c>
      <c r="AD220">
        <v>0.05</v>
      </c>
      <c r="AE220">
        <v>10</v>
      </c>
      <c r="AF220" s="11">
        <v>4.4999999999999929E-2</v>
      </c>
    </row>
    <row r="221" spans="1:32" x14ac:dyDescent="0.3">
      <c r="A221" t="s">
        <v>61</v>
      </c>
      <c r="B221" t="s">
        <v>14</v>
      </c>
      <c r="C221">
        <v>-1.3</v>
      </c>
      <c r="D221">
        <v>444.44</v>
      </c>
      <c r="E221">
        <v>3.5</v>
      </c>
      <c r="F221">
        <v>3.6</v>
      </c>
      <c r="G221">
        <v>1.35</v>
      </c>
      <c r="H221">
        <v>3.29</v>
      </c>
      <c r="I221">
        <v>3.0992000000000002</v>
      </c>
      <c r="J221">
        <v>182</v>
      </c>
      <c r="K221" t="s">
        <v>55</v>
      </c>
      <c r="L221" t="s">
        <v>51</v>
      </c>
      <c r="M221">
        <v>3</v>
      </c>
      <c r="N221">
        <v>24.972999999999999</v>
      </c>
      <c r="O221">
        <v>0</v>
      </c>
      <c r="P221">
        <v>1.39</v>
      </c>
      <c r="Q221" t="s">
        <v>52</v>
      </c>
      <c r="R221" t="s">
        <v>164</v>
      </c>
      <c r="S221" t="s">
        <v>164</v>
      </c>
      <c r="T221" t="s">
        <v>164</v>
      </c>
      <c r="U221" t="s">
        <v>164</v>
      </c>
      <c r="V221" s="7">
        <v>0.75575581345160314</v>
      </c>
      <c r="W221" t="s">
        <v>164</v>
      </c>
      <c r="X221" t="s">
        <v>164</v>
      </c>
      <c r="Y221" t="s">
        <v>164</v>
      </c>
      <c r="Z221">
        <v>8.5</v>
      </c>
      <c r="AA221">
        <v>8</v>
      </c>
      <c r="AB221">
        <v>25</v>
      </c>
      <c r="AC221" s="17">
        <v>3</v>
      </c>
      <c r="AD221">
        <v>0.05</v>
      </c>
      <c r="AE221">
        <v>10</v>
      </c>
      <c r="AF221" s="11">
        <v>1.5000000000000036E-2</v>
      </c>
    </row>
    <row r="222" spans="1:32" x14ac:dyDescent="0.3">
      <c r="A222" t="s">
        <v>61</v>
      </c>
      <c r="B222" t="s">
        <v>14</v>
      </c>
      <c r="C222">
        <v>-1.3</v>
      </c>
      <c r="D222">
        <v>444.44</v>
      </c>
      <c r="E222">
        <v>3.5</v>
      </c>
      <c r="F222">
        <v>3.6</v>
      </c>
      <c r="G222">
        <v>1.35</v>
      </c>
      <c r="H222">
        <v>3.29</v>
      </c>
      <c r="I222">
        <v>3.0992000000000002</v>
      </c>
      <c r="J222">
        <v>182</v>
      </c>
      <c r="K222" t="s">
        <v>55</v>
      </c>
      <c r="L222" t="s">
        <v>51</v>
      </c>
      <c r="M222">
        <v>3</v>
      </c>
      <c r="N222">
        <v>24.972999999999999</v>
      </c>
      <c r="O222">
        <v>0</v>
      </c>
      <c r="P222">
        <v>1.39</v>
      </c>
      <c r="Q222" t="s">
        <v>52</v>
      </c>
      <c r="R222" t="s">
        <v>164</v>
      </c>
      <c r="S222" t="s">
        <v>164</v>
      </c>
      <c r="T222" t="s">
        <v>164</v>
      </c>
      <c r="U222" t="s">
        <v>164</v>
      </c>
      <c r="V222" s="7">
        <v>0.75575581345160314</v>
      </c>
      <c r="W222" t="s">
        <v>164</v>
      </c>
      <c r="X222" t="s">
        <v>164</v>
      </c>
      <c r="Y222" t="s">
        <v>164</v>
      </c>
      <c r="Z222">
        <v>8.5</v>
      </c>
      <c r="AA222">
        <v>4</v>
      </c>
      <c r="AB222">
        <v>25</v>
      </c>
      <c r="AC222" s="21">
        <f>5/60</f>
        <v>8.3333333333333329E-2</v>
      </c>
      <c r="AD222">
        <v>0.25</v>
      </c>
      <c r="AE222">
        <v>10</v>
      </c>
      <c r="AF222" s="11">
        <v>1.9999999999999928E-2</v>
      </c>
    </row>
    <row r="223" spans="1:32" x14ac:dyDescent="0.3">
      <c r="A223" t="s">
        <v>61</v>
      </c>
      <c r="B223" t="s">
        <v>14</v>
      </c>
      <c r="C223">
        <v>-1.3</v>
      </c>
      <c r="D223">
        <v>444.44</v>
      </c>
      <c r="E223">
        <v>3.5</v>
      </c>
      <c r="F223">
        <v>3.6</v>
      </c>
      <c r="G223">
        <v>1.35</v>
      </c>
      <c r="H223">
        <v>3.29</v>
      </c>
      <c r="I223">
        <v>3.0992000000000002</v>
      </c>
      <c r="J223">
        <v>182</v>
      </c>
      <c r="K223" t="s">
        <v>55</v>
      </c>
      <c r="L223" t="s">
        <v>51</v>
      </c>
      <c r="M223">
        <v>3</v>
      </c>
      <c r="N223">
        <v>24.972999999999999</v>
      </c>
      <c r="O223">
        <v>0</v>
      </c>
      <c r="P223">
        <v>1.39</v>
      </c>
      <c r="Q223" t="s">
        <v>52</v>
      </c>
      <c r="R223" t="s">
        <v>164</v>
      </c>
      <c r="S223" t="s">
        <v>164</v>
      </c>
      <c r="T223" t="s">
        <v>164</v>
      </c>
      <c r="U223" t="s">
        <v>164</v>
      </c>
      <c r="V223" s="7">
        <v>0.75575581345160314</v>
      </c>
      <c r="W223" t="s">
        <v>164</v>
      </c>
      <c r="X223" t="s">
        <v>164</v>
      </c>
      <c r="Y223" t="s">
        <v>164</v>
      </c>
      <c r="Z223">
        <v>8.5</v>
      </c>
      <c r="AA223">
        <v>4</v>
      </c>
      <c r="AB223">
        <v>25</v>
      </c>
      <c r="AC223" s="21">
        <f>10/60</f>
        <v>0.16666666666666666</v>
      </c>
      <c r="AD223">
        <v>0.25</v>
      </c>
      <c r="AE223">
        <v>10</v>
      </c>
      <c r="AF223" s="11">
        <v>1.9999999999999928E-2</v>
      </c>
    </row>
    <row r="224" spans="1:32" x14ac:dyDescent="0.3">
      <c r="A224" t="s">
        <v>61</v>
      </c>
      <c r="B224" t="s">
        <v>14</v>
      </c>
      <c r="C224">
        <v>-1.3</v>
      </c>
      <c r="D224">
        <v>444.44</v>
      </c>
      <c r="E224">
        <v>3.5</v>
      </c>
      <c r="F224">
        <v>3.6</v>
      </c>
      <c r="G224">
        <v>1.35</v>
      </c>
      <c r="H224">
        <v>3.29</v>
      </c>
      <c r="I224">
        <v>3.0992000000000002</v>
      </c>
      <c r="J224">
        <v>182</v>
      </c>
      <c r="K224" t="s">
        <v>55</v>
      </c>
      <c r="L224" t="s">
        <v>51</v>
      </c>
      <c r="M224">
        <v>3</v>
      </c>
      <c r="N224">
        <v>24.972999999999999</v>
      </c>
      <c r="O224">
        <v>0</v>
      </c>
      <c r="P224">
        <v>1.39</v>
      </c>
      <c r="Q224" t="s">
        <v>52</v>
      </c>
      <c r="R224" t="s">
        <v>164</v>
      </c>
      <c r="S224" t="s">
        <v>164</v>
      </c>
      <c r="T224" t="s">
        <v>164</v>
      </c>
      <c r="U224" t="s">
        <v>164</v>
      </c>
      <c r="V224" s="7">
        <v>0.75575581345160314</v>
      </c>
      <c r="W224" t="s">
        <v>164</v>
      </c>
      <c r="X224" t="s">
        <v>164</v>
      </c>
      <c r="Y224" t="s">
        <v>164</v>
      </c>
      <c r="Z224">
        <v>8.5</v>
      </c>
      <c r="AA224">
        <v>4</v>
      </c>
      <c r="AB224">
        <v>25</v>
      </c>
      <c r="AC224" s="17">
        <f>15/60</f>
        <v>0.25</v>
      </c>
      <c r="AD224">
        <v>0.25</v>
      </c>
      <c r="AE224">
        <v>10</v>
      </c>
      <c r="AF224" s="11">
        <v>2.2499999999999964E-2</v>
      </c>
    </row>
    <row r="225" spans="1:32" x14ac:dyDescent="0.3">
      <c r="A225" t="s">
        <v>61</v>
      </c>
      <c r="B225" t="s">
        <v>14</v>
      </c>
      <c r="C225">
        <v>-1.3</v>
      </c>
      <c r="D225">
        <v>444.44</v>
      </c>
      <c r="E225">
        <v>3.5</v>
      </c>
      <c r="F225">
        <v>3.6</v>
      </c>
      <c r="G225">
        <v>1.35</v>
      </c>
      <c r="H225">
        <v>3.29</v>
      </c>
      <c r="I225">
        <v>3.0992000000000002</v>
      </c>
      <c r="J225">
        <v>182</v>
      </c>
      <c r="K225" t="s">
        <v>55</v>
      </c>
      <c r="L225" t="s">
        <v>51</v>
      </c>
      <c r="M225">
        <v>3</v>
      </c>
      <c r="N225">
        <v>24.972999999999999</v>
      </c>
      <c r="O225">
        <v>0</v>
      </c>
      <c r="P225">
        <v>1.39</v>
      </c>
      <c r="Q225" t="s">
        <v>52</v>
      </c>
      <c r="R225" t="s">
        <v>164</v>
      </c>
      <c r="S225" t="s">
        <v>164</v>
      </c>
      <c r="T225" t="s">
        <v>164</v>
      </c>
      <c r="U225" t="s">
        <v>164</v>
      </c>
      <c r="V225" s="7">
        <v>0.75575581345160314</v>
      </c>
      <c r="W225" t="s">
        <v>164</v>
      </c>
      <c r="X225" t="s">
        <v>164</v>
      </c>
      <c r="Y225" t="s">
        <v>164</v>
      </c>
      <c r="Z225">
        <v>8.5</v>
      </c>
      <c r="AA225">
        <v>4</v>
      </c>
      <c r="AB225">
        <v>25</v>
      </c>
      <c r="AC225" s="21">
        <f>25/60</f>
        <v>0.41666666666666669</v>
      </c>
      <c r="AD225">
        <v>0.25</v>
      </c>
      <c r="AE225">
        <v>10</v>
      </c>
      <c r="AF225" s="11">
        <v>2.5000000000000001E-2</v>
      </c>
    </row>
    <row r="226" spans="1:32" x14ac:dyDescent="0.3">
      <c r="A226" t="s">
        <v>61</v>
      </c>
      <c r="B226" t="s">
        <v>14</v>
      </c>
      <c r="C226">
        <v>-1.3</v>
      </c>
      <c r="D226">
        <v>444.44</v>
      </c>
      <c r="E226">
        <v>3.5</v>
      </c>
      <c r="F226">
        <v>3.6</v>
      </c>
      <c r="G226">
        <v>1.35</v>
      </c>
      <c r="H226">
        <v>3.29</v>
      </c>
      <c r="I226">
        <v>3.0992000000000002</v>
      </c>
      <c r="J226">
        <v>182</v>
      </c>
      <c r="K226" t="s">
        <v>55</v>
      </c>
      <c r="L226" t="s">
        <v>51</v>
      </c>
      <c r="M226">
        <v>3</v>
      </c>
      <c r="N226">
        <v>24.972999999999999</v>
      </c>
      <c r="O226">
        <v>0</v>
      </c>
      <c r="P226">
        <v>1.39</v>
      </c>
      <c r="Q226" t="s">
        <v>52</v>
      </c>
      <c r="R226" t="s">
        <v>164</v>
      </c>
      <c r="S226" t="s">
        <v>164</v>
      </c>
      <c r="T226" t="s">
        <v>164</v>
      </c>
      <c r="U226" t="s">
        <v>164</v>
      </c>
      <c r="V226" s="7">
        <v>0.75575581345160314</v>
      </c>
      <c r="W226" t="s">
        <v>164</v>
      </c>
      <c r="X226" t="s">
        <v>164</v>
      </c>
      <c r="Y226" t="s">
        <v>164</v>
      </c>
      <c r="Z226">
        <v>8.5</v>
      </c>
      <c r="AA226">
        <v>4</v>
      </c>
      <c r="AB226">
        <v>25</v>
      </c>
      <c r="AC226" s="21">
        <f>35/60</f>
        <v>0.58333333333333337</v>
      </c>
      <c r="AD226">
        <v>0.25</v>
      </c>
      <c r="AE226">
        <v>10</v>
      </c>
      <c r="AF226" s="11">
        <v>4.4999999999999929E-2</v>
      </c>
    </row>
    <row r="227" spans="1:32" x14ac:dyDescent="0.3">
      <c r="A227" t="s">
        <v>61</v>
      </c>
      <c r="B227" t="s">
        <v>14</v>
      </c>
      <c r="C227">
        <v>-1.3</v>
      </c>
      <c r="D227">
        <v>444.44</v>
      </c>
      <c r="E227">
        <v>3.5</v>
      </c>
      <c r="F227">
        <v>3.6</v>
      </c>
      <c r="G227">
        <v>1.35</v>
      </c>
      <c r="H227">
        <v>3.29</v>
      </c>
      <c r="I227">
        <v>3.0992000000000002</v>
      </c>
      <c r="J227">
        <v>182</v>
      </c>
      <c r="K227" t="s">
        <v>55</v>
      </c>
      <c r="L227" t="s">
        <v>51</v>
      </c>
      <c r="M227">
        <v>3</v>
      </c>
      <c r="N227">
        <v>24.972999999999999</v>
      </c>
      <c r="O227">
        <v>0</v>
      </c>
      <c r="P227">
        <v>1.39</v>
      </c>
      <c r="Q227" t="s">
        <v>52</v>
      </c>
      <c r="R227" t="s">
        <v>164</v>
      </c>
      <c r="S227" t="s">
        <v>164</v>
      </c>
      <c r="T227" t="s">
        <v>164</v>
      </c>
      <c r="U227" t="s">
        <v>164</v>
      </c>
      <c r="V227" s="7">
        <v>0.75575581345160314</v>
      </c>
      <c r="W227" t="s">
        <v>164</v>
      </c>
      <c r="X227" t="s">
        <v>164</v>
      </c>
      <c r="Y227" t="s">
        <v>164</v>
      </c>
      <c r="Z227">
        <v>8.5</v>
      </c>
      <c r="AA227">
        <v>4</v>
      </c>
      <c r="AB227">
        <v>25</v>
      </c>
      <c r="AC227" s="21">
        <f>50/60</f>
        <v>0.83333333333333337</v>
      </c>
      <c r="AD227">
        <v>0.25</v>
      </c>
      <c r="AE227">
        <v>10</v>
      </c>
      <c r="AF227" s="11">
        <v>4.7499999999999966E-2</v>
      </c>
    </row>
    <row r="228" spans="1:32" x14ac:dyDescent="0.3">
      <c r="A228" t="s">
        <v>61</v>
      </c>
      <c r="B228" t="s">
        <v>14</v>
      </c>
      <c r="C228">
        <v>-1.3</v>
      </c>
      <c r="D228">
        <v>444.44</v>
      </c>
      <c r="E228">
        <v>3.5</v>
      </c>
      <c r="F228">
        <v>3.6</v>
      </c>
      <c r="G228">
        <v>1.35</v>
      </c>
      <c r="H228">
        <v>3.29</v>
      </c>
      <c r="I228">
        <v>3.0992000000000002</v>
      </c>
      <c r="J228">
        <v>182</v>
      </c>
      <c r="K228" t="s">
        <v>55</v>
      </c>
      <c r="L228" t="s">
        <v>51</v>
      </c>
      <c r="M228">
        <v>3</v>
      </c>
      <c r="N228">
        <v>24.972999999999999</v>
      </c>
      <c r="O228">
        <v>0</v>
      </c>
      <c r="P228">
        <v>1.39</v>
      </c>
      <c r="Q228" t="s">
        <v>52</v>
      </c>
      <c r="R228" t="s">
        <v>164</v>
      </c>
      <c r="S228" t="s">
        <v>164</v>
      </c>
      <c r="T228" t="s">
        <v>164</v>
      </c>
      <c r="U228" t="s">
        <v>164</v>
      </c>
      <c r="V228" s="7">
        <v>0.75575581345160314</v>
      </c>
      <c r="W228" t="s">
        <v>164</v>
      </c>
      <c r="X228" t="s">
        <v>164</v>
      </c>
      <c r="Y228" t="s">
        <v>164</v>
      </c>
      <c r="Z228">
        <v>8.5</v>
      </c>
      <c r="AA228">
        <v>4</v>
      </c>
      <c r="AB228">
        <v>25</v>
      </c>
      <c r="AC228" s="17">
        <v>1</v>
      </c>
      <c r="AD228">
        <v>0.25</v>
      </c>
      <c r="AE228">
        <v>10</v>
      </c>
      <c r="AF228" s="11">
        <v>0.05</v>
      </c>
    </row>
    <row r="229" spans="1:32" x14ac:dyDescent="0.3">
      <c r="A229" t="s">
        <v>61</v>
      </c>
      <c r="B229" t="s">
        <v>14</v>
      </c>
      <c r="C229">
        <v>-1.3</v>
      </c>
      <c r="D229">
        <v>444.44</v>
      </c>
      <c r="E229">
        <v>3.5</v>
      </c>
      <c r="F229">
        <v>3.6</v>
      </c>
      <c r="G229">
        <v>1.35</v>
      </c>
      <c r="H229">
        <v>3.29</v>
      </c>
      <c r="I229">
        <v>3.0992000000000002</v>
      </c>
      <c r="J229">
        <v>182</v>
      </c>
      <c r="K229" t="s">
        <v>55</v>
      </c>
      <c r="L229" t="s">
        <v>51</v>
      </c>
      <c r="M229">
        <v>3</v>
      </c>
      <c r="N229">
        <v>24.972999999999999</v>
      </c>
      <c r="O229">
        <v>0</v>
      </c>
      <c r="P229">
        <v>1.39</v>
      </c>
      <c r="Q229" t="s">
        <v>52</v>
      </c>
      <c r="R229" t="s">
        <v>164</v>
      </c>
      <c r="S229" t="s">
        <v>164</v>
      </c>
      <c r="T229" t="s">
        <v>164</v>
      </c>
      <c r="U229" t="s">
        <v>164</v>
      </c>
      <c r="V229" s="7">
        <v>0.75575581345160314</v>
      </c>
      <c r="W229" t="s">
        <v>164</v>
      </c>
      <c r="X229" t="s">
        <v>164</v>
      </c>
      <c r="Y229" t="s">
        <v>164</v>
      </c>
      <c r="Z229">
        <v>8.5</v>
      </c>
      <c r="AA229">
        <v>4</v>
      </c>
      <c r="AB229">
        <v>25</v>
      </c>
      <c r="AC229" s="17">
        <f>75/60</f>
        <v>1.25</v>
      </c>
      <c r="AD229">
        <v>0.25</v>
      </c>
      <c r="AE229">
        <v>10</v>
      </c>
      <c r="AF229" s="11">
        <v>5.2500000000000033E-2</v>
      </c>
    </row>
    <row r="230" spans="1:32" x14ac:dyDescent="0.3">
      <c r="A230" t="s">
        <v>61</v>
      </c>
      <c r="B230" t="s">
        <v>14</v>
      </c>
      <c r="C230">
        <v>-1.3</v>
      </c>
      <c r="D230">
        <v>444.44</v>
      </c>
      <c r="E230">
        <v>3.5</v>
      </c>
      <c r="F230">
        <v>3.6</v>
      </c>
      <c r="G230">
        <v>1.35</v>
      </c>
      <c r="H230">
        <v>3.29</v>
      </c>
      <c r="I230">
        <v>3.0992000000000002</v>
      </c>
      <c r="J230">
        <v>182</v>
      </c>
      <c r="K230" t="s">
        <v>55</v>
      </c>
      <c r="L230" t="s">
        <v>51</v>
      </c>
      <c r="M230">
        <v>3</v>
      </c>
      <c r="N230">
        <v>24.972999999999999</v>
      </c>
      <c r="O230">
        <v>0</v>
      </c>
      <c r="P230">
        <v>1.39</v>
      </c>
      <c r="Q230" t="s">
        <v>52</v>
      </c>
      <c r="R230" t="s">
        <v>164</v>
      </c>
      <c r="S230" t="s">
        <v>164</v>
      </c>
      <c r="T230" t="s">
        <v>164</v>
      </c>
      <c r="U230" t="s">
        <v>164</v>
      </c>
      <c r="V230" s="7">
        <v>0.75575581345160314</v>
      </c>
      <c r="W230" t="s">
        <v>164</v>
      </c>
      <c r="X230" t="s">
        <v>164</v>
      </c>
      <c r="Y230" t="s">
        <v>164</v>
      </c>
      <c r="Z230">
        <v>8.5</v>
      </c>
      <c r="AA230">
        <v>4</v>
      </c>
      <c r="AB230">
        <v>25</v>
      </c>
      <c r="AC230" s="17">
        <f>90/60</f>
        <v>1.5</v>
      </c>
      <c r="AD230">
        <v>0.25</v>
      </c>
      <c r="AE230">
        <v>10</v>
      </c>
      <c r="AF230" s="11">
        <v>5.500000000000007E-2</v>
      </c>
    </row>
    <row r="231" spans="1:32" x14ac:dyDescent="0.3">
      <c r="A231" t="s">
        <v>61</v>
      </c>
      <c r="B231" t="s">
        <v>14</v>
      </c>
      <c r="C231">
        <v>-1.3</v>
      </c>
      <c r="D231">
        <v>444.44</v>
      </c>
      <c r="E231">
        <v>3.5</v>
      </c>
      <c r="F231">
        <v>3.6</v>
      </c>
      <c r="G231">
        <v>1.35</v>
      </c>
      <c r="H231">
        <v>3.29</v>
      </c>
      <c r="I231">
        <v>3.0992000000000002</v>
      </c>
      <c r="J231">
        <v>182</v>
      </c>
      <c r="K231" t="s">
        <v>55</v>
      </c>
      <c r="L231" t="s">
        <v>51</v>
      </c>
      <c r="M231">
        <v>3</v>
      </c>
      <c r="N231">
        <v>24.972999999999999</v>
      </c>
      <c r="O231">
        <v>0</v>
      </c>
      <c r="P231">
        <v>1.39</v>
      </c>
      <c r="Q231" t="s">
        <v>52</v>
      </c>
      <c r="R231" t="s">
        <v>164</v>
      </c>
      <c r="S231" t="s">
        <v>164</v>
      </c>
      <c r="T231" t="s">
        <v>164</v>
      </c>
      <c r="U231" t="s">
        <v>164</v>
      </c>
      <c r="V231" s="7">
        <v>0.75575581345160314</v>
      </c>
      <c r="W231" t="s">
        <v>164</v>
      </c>
      <c r="X231" t="s">
        <v>164</v>
      </c>
      <c r="Y231" t="s">
        <v>164</v>
      </c>
      <c r="Z231">
        <v>8.5</v>
      </c>
      <c r="AA231">
        <v>4</v>
      </c>
      <c r="AB231">
        <v>25</v>
      </c>
      <c r="AC231" s="21">
        <f>110/60</f>
        <v>1.8333333333333333</v>
      </c>
      <c r="AD231">
        <v>0.25</v>
      </c>
      <c r="AE231">
        <v>10</v>
      </c>
      <c r="AF231" s="11">
        <v>5.5499999999999973E-2</v>
      </c>
    </row>
    <row r="232" spans="1:32" x14ac:dyDescent="0.3">
      <c r="A232" t="s">
        <v>61</v>
      </c>
      <c r="B232" t="s">
        <v>14</v>
      </c>
      <c r="C232">
        <v>-1.3</v>
      </c>
      <c r="D232">
        <v>444.44</v>
      </c>
      <c r="E232">
        <v>3.5</v>
      </c>
      <c r="F232">
        <v>3.6</v>
      </c>
      <c r="G232">
        <v>1.35</v>
      </c>
      <c r="H232">
        <v>3.29</v>
      </c>
      <c r="I232">
        <v>3.0992000000000002</v>
      </c>
      <c r="J232">
        <v>182</v>
      </c>
      <c r="K232" t="s">
        <v>55</v>
      </c>
      <c r="L232" t="s">
        <v>51</v>
      </c>
      <c r="M232">
        <v>3</v>
      </c>
      <c r="N232">
        <v>24.972999999999999</v>
      </c>
      <c r="O232">
        <v>0</v>
      </c>
      <c r="P232">
        <v>1.39</v>
      </c>
      <c r="Q232" t="s">
        <v>52</v>
      </c>
      <c r="R232" t="s">
        <v>164</v>
      </c>
      <c r="S232" t="s">
        <v>164</v>
      </c>
      <c r="T232" t="s">
        <v>164</v>
      </c>
      <c r="U232" t="s">
        <v>164</v>
      </c>
      <c r="V232" s="7">
        <v>0.75575581345160314</v>
      </c>
      <c r="W232" t="s">
        <v>164</v>
      </c>
      <c r="X232" t="s">
        <v>164</v>
      </c>
      <c r="Y232" t="s">
        <v>164</v>
      </c>
      <c r="Z232">
        <v>8.5</v>
      </c>
      <c r="AA232">
        <v>4</v>
      </c>
      <c r="AB232">
        <v>25</v>
      </c>
      <c r="AC232" s="17">
        <f>120/60</f>
        <v>2</v>
      </c>
      <c r="AD232">
        <v>0.25</v>
      </c>
      <c r="AE232">
        <v>10</v>
      </c>
      <c r="AF232" s="11">
        <v>5.6250000000000001E-2</v>
      </c>
    </row>
    <row r="233" spans="1:32" x14ac:dyDescent="0.3">
      <c r="A233" t="s">
        <v>61</v>
      </c>
      <c r="B233" t="s">
        <v>14</v>
      </c>
      <c r="C233">
        <v>-1.3</v>
      </c>
      <c r="D233">
        <v>444.44</v>
      </c>
      <c r="E233">
        <v>3.5</v>
      </c>
      <c r="F233">
        <v>3.6</v>
      </c>
      <c r="G233">
        <v>1.35</v>
      </c>
      <c r="H233">
        <v>3.29</v>
      </c>
      <c r="I233">
        <v>3.0992000000000002</v>
      </c>
      <c r="J233">
        <v>182</v>
      </c>
      <c r="K233" t="s">
        <v>55</v>
      </c>
      <c r="L233" t="s">
        <v>51</v>
      </c>
      <c r="M233">
        <v>3</v>
      </c>
      <c r="N233">
        <v>24.972999999999999</v>
      </c>
      <c r="O233">
        <v>0</v>
      </c>
      <c r="P233">
        <v>1.39</v>
      </c>
      <c r="Q233" t="s">
        <v>52</v>
      </c>
      <c r="R233" t="s">
        <v>164</v>
      </c>
      <c r="S233" t="s">
        <v>164</v>
      </c>
      <c r="T233" t="s">
        <v>164</v>
      </c>
      <c r="U233" t="s">
        <v>164</v>
      </c>
      <c r="V233" s="7">
        <v>0.75575581345160314</v>
      </c>
      <c r="W233" t="s">
        <v>164</v>
      </c>
      <c r="X233" t="s">
        <v>164</v>
      </c>
      <c r="Y233" t="s">
        <v>164</v>
      </c>
      <c r="Z233">
        <v>8.5</v>
      </c>
      <c r="AA233">
        <v>4</v>
      </c>
      <c r="AB233">
        <v>25</v>
      </c>
      <c r="AC233" s="17">
        <f>150/60</f>
        <v>2.5</v>
      </c>
      <c r="AD233">
        <v>0.25</v>
      </c>
      <c r="AE233">
        <v>10</v>
      </c>
      <c r="AF233" s="11">
        <v>5.6250000000000001E-2</v>
      </c>
    </row>
    <row r="234" spans="1:32" x14ac:dyDescent="0.3">
      <c r="A234" t="s">
        <v>61</v>
      </c>
      <c r="B234" t="s">
        <v>14</v>
      </c>
      <c r="C234">
        <v>-1.3</v>
      </c>
      <c r="D234">
        <v>444.44</v>
      </c>
      <c r="E234">
        <v>3.5</v>
      </c>
      <c r="F234">
        <v>3.6</v>
      </c>
      <c r="G234">
        <v>1.35</v>
      </c>
      <c r="H234">
        <v>3.29</v>
      </c>
      <c r="I234">
        <v>3.0992000000000002</v>
      </c>
      <c r="J234">
        <v>182</v>
      </c>
      <c r="K234" t="s">
        <v>55</v>
      </c>
      <c r="L234" t="s">
        <v>51</v>
      </c>
      <c r="M234">
        <v>3</v>
      </c>
      <c r="N234">
        <v>24.972999999999999</v>
      </c>
      <c r="O234">
        <v>0</v>
      </c>
      <c r="P234">
        <v>1.39</v>
      </c>
      <c r="Q234" t="s">
        <v>52</v>
      </c>
      <c r="R234" t="s">
        <v>164</v>
      </c>
      <c r="S234" t="s">
        <v>164</v>
      </c>
      <c r="T234" t="s">
        <v>164</v>
      </c>
      <c r="U234" t="s">
        <v>164</v>
      </c>
      <c r="V234" s="7">
        <v>0.75575581345160314</v>
      </c>
      <c r="W234" t="s">
        <v>164</v>
      </c>
      <c r="X234" t="s">
        <v>164</v>
      </c>
      <c r="Y234" t="s">
        <v>164</v>
      </c>
      <c r="Z234">
        <v>8.5</v>
      </c>
      <c r="AA234">
        <v>4</v>
      </c>
      <c r="AB234">
        <v>25</v>
      </c>
      <c r="AC234" s="17">
        <v>3</v>
      </c>
      <c r="AD234">
        <v>0.25</v>
      </c>
      <c r="AE234">
        <v>10</v>
      </c>
      <c r="AF234" s="11">
        <v>5.6250000000000001E-2</v>
      </c>
    </row>
    <row r="235" spans="1:32" x14ac:dyDescent="0.3">
      <c r="A235" t="s">
        <v>61</v>
      </c>
      <c r="B235" t="s">
        <v>14</v>
      </c>
      <c r="C235">
        <v>-1.3</v>
      </c>
      <c r="D235">
        <v>444.44</v>
      </c>
      <c r="E235">
        <v>3.5</v>
      </c>
      <c r="F235">
        <v>3.6</v>
      </c>
      <c r="G235">
        <v>1.35</v>
      </c>
      <c r="H235">
        <v>3.29</v>
      </c>
      <c r="I235">
        <v>3.0992000000000002</v>
      </c>
      <c r="J235">
        <v>182</v>
      </c>
      <c r="K235" t="s">
        <v>55</v>
      </c>
      <c r="L235" t="s">
        <v>51</v>
      </c>
      <c r="M235">
        <v>3</v>
      </c>
      <c r="N235">
        <v>24.972999999999999</v>
      </c>
      <c r="O235">
        <v>0</v>
      </c>
      <c r="P235">
        <v>1.39</v>
      </c>
      <c r="Q235" t="s">
        <v>52</v>
      </c>
      <c r="R235" t="s">
        <v>164</v>
      </c>
      <c r="S235" t="s">
        <v>164</v>
      </c>
      <c r="T235" t="s">
        <v>164</v>
      </c>
      <c r="U235" t="s">
        <v>164</v>
      </c>
      <c r="V235" s="7">
        <v>0.75575581345160314</v>
      </c>
      <c r="W235" t="s">
        <v>164</v>
      </c>
      <c r="X235" t="s">
        <v>164</v>
      </c>
      <c r="Y235" t="s">
        <v>164</v>
      </c>
      <c r="Z235">
        <v>8.5</v>
      </c>
      <c r="AA235">
        <v>4</v>
      </c>
      <c r="AB235">
        <v>25</v>
      </c>
      <c r="AC235" s="17">
        <f>240/60</f>
        <v>4</v>
      </c>
      <c r="AD235">
        <v>0.25</v>
      </c>
      <c r="AE235">
        <v>10</v>
      </c>
      <c r="AF235" s="11">
        <v>5.6250000000000001E-2</v>
      </c>
    </row>
    <row r="236" spans="1:32" x14ac:dyDescent="0.3">
      <c r="A236" t="s">
        <v>61</v>
      </c>
      <c r="B236" t="s">
        <v>14</v>
      </c>
      <c r="C236">
        <v>-1.3</v>
      </c>
      <c r="D236">
        <v>444.44</v>
      </c>
      <c r="E236">
        <v>3.5</v>
      </c>
      <c r="F236">
        <v>3.6</v>
      </c>
      <c r="G236">
        <v>1.35</v>
      </c>
      <c r="H236">
        <v>3.29</v>
      </c>
      <c r="I236">
        <v>3.0992000000000002</v>
      </c>
      <c r="J236">
        <v>182</v>
      </c>
      <c r="K236" t="s">
        <v>55</v>
      </c>
      <c r="L236" t="s">
        <v>51</v>
      </c>
      <c r="M236">
        <v>3</v>
      </c>
      <c r="N236">
        <v>24.972999999999999</v>
      </c>
      <c r="O236">
        <v>0</v>
      </c>
      <c r="P236">
        <v>1.39</v>
      </c>
      <c r="Q236" t="s">
        <v>52</v>
      </c>
      <c r="R236" t="s">
        <v>164</v>
      </c>
      <c r="S236" t="s">
        <v>164</v>
      </c>
      <c r="T236" t="s">
        <v>164</v>
      </c>
      <c r="U236" t="s">
        <v>164</v>
      </c>
      <c r="V236" s="7">
        <v>0.75575581345160314</v>
      </c>
      <c r="W236" t="s">
        <v>164</v>
      </c>
      <c r="X236" t="s">
        <v>164</v>
      </c>
      <c r="Y236" t="s">
        <v>164</v>
      </c>
      <c r="Z236">
        <v>8.5</v>
      </c>
      <c r="AA236">
        <v>4</v>
      </c>
      <c r="AB236">
        <v>25</v>
      </c>
      <c r="AC236" s="21">
        <f>5/60</f>
        <v>8.3333333333333329E-2</v>
      </c>
      <c r="AD236">
        <v>0.25</v>
      </c>
      <c r="AE236">
        <v>50</v>
      </c>
      <c r="AF236" s="11">
        <v>2.5000000000000001E-3</v>
      </c>
    </row>
    <row r="237" spans="1:32" x14ac:dyDescent="0.3">
      <c r="A237" t="s">
        <v>61</v>
      </c>
      <c r="B237" t="s">
        <v>14</v>
      </c>
      <c r="C237">
        <v>-1.3</v>
      </c>
      <c r="D237">
        <v>444.44</v>
      </c>
      <c r="E237">
        <v>3.5</v>
      </c>
      <c r="F237">
        <v>3.6</v>
      </c>
      <c r="G237">
        <v>1.35</v>
      </c>
      <c r="H237">
        <v>3.29</v>
      </c>
      <c r="I237">
        <v>3.0992000000000002</v>
      </c>
      <c r="J237">
        <v>182</v>
      </c>
      <c r="K237" t="s">
        <v>55</v>
      </c>
      <c r="L237" t="s">
        <v>51</v>
      </c>
      <c r="M237">
        <v>3</v>
      </c>
      <c r="N237">
        <v>24.972999999999999</v>
      </c>
      <c r="O237">
        <v>0</v>
      </c>
      <c r="P237">
        <v>1.39</v>
      </c>
      <c r="Q237" t="s">
        <v>52</v>
      </c>
      <c r="R237" t="s">
        <v>164</v>
      </c>
      <c r="S237" t="s">
        <v>164</v>
      </c>
      <c r="T237" t="s">
        <v>164</v>
      </c>
      <c r="U237" t="s">
        <v>164</v>
      </c>
      <c r="V237" s="7">
        <v>0.75575581345160314</v>
      </c>
      <c r="W237" t="s">
        <v>164</v>
      </c>
      <c r="X237" t="s">
        <v>164</v>
      </c>
      <c r="Y237" t="s">
        <v>164</v>
      </c>
      <c r="Z237">
        <v>8.5</v>
      </c>
      <c r="AA237">
        <v>4</v>
      </c>
      <c r="AB237">
        <v>25</v>
      </c>
      <c r="AC237" s="21">
        <f>10/60</f>
        <v>0.16666666666666666</v>
      </c>
      <c r="AD237">
        <v>0.25</v>
      </c>
      <c r="AE237">
        <v>50</v>
      </c>
      <c r="AF237" s="11">
        <v>5.0000000000000001E-3</v>
      </c>
    </row>
    <row r="238" spans="1:32" x14ac:dyDescent="0.3">
      <c r="A238" t="s">
        <v>61</v>
      </c>
      <c r="B238" t="s">
        <v>14</v>
      </c>
      <c r="C238">
        <v>-1.3</v>
      </c>
      <c r="D238">
        <v>444.44</v>
      </c>
      <c r="E238">
        <v>3.5</v>
      </c>
      <c r="F238">
        <v>3.6</v>
      </c>
      <c r="G238">
        <v>1.35</v>
      </c>
      <c r="H238">
        <v>3.29</v>
      </c>
      <c r="I238">
        <v>3.0992000000000002</v>
      </c>
      <c r="J238">
        <v>182</v>
      </c>
      <c r="K238" t="s">
        <v>55</v>
      </c>
      <c r="L238" t="s">
        <v>51</v>
      </c>
      <c r="M238">
        <v>3</v>
      </c>
      <c r="N238">
        <v>24.972999999999999</v>
      </c>
      <c r="O238">
        <v>0</v>
      </c>
      <c r="P238">
        <v>1.39</v>
      </c>
      <c r="Q238" t="s">
        <v>52</v>
      </c>
      <c r="R238" t="s">
        <v>164</v>
      </c>
      <c r="S238" t="s">
        <v>164</v>
      </c>
      <c r="T238" t="s">
        <v>164</v>
      </c>
      <c r="U238" t="s">
        <v>164</v>
      </c>
      <c r="V238" s="7">
        <v>0.75575581345160314</v>
      </c>
      <c r="W238" t="s">
        <v>164</v>
      </c>
      <c r="X238" t="s">
        <v>164</v>
      </c>
      <c r="Y238" t="s">
        <v>164</v>
      </c>
      <c r="Z238">
        <v>8.5</v>
      </c>
      <c r="AA238">
        <v>4</v>
      </c>
      <c r="AB238">
        <v>25</v>
      </c>
      <c r="AC238" s="17">
        <f>15/60</f>
        <v>0.25</v>
      </c>
      <c r="AD238">
        <v>0.25</v>
      </c>
      <c r="AE238">
        <v>50</v>
      </c>
      <c r="AF238" s="11">
        <v>7.4999999999999997E-3</v>
      </c>
    </row>
    <row r="239" spans="1:32" x14ac:dyDescent="0.3">
      <c r="A239" t="s">
        <v>61</v>
      </c>
      <c r="B239" t="s">
        <v>14</v>
      </c>
      <c r="C239">
        <v>-1.3</v>
      </c>
      <c r="D239">
        <v>444.44</v>
      </c>
      <c r="E239">
        <v>3.5</v>
      </c>
      <c r="F239">
        <v>3.6</v>
      </c>
      <c r="G239">
        <v>1.35</v>
      </c>
      <c r="H239">
        <v>3.29</v>
      </c>
      <c r="I239">
        <v>3.0992000000000002</v>
      </c>
      <c r="J239">
        <v>182</v>
      </c>
      <c r="K239" t="s">
        <v>55</v>
      </c>
      <c r="L239" t="s">
        <v>51</v>
      </c>
      <c r="M239">
        <v>3</v>
      </c>
      <c r="N239">
        <v>24.972999999999999</v>
      </c>
      <c r="O239">
        <v>0</v>
      </c>
      <c r="P239">
        <v>1.39</v>
      </c>
      <c r="Q239" t="s">
        <v>52</v>
      </c>
      <c r="R239" t="s">
        <v>164</v>
      </c>
      <c r="S239" t="s">
        <v>164</v>
      </c>
      <c r="T239" t="s">
        <v>164</v>
      </c>
      <c r="U239" t="s">
        <v>164</v>
      </c>
      <c r="V239" s="7">
        <v>0.75575581345160314</v>
      </c>
      <c r="W239" t="s">
        <v>164</v>
      </c>
      <c r="X239" t="s">
        <v>164</v>
      </c>
      <c r="Y239" t="s">
        <v>164</v>
      </c>
      <c r="Z239">
        <v>8.5</v>
      </c>
      <c r="AA239">
        <v>4</v>
      </c>
      <c r="AB239">
        <v>25</v>
      </c>
      <c r="AC239" s="21">
        <f>25/60</f>
        <v>0.41666666666666669</v>
      </c>
      <c r="AD239">
        <v>0.25</v>
      </c>
      <c r="AE239">
        <v>50</v>
      </c>
      <c r="AF239" s="11">
        <v>9.0000000000000566E-3</v>
      </c>
    </row>
    <row r="240" spans="1:32" x14ac:dyDescent="0.3">
      <c r="A240" t="s">
        <v>61</v>
      </c>
      <c r="B240" t="s">
        <v>14</v>
      </c>
      <c r="C240">
        <v>-1.3</v>
      </c>
      <c r="D240">
        <v>444.44</v>
      </c>
      <c r="E240">
        <v>3.5</v>
      </c>
      <c r="F240">
        <v>3.6</v>
      </c>
      <c r="G240">
        <v>1.35</v>
      </c>
      <c r="H240">
        <v>3.29</v>
      </c>
      <c r="I240">
        <v>3.0992000000000002</v>
      </c>
      <c r="J240">
        <v>182</v>
      </c>
      <c r="K240" t="s">
        <v>55</v>
      </c>
      <c r="L240" t="s">
        <v>51</v>
      </c>
      <c r="M240">
        <v>3</v>
      </c>
      <c r="N240">
        <v>24.972999999999999</v>
      </c>
      <c r="O240">
        <v>0</v>
      </c>
      <c r="P240">
        <v>1.39</v>
      </c>
      <c r="Q240" t="s">
        <v>52</v>
      </c>
      <c r="R240" t="s">
        <v>164</v>
      </c>
      <c r="S240" t="s">
        <v>164</v>
      </c>
      <c r="T240" t="s">
        <v>164</v>
      </c>
      <c r="U240" t="s">
        <v>164</v>
      </c>
      <c r="V240" s="7">
        <v>0.75575581345160314</v>
      </c>
      <c r="W240" t="s">
        <v>164</v>
      </c>
      <c r="X240" t="s">
        <v>164</v>
      </c>
      <c r="Y240" t="s">
        <v>164</v>
      </c>
      <c r="Z240">
        <v>8.5</v>
      </c>
      <c r="AA240">
        <v>4</v>
      </c>
      <c r="AB240">
        <v>25</v>
      </c>
      <c r="AC240" s="21">
        <f>35/60</f>
        <v>0.58333333333333337</v>
      </c>
      <c r="AD240">
        <v>0.25</v>
      </c>
      <c r="AE240">
        <v>50</v>
      </c>
      <c r="AF240" s="11">
        <v>1.2500000000000001E-2</v>
      </c>
    </row>
    <row r="241" spans="1:32" x14ac:dyDescent="0.3">
      <c r="A241" t="s">
        <v>61</v>
      </c>
      <c r="B241" t="s">
        <v>14</v>
      </c>
      <c r="C241">
        <v>-1.3</v>
      </c>
      <c r="D241">
        <v>444.44</v>
      </c>
      <c r="E241">
        <v>3.5</v>
      </c>
      <c r="F241">
        <v>3.6</v>
      </c>
      <c r="G241">
        <v>1.35</v>
      </c>
      <c r="H241">
        <v>3.29</v>
      </c>
      <c r="I241">
        <v>3.0992000000000002</v>
      </c>
      <c r="J241">
        <v>182</v>
      </c>
      <c r="K241" t="s">
        <v>55</v>
      </c>
      <c r="L241" t="s">
        <v>51</v>
      </c>
      <c r="M241">
        <v>3</v>
      </c>
      <c r="N241">
        <v>24.972999999999999</v>
      </c>
      <c r="O241">
        <v>0</v>
      </c>
      <c r="P241">
        <v>1.39</v>
      </c>
      <c r="Q241" t="s">
        <v>52</v>
      </c>
      <c r="R241" t="s">
        <v>164</v>
      </c>
      <c r="S241" t="s">
        <v>164</v>
      </c>
      <c r="T241" t="s">
        <v>164</v>
      </c>
      <c r="U241" t="s">
        <v>164</v>
      </c>
      <c r="V241" s="7">
        <v>0.75575581345160314</v>
      </c>
      <c r="W241" t="s">
        <v>164</v>
      </c>
      <c r="X241" t="s">
        <v>164</v>
      </c>
      <c r="Y241" t="s">
        <v>164</v>
      </c>
      <c r="Z241">
        <v>8.5</v>
      </c>
      <c r="AA241">
        <v>4</v>
      </c>
      <c r="AB241">
        <v>25</v>
      </c>
      <c r="AC241" s="21">
        <f>50/60</f>
        <v>0.83333333333333337</v>
      </c>
      <c r="AD241">
        <v>0.25</v>
      </c>
      <c r="AE241">
        <v>50</v>
      </c>
      <c r="AF241" s="11">
        <v>1.5999999999999945E-2</v>
      </c>
    </row>
    <row r="242" spans="1:32" x14ac:dyDescent="0.3">
      <c r="A242" t="s">
        <v>61</v>
      </c>
      <c r="B242" t="s">
        <v>14</v>
      </c>
      <c r="C242">
        <v>-1.3</v>
      </c>
      <c r="D242">
        <v>444.44</v>
      </c>
      <c r="E242">
        <v>3.5</v>
      </c>
      <c r="F242">
        <v>3.6</v>
      </c>
      <c r="G242">
        <v>1.35</v>
      </c>
      <c r="H242">
        <v>3.29</v>
      </c>
      <c r="I242">
        <v>3.0992000000000002</v>
      </c>
      <c r="J242">
        <v>182</v>
      </c>
      <c r="K242" t="s">
        <v>55</v>
      </c>
      <c r="L242" t="s">
        <v>51</v>
      </c>
      <c r="M242">
        <v>3</v>
      </c>
      <c r="N242">
        <v>24.972999999999999</v>
      </c>
      <c r="O242">
        <v>0</v>
      </c>
      <c r="P242">
        <v>1.39</v>
      </c>
      <c r="Q242" t="s">
        <v>52</v>
      </c>
      <c r="R242" t="s">
        <v>164</v>
      </c>
      <c r="S242" t="s">
        <v>164</v>
      </c>
      <c r="T242" t="s">
        <v>164</v>
      </c>
      <c r="U242" t="s">
        <v>164</v>
      </c>
      <c r="V242" s="7">
        <v>0.75575581345160314</v>
      </c>
      <c r="W242" t="s">
        <v>164</v>
      </c>
      <c r="X242" t="s">
        <v>164</v>
      </c>
      <c r="Y242" t="s">
        <v>164</v>
      </c>
      <c r="Z242">
        <v>8.5</v>
      </c>
      <c r="AA242">
        <v>4</v>
      </c>
      <c r="AB242">
        <v>25</v>
      </c>
      <c r="AC242" s="17">
        <v>1</v>
      </c>
      <c r="AD242">
        <v>0.25</v>
      </c>
      <c r="AE242">
        <v>50</v>
      </c>
      <c r="AF242" s="11">
        <v>0.02</v>
      </c>
    </row>
    <row r="243" spans="1:32" x14ac:dyDescent="0.3">
      <c r="A243" t="s">
        <v>61</v>
      </c>
      <c r="B243" t="s">
        <v>14</v>
      </c>
      <c r="C243">
        <v>-1.3</v>
      </c>
      <c r="D243">
        <v>444.44</v>
      </c>
      <c r="E243">
        <v>3.5</v>
      </c>
      <c r="F243">
        <v>3.6</v>
      </c>
      <c r="G243">
        <v>1.35</v>
      </c>
      <c r="H243">
        <v>3.29</v>
      </c>
      <c r="I243">
        <v>3.0992000000000002</v>
      </c>
      <c r="J243">
        <v>182</v>
      </c>
      <c r="K243" t="s">
        <v>55</v>
      </c>
      <c r="L243" t="s">
        <v>51</v>
      </c>
      <c r="M243">
        <v>3</v>
      </c>
      <c r="N243">
        <v>24.972999999999999</v>
      </c>
      <c r="O243">
        <v>0</v>
      </c>
      <c r="P243">
        <v>1.39</v>
      </c>
      <c r="Q243" t="s">
        <v>52</v>
      </c>
      <c r="R243" t="s">
        <v>164</v>
      </c>
      <c r="S243" t="s">
        <v>164</v>
      </c>
      <c r="T243" t="s">
        <v>164</v>
      </c>
      <c r="U243" t="s">
        <v>164</v>
      </c>
      <c r="V243" s="7">
        <v>0.75575581345160314</v>
      </c>
      <c r="W243" t="s">
        <v>164</v>
      </c>
      <c r="X243" t="s">
        <v>164</v>
      </c>
      <c r="Y243" t="s">
        <v>164</v>
      </c>
      <c r="Z243">
        <v>8.5</v>
      </c>
      <c r="AA243">
        <v>4</v>
      </c>
      <c r="AB243">
        <v>25</v>
      </c>
      <c r="AC243" s="17">
        <f>75/60</f>
        <v>1.25</v>
      </c>
      <c r="AD243">
        <v>0.25</v>
      </c>
      <c r="AE243">
        <v>50</v>
      </c>
      <c r="AF243" s="11">
        <v>2.4500000000000029E-2</v>
      </c>
    </row>
    <row r="244" spans="1:32" x14ac:dyDescent="0.3">
      <c r="A244" t="s">
        <v>61</v>
      </c>
      <c r="B244" t="s">
        <v>14</v>
      </c>
      <c r="C244">
        <v>-1.3</v>
      </c>
      <c r="D244">
        <v>444.44</v>
      </c>
      <c r="E244">
        <v>3.5</v>
      </c>
      <c r="F244">
        <v>3.6</v>
      </c>
      <c r="G244">
        <v>1.35</v>
      </c>
      <c r="H244">
        <v>3.29</v>
      </c>
      <c r="I244">
        <v>3.0992000000000002</v>
      </c>
      <c r="J244">
        <v>182</v>
      </c>
      <c r="K244" t="s">
        <v>55</v>
      </c>
      <c r="L244" t="s">
        <v>51</v>
      </c>
      <c r="M244">
        <v>3</v>
      </c>
      <c r="N244">
        <v>24.972999999999999</v>
      </c>
      <c r="O244">
        <v>0</v>
      </c>
      <c r="P244">
        <v>1.39</v>
      </c>
      <c r="Q244" t="s">
        <v>52</v>
      </c>
      <c r="R244" t="s">
        <v>164</v>
      </c>
      <c r="S244" t="s">
        <v>164</v>
      </c>
      <c r="T244" t="s">
        <v>164</v>
      </c>
      <c r="U244" t="s">
        <v>164</v>
      </c>
      <c r="V244" s="7">
        <v>0.75575581345160314</v>
      </c>
      <c r="W244" t="s">
        <v>164</v>
      </c>
      <c r="X244" t="s">
        <v>164</v>
      </c>
      <c r="Y244" t="s">
        <v>164</v>
      </c>
      <c r="Z244">
        <v>8.5</v>
      </c>
      <c r="AA244">
        <v>4</v>
      </c>
      <c r="AB244">
        <v>25</v>
      </c>
      <c r="AC244" s="17">
        <f>90/60</f>
        <v>1.5</v>
      </c>
      <c r="AD244">
        <v>0.25</v>
      </c>
      <c r="AE244">
        <v>50</v>
      </c>
      <c r="AF244" s="11">
        <v>2.9000000000000057E-2</v>
      </c>
    </row>
    <row r="245" spans="1:32" x14ac:dyDescent="0.3">
      <c r="A245" t="s">
        <v>61</v>
      </c>
      <c r="B245" t="s">
        <v>14</v>
      </c>
      <c r="C245">
        <v>-1.3</v>
      </c>
      <c r="D245">
        <v>444.44</v>
      </c>
      <c r="E245">
        <v>3.5</v>
      </c>
      <c r="F245">
        <v>3.6</v>
      </c>
      <c r="G245">
        <v>1.35</v>
      </c>
      <c r="H245">
        <v>3.29</v>
      </c>
      <c r="I245">
        <v>3.0992000000000002</v>
      </c>
      <c r="J245">
        <v>182</v>
      </c>
      <c r="K245" t="s">
        <v>55</v>
      </c>
      <c r="L245" t="s">
        <v>51</v>
      </c>
      <c r="M245">
        <v>3</v>
      </c>
      <c r="N245">
        <v>24.972999999999999</v>
      </c>
      <c r="O245">
        <v>0</v>
      </c>
      <c r="P245">
        <v>1.39</v>
      </c>
      <c r="Q245" t="s">
        <v>52</v>
      </c>
      <c r="R245" t="s">
        <v>164</v>
      </c>
      <c r="S245" t="s">
        <v>164</v>
      </c>
      <c r="T245" t="s">
        <v>164</v>
      </c>
      <c r="U245" t="s">
        <v>164</v>
      </c>
      <c r="V245" s="7">
        <v>0.75575581345160314</v>
      </c>
      <c r="W245" t="s">
        <v>164</v>
      </c>
      <c r="X245" t="s">
        <v>164</v>
      </c>
      <c r="Y245" t="s">
        <v>164</v>
      </c>
      <c r="Z245">
        <v>8.5</v>
      </c>
      <c r="AA245">
        <v>4</v>
      </c>
      <c r="AB245">
        <v>25</v>
      </c>
      <c r="AC245" s="21">
        <f>110/60</f>
        <v>1.8333333333333333</v>
      </c>
      <c r="AD245">
        <v>0.25</v>
      </c>
      <c r="AE245">
        <v>50</v>
      </c>
      <c r="AF245" s="11">
        <v>3.5000000000000003E-2</v>
      </c>
    </row>
    <row r="246" spans="1:32" x14ac:dyDescent="0.3">
      <c r="A246" t="s">
        <v>61</v>
      </c>
      <c r="B246" t="s">
        <v>14</v>
      </c>
      <c r="C246">
        <v>-1.3</v>
      </c>
      <c r="D246">
        <v>444.44</v>
      </c>
      <c r="E246">
        <v>3.5</v>
      </c>
      <c r="F246">
        <v>3.6</v>
      </c>
      <c r="G246">
        <v>1.35</v>
      </c>
      <c r="H246">
        <v>3.29</v>
      </c>
      <c r="I246">
        <v>3.0992000000000002</v>
      </c>
      <c r="J246">
        <v>182</v>
      </c>
      <c r="K246" t="s">
        <v>55</v>
      </c>
      <c r="L246" t="s">
        <v>51</v>
      </c>
      <c r="M246">
        <v>3</v>
      </c>
      <c r="N246">
        <v>24.972999999999999</v>
      </c>
      <c r="O246">
        <v>0</v>
      </c>
      <c r="P246">
        <v>1.39</v>
      </c>
      <c r="Q246" t="s">
        <v>52</v>
      </c>
      <c r="R246" t="s">
        <v>164</v>
      </c>
      <c r="S246" t="s">
        <v>164</v>
      </c>
      <c r="T246" t="s">
        <v>164</v>
      </c>
      <c r="U246" t="s">
        <v>164</v>
      </c>
      <c r="V246" s="7">
        <v>0.75575581345160314</v>
      </c>
      <c r="W246" t="s">
        <v>164</v>
      </c>
      <c r="X246" t="s">
        <v>164</v>
      </c>
      <c r="Y246" t="s">
        <v>164</v>
      </c>
      <c r="Z246">
        <v>8.5</v>
      </c>
      <c r="AA246">
        <v>4</v>
      </c>
      <c r="AB246">
        <v>25</v>
      </c>
      <c r="AC246" s="17">
        <f>120/60</f>
        <v>2</v>
      </c>
      <c r="AD246">
        <v>0.25</v>
      </c>
      <c r="AE246">
        <v>50</v>
      </c>
      <c r="AF246" s="11">
        <v>0.04</v>
      </c>
    </row>
    <row r="247" spans="1:32" x14ac:dyDescent="0.3">
      <c r="A247" t="s">
        <v>61</v>
      </c>
      <c r="B247" t="s">
        <v>14</v>
      </c>
      <c r="C247">
        <v>-1.3</v>
      </c>
      <c r="D247">
        <v>444.44</v>
      </c>
      <c r="E247">
        <v>3.5</v>
      </c>
      <c r="F247">
        <v>3.6</v>
      </c>
      <c r="G247">
        <v>1.35</v>
      </c>
      <c r="H247">
        <v>3.29</v>
      </c>
      <c r="I247">
        <v>3.0992000000000002</v>
      </c>
      <c r="J247">
        <v>182</v>
      </c>
      <c r="K247" t="s">
        <v>55</v>
      </c>
      <c r="L247" t="s">
        <v>51</v>
      </c>
      <c r="M247">
        <v>3</v>
      </c>
      <c r="N247">
        <v>24.972999999999999</v>
      </c>
      <c r="O247">
        <v>0</v>
      </c>
      <c r="P247">
        <v>1.39</v>
      </c>
      <c r="Q247" t="s">
        <v>52</v>
      </c>
      <c r="R247" t="s">
        <v>164</v>
      </c>
      <c r="S247" t="s">
        <v>164</v>
      </c>
      <c r="T247" t="s">
        <v>164</v>
      </c>
      <c r="U247" t="s">
        <v>164</v>
      </c>
      <c r="V247" s="7">
        <v>0.75575581345160314</v>
      </c>
      <c r="W247" t="s">
        <v>164</v>
      </c>
      <c r="X247" t="s">
        <v>164</v>
      </c>
      <c r="Y247" t="s">
        <v>164</v>
      </c>
      <c r="Z247">
        <v>8.5</v>
      </c>
      <c r="AA247">
        <v>4</v>
      </c>
      <c r="AB247">
        <v>25</v>
      </c>
      <c r="AC247" s="17">
        <f>150/60</f>
        <v>2.5</v>
      </c>
      <c r="AD247">
        <v>0.25</v>
      </c>
      <c r="AE247">
        <v>50</v>
      </c>
      <c r="AF247" s="11">
        <v>4.4999999999999998E-2</v>
      </c>
    </row>
    <row r="248" spans="1:32" x14ac:dyDescent="0.3">
      <c r="A248" t="s">
        <v>61</v>
      </c>
      <c r="B248" t="s">
        <v>14</v>
      </c>
      <c r="C248">
        <v>-1.3</v>
      </c>
      <c r="D248">
        <v>444.44</v>
      </c>
      <c r="E248">
        <v>3.5</v>
      </c>
      <c r="F248">
        <v>3.6</v>
      </c>
      <c r="G248">
        <v>1.35</v>
      </c>
      <c r="H248">
        <v>3.29</v>
      </c>
      <c r="I248">
        <v>3.0992000000000002</v>
      </c>
      <c r="J248">
        <v>182</v>
      </c>
      <c r="K248" t="s">
        <v>55</v>
      </c>
      <c r="L248" t="s">
        <v>51</v>
      </c>
      <c r="M248">
        <v>3</v>
      </c>
      <c r="N248">
        <v>24.972999999999999</v>
      </c>
      <c r="O248">
        <v>0</v>
      </c>
      <c r="P248">
        <v>1.39</v>
      </c>
      <c r="Q248" t="s">
        <v>52</v>
      </c>
      <c r="R248" t="s">
        <v>164</v>
      </c>
      <c r="S248" t="s">
        <v>164</v>
      </c>
      <c r="T248" t="s">
        <v>164</v>
      </c>
      <c r="U248" t="s">
        <v>164</v>
      </c>
      <c r="V248" s="7">
        <v>0.75575581345160314</v>
      </c>
      <c r="W248" t="s">
        <v>164</v>
      </c>
      <c r="X248" t="s">
        <v>164</v>
      </c>
      <c r="Y248" t="s">
        <v>164</v>
      </c>
      <c r="Z248">
        <v>8.5</v>
      </c>
      <c r="AA248">
        <v>4</v>
      </c>
      <c r="AB248">
        <v>25</v>
      </c>
      <c r="AC248" s="17">
        <v>3</v>
      </c>
      <c r="AD248">
        <v>0.25</v>
      </c>
      <c r="AE248">
        <v>50</v>
      </c>
      <c r="AF248" s="11">
        <v>0.05</v>
      </c>
    </row>
    <row r="249" spans="1:32" x14ac:dyDescent="0.3">
      <c r="A249" t="s">
        <v>61</v>
      </c>
      <c r="B249" t="s">
        <v>14</v>
      </c>
      <c r="C249">
        <v>-1.3</v>
      </c>
      <c r="D249">
        <v>444.44</v>
      </c>
      <c r="E249">
        <v>3.5</v>
      </c>
      <c r="F249">
        <v>3.6</v>
      </c>
      <c r="G249">
        <v>1.35</v>
      </c>
      <c r="H249">
        <v>3.29</v>
      </c>
      <c r="I249">
        <v>3.0992000000000002</v>
      </c>
      <c r="J249">
        <v>182</v>
      </c>
      <c r="K249" t="s">
        <v>55</v>
      </c>
      <c r="L249" t="s">
        <v>51</v>
      </c>
      <c r="M249">
        <v>3</v>
      </c>
      <c r="N249">
        <v>24.972999999999999</v>
      </c>
      <c r="O249">
        <v>0</v>
      </c>
      <c r="P249">
        <v>1.39</v>
      </c>
      <c r="Q249" t="s">
        <v>52</v>
      </c>
      <c r="R249" t="s">
        <v>164</v>
      </c>
      <c r="S249" t="s">
        <v>164</v>
      </c>
      <c r="T249" t="s">
        <v>164</v>
      </c>
      <c r="U249" t="s">
        <v>164</v>
      </c>
      <c r="V249" s="7">
        <v>0.75575581345160314</v>
      </c>
      <c r="W249" t="s">
        <v>164</v>
      </c>
      <c r="X249" t="s">
        <v>164</v>
      </c>
      <c r="Y249" t="s">
        <v>164</v>
      </c>
      <c r="Z249">
        <v>8.5</v>
      </c>
      <c r="AA249">
        <v>4</v>
      </c>
      <c r="AB249">
        <v>25</v>
      </c>
      <c r="AC249" s="17">
        <f>240/60</f>
        <v>4</v>
      </c>
      <c r="AD249">
        <v>0.25</v>
      </c>
      <c r="AE249">
        <v>50</v>
      </c>
      <c r="AF249" s="11">
        <v>0.05</v>
      </c>
    </row>
    <row r="250" spans="1:32" x14ac:dyDescent="0.3">
      <c r="A250" t="s">
        <v>61</v>
      </c>
      <c r="B250" t="s">
        <v>14</v>
      </c>
      <c r="C250">
        <v>-1.3</v>
      </c>
      <c r="D250">
        <v>444.44</v>
      </c>
      <c r="E250">
        <v>3.5</v>
      </c>
      <c r="F250">
        <v>3.6</v>
      </c>
      <c r="G250">
        <v>1.35</v>
      </c>
      <c r="H250">
        <v>3.29</v>
      </c>
      <c r="I250">
        <v>3.0992000000000002</v>
      </c>
      <c r="J250">
        <v>182</v>
      </c>
      <c r="K250" t="s">
        <v>55</v>
      </c>
      <c r="L250" t="s">
        <v>46</v>
      </c>
      <c r="M250">
        <v>3</v>
      </c>
      <c r="N250">
        <v>32.189</v>
      </c>
      <c r="O250">
        <v>1.25</v>
      </c>
      <c r="P250">
        <v>1.44</v>
      </c>
      <c r="Q250" t="s">
        <v>52</v>
      </c>
      <c r="R250" t="s">
        <v>164</v>
      </c>
      <c r="S250" t="s">
        <v>164</v>
      </c>
      <c r="T250" t="s">
        <v>164</v>
      </c>
      <c r="U250" t="s">
        <v>164</v>
      </c>
      <c r="V250" s="7">
        <v>0.75575581345160314</v>
      </c>
      <c r="W250" t="s">
        <v>164</v>
      </c>
      <c r="X250" t="s">
        <v>164</v>
      </c>
      <c r="Y250" t="s">
        <v>164</v>
      </c>
      <c r="Z250">
        <v>10.1</v>
      </c>
      <c r="AA250">
        <v>4</v>
      </c>
      <c r="AB250">
        <v>25</v>
      </c>
      <c r="AC250" s="17">
        <v>3</v>
      </c>
      <c r="AD250">
        <v>0.05</v>
      </c>
      <c r="AE250">
        <v>10</v>
      </c>
      <c r="AF250" s="11">
        <v>0.05</v>
      </c>
    </row>
    <row r="251" spans="1:32" x14ac:dyDescent="0.3">
      <c r="A251" t="s">
        <v>61</v>
      </c>
      <c r="B251" t="s">
        <v>14</v>
      </c>
      <c r="C251">
        <v>-1.3</v>
      </c>
      <c r="D251">
        <v>444.44</v>
      </c>
      <c r="E251">
        <v>3.5</v>
      </c>
      <c r="F251">
        <v>3.6</v>
      </c>
      <c r="G251">
        <v>1.35</v>
      </c>
      <c r="H251">
        <v>3.29</v>
      </c>
      <c r="I251">
        <v>3.0992000000000002</v>
      </c>
      <c r="J251">
        <v>182</v>
      </c>
      <c r="K251" t="s">
        <v>55</v>
      </c>
      <c r="L251" t="s">
        <v>46</v>
      </c>
      <c r="M251">
        <v>3</v>
      </c>
      <c r="N251">
        <v>32.189</v>
      </c>
      <c r="O251">
        <v>1.25</v>
      </c>
      <c r="P251">
        <v>1.44</v>
      </c>
      <c r="Q251" t="s">
        <v>52</v>
      </c>
      <c r="R251" t="s">
        <v>164</v>
      </c>
      <c r="S251" t="s">
        <v>164</v>
      </c>
      <c r="T251" t="s">
        <v>164</v>
      </c>
      <c r="U251" t="s">
        <v>164</v>
      </c>
      <c r="V251" s="7">
        <v>0.76885408062146898</v>
      </c>
      <c r="W251" t="s">
        <v>164</v>
      </c>
      <c r="X251" t="s">
        <v>164</v>
      </c>
      <c r="Y251" t="s">
        <v>164</v>
      </c>
      <c r="Z251">
        <v>10.1</v>
      </c>
      <c r="AA251">
        <v>5</v>
      </c>
      <c r="AB251">
        <v>25</v>
      </c>
      <c r="AC251" s="17">
        <v>3</v>
      </c>
      <c r="AD251">
        <v>0.05</v>
      </c>
      <c r="AE251">
        <v>10</v>
      </c>
      <c r="AF251" s="11">
        <v>1.5000000000000036E-2</v>
      </c>
    </row>
    <row r="252" spans="1:32" x14ac:dyDescent="0.3">
      <c r="A252" t="s">
        <v>61</v>
      </c>
      <c r="B252" t="s">
        <v>14</v>
      </c>
      <c r="C252">
        <v>-1.3</v>
      </c>
      <c r="D252">
        <v>444.44</v>
      </c>
      <c r="E252">
        <v>3.5</v>
      </c>
      <c r="F252">
        <v>3.6</v>
      </c>
      <c r="G252">
        <v>1.35</v>
      </c>
      <c r="H252">
        <v>3.29</v>
      </c>
      <c r="I252">
        <v>3.0992000000000002</v>
      </c>
      <c r="J252">
        <v>182</v>
      </c>
      <c r="K252" t="s">
        <v>55</v>
      </c>
      <c r="L252" t="s">
        <v>46</v>
      </c>
      <c r="M252">
        <v>3</v>
      </c>
      <c r="N252">
        <v>32.189</v>
      </c>
      <c r="O252">
        <v>1.25</v>
      </c>
      <c r="P252">
        <v>1.44</v>
      </c>
      <c r="Q252" t="s">
        <v>52</v>
      </c>
      <c r="R252" t="s">
        <v>164</v>
      </c>
      <c r="S252" t="s">
        <v>164</v>
      </c>
      <c r="T252" t="s">
        <v>164</v>
      </c>
      <c r="U252" t="s">
        <v>164</v>
      </c>
      <c r="V252" s="7">
        <v>0.76885408062146898</v>
      </c>
      <c r="W252" t="s">
        <v>164</v>
      </c>
      <c r="X252" t="s">
        <v>164</v>
      </c>
      <c r="Y252" t="s">
        <v>164</v>
      </c>
      <c r="Z252">
        <v>10.1</v>
      </c>
      <c r="AA252">
        <v>6</v>
      </c>
      <c r="AB252">
        <v>25</v>
      </c>
      <c r="AC252" s="17">
        <v>3</v>
      </c>
      <c r="AD252">
        <v>0.05</v>
      </c>
      <c r="AE252">
        <v>10</v>
      </c>
      <c r="AF252" s="11">
        <v>3.4999999999999962E-2</v>
      </c>
    </row>
    <row r="253" spans="1:32" x14ac:dyDescent="0.3">
      <c r="A253" t="s">
        <v>61</v>
      </c>
      <c r="B253" t="s">
        <v>14</v>
      </c>
      <c r="C253">
        <v>-1.3</v>
      </c>
      <c r="D253">
        <v>444.44</v>
      </c>
      <c r="E253">
        <v>3.5</v>
      </c>
      <c r="F253">
        <v>3.6</v>
      </c>
      <c r="G253">
        <v>1.35</v>
      </c>
      <c r="H253">
        <v>3.29</v>
      </c>
      <c r="I253">
        <v>3.0992000000000002</v>
      </c>
      <c r="J253">
        <v>182</v>
      </c>
      <c r="K253" t="s">
        <v>55</v>
      </c>
      <c r="L253" t="s">
        <v>46</v>
      </c>
      <c r="M253">
        <v>3</v>
      </c>
      <c r="N253">
        <v>32.189</v>
      </c>
      <c r="O253">
        <v>1.25</v>
      </c>
      <c r="P253">
        <v>1.44</v>
      </c>
      <c r="Q253" t="s">
        <v>52</v>
      </c>
      <c r="R253" t="s">
        <v>164</v>
      </c>
      <c r="S253" t="s">
        <v>164</v>
      </c>
      <c r="T253" t="s">
        <v>164</v>
      </c>
      <c r="U253" t="s">
        <v>164</v>
      </c>
      <c r="V253" s="7">
        <v>0.76885408062146898</v>
      </c>
      <c r="W253" t="s">
        <v>164</v>
      </c>
      <c r="X253" t="s">
        <v>164</v>
      </c>
      <c r="Y253" t="s">
        <v>164</v>
      </c>
      <c r="Z253">
        <v>10.1</v>
      </c>
      <c r="AA253">
        <v>7</v>
      </c>
      <c r="AB253">
        <v>25</v>
      </c>
      <c r="AC253" s="17">
        <v>3</v>
      </c>
      <c r="AD253">
        <v>0.05</v>
      </c>
      <c r="AE253">
        <v>10</v>
      </c>
      <c r="AF253" s="11">
        <v>2.5000000000000001E-2</v>
      </c>
    </row>
    <row r="254" spans="1:32" x14ac:dyDescent="0.3">
      <c r="A254" t="s">
        <v>61</v>
      </c>
      <c r="B254" t="s">
        <v>14</v>
      </c>
      <c r="C254">
        <v>-1.3</v>
      </c>
      <c r="D254">
        <v>444.44</v>
      </c>
      <c r="E254">
        <v>3.5</v>
      </c>
      <c r="F254">
        <v>3.6</v>
      </c>
      <c r="G254">
        <v>1.35</v>
      </c>
      <c r="H254">
        <v>3.29</v>
      </c>
      <c r="I254">
        <v>3.0992000000000002</v>
      </c>
      <c r="J254">
        <v>182</v>
      </c>
      <c r="K254" t="s">
        <v>55</v>
      </c>
      <c r="L254" t="s">
        <v>46</v>
      </c>
      <c r="M254">
        <v>3</v>
      </c>
      <c r="N254">
        <v>32.189</v>
      </c>
      <c r="O254">
        <v>1.25</v>
      </c>
      <c r="P254">
        <v>1.44</v>
      </c>
      <c r="Q254" t="s">
        <v>52</v>
      </c>
      <c r="R254" t="s">
        <v>164</v>
      </c>
      <c r="S254" t="s">
        <v>164</v>
      </c>
      <c r="T254" t="s">
        <v>164</v>
      </c>
      <c r="U254" t="s">
        <v>164</v>
      </c>
      <c r="V254" s="7">
        <v>0.76885408062146898</v>
      </c>
      <c r="W254" t="s">
        <v>164</v>
      </c>
      <c r="X254" t="s">
        <v>164</v>
      </c>
      <c r="Y254" t="s">
        <v>164</v>
      </c>
      <c r="Z254">
        <v>10.1</v>
      </c>
      <c r="AA254">
        <v>8</v>
      </c>
      <c r="AB254">
        <v>25</v>
      </c>
      <c r="AC254" s="17">
        <v>3</v>
      </c>
      <c r="AD254">
        <v>0.05</v>
      </c>
      <c r="AE254">
        <v>10</v>
      </c>
      <c r="AF254" s="11">
        <v>1.7500000000000071E-2</v>
      </c>
    </row>
    <row r="255" spans="1:32" x14ac:dyDescent="0.3">
      <c r="A255" t="s">
        <v>61</v>
      </c>
      <c r="B255" t="s">
        <v>14</v>
      </c>
      <c r="C255">
        <v>-1.3</v>
      </c>
      <c r="D255">
        <v>444.44</v>
      </c>
      <c r="E255">
        <v>3.5</v>
      </c>
      <c r="F255">
        <v>3.6</v>
      </c>
      <c r="G255">
        <v>1.35</v>
      </c>
      <c r="H255">
        <v>3.29</v>
      </c>
      <c r="I255">
        <v>3.0992000000000002</v>
      </c>
      <c r="J255">
        <v>182</v>
      </c>
      <c r="K255" t="s">
        <v>55</v>
      </c>
      <c r="L255" t="s">
        <v>46</v>
      </c>
      <c r="M255">
        <v>3</v>
      </c>
      <c r="N255">
        <v>32.189</v>
      </c>
      <c r="O255">
        <v>1.25</v>
      </c>
      <c r="P255">
        <v>1.44</v>
      </c>
      <c r="Q255" t="s">
        <v>52</v>
      </c>
      <c r="R255" t="s">
        <v>164</v>
      </c>
      <c r="S255" t="s">
        <v>164</v>
      </c>
      <c r="T255" t="s">
        <v>164</v>
      </c>
      <c r="U255" t="s">
        <v>164</v>
      </c>
      <c r="V255" s="7">
        <v>0.76885408062146898</v>
      </c>
      <c r="W255" t="s">
        <v>164</v>
      </c>
      <c r="X255" t="s">
        <v>164</v>
      </c>
      <c r="Y255" t="s">
        <v>164</v>
      </c>
      <c r="Z255">
        <v>10.1</v>
      </c>
      <c r="AA255">
        <v>4</v>
      </c>
      <c r="AB255">
        <v>25</v>
      </c>
      <c r="AC255" s="21">
        <f>5/60</f>
        <v>8.3333333333333329E-2</v>
      </c>
      <c r="AD255">
        <v>0.25</v>
      </c>
      <c r="AE255">
        <v>10</v>
      </c>
      <c r="AF255" s="14">
        <v>2.5000000000000356E-3</v>
      </c>
    </row>
    <row r="256" spans="1:32" x14ac:dyDescent="0.3">
      <c r="A256" t="s">
        <v>61</v>
      </c>
      <c r="B256" t="s">
        <v>14</v>
      </c>
      <c r="C256">
        <v>-1.3</v>
      </c>
      <c r="D256">
        <v>444.44</v>
      </c>
      <c r="E256">
        <v>3.5</v>
      </c>
      <c r="F256">
        <v>3.6</v>
      </c>
      <c r="G256">
        <v>1.35</v>
      </c>
      <c r="H256">
        <v>3.29</v>
      </c>
      <c r="I256">
        <v>3.0992000000000002</v>
      </c>
      <c r="J256">
        <v>182</v>
      </c>
      <c r="K256" t="s">
        <v>55</v>
      </c>
      <c r="L256" t="s">
        <v>46</v>
      </c>
      <c r="M256">
        <v>3</v>
      </c>
      <c r="N256">
        <v>32.189</v>
      </c>
      <c r="O256">
        <v>1.25</v>
      </c>
      <c r="P256">
        <v>1.44</v>
      </c>
      <c r="Q256" t="s">
        <v>52</v>
      </c>
      <c r="R256" t="s">
        <v>164</v>
      </c>
      <c r="S256" t="s">
        <v>164</v>
      </c>
      <c r="T256" t="s">
        <v>164</v>
      </c>
      <c r="U256" t="s">
        <v>164</v>
      </c>
      <c r="V256" s="7">
        <v>0.76885408062146898</v>
      </c>
      <c r="W256" t="s">
        <v>164</v>
      </c>
      <c r="X256" t="s">
        <v>164</v>
      </c>
      <c r="Y256" t="s">
        <v>164</v>
      </c>
      <c r="Z256">
        <v>10.1</v>
      </c>
      <c r="AA256">
        <v>4</v>
      </c>
      <c r="AB256">
        <v>25</v>
      </c>
      <c r="AC256" s="21">
        <f>10/60</f>
        <v>0.16666666666666666</v>
      </c>
      <c r="AD256">
        <v>0.25</v>
      </c>
      <c r="AE256">
        <v>10</v>
      </c>
      <c r="AF256" s="16">
        <v>5.0000000000000712E-3</v>
      </c>
    </row>
    <row r="257" spans="1:32" x14ac:dyDescent="0.3">
      <c r="A257" t="s">
        <v>61</v>
      </c>
      <c r="B257" t="s">
        <v>14</v>
      </c>
      <c r="C257">
        <v>-1.3</v>
      </c>
      <c r="D257">
        <v>444.44</v>
      </c>
      <c r="E257">
        <v>3.5</v>
      </c>
      <c r="F257">
        <v>3.6</v>
      </c>
      <c r="G257">
        <v>1.35</v>
      </c>
      <c r="H257">
        <v>3.29</v>
      </c>
      <c r="I257">
        <v>3.0992000000000002</v>
      </c>
      <c r="J257">
        <v>182</v>
      </c>
      <c r="K257" t="s">
        <v>55</v>
      </c>
      <c r="L257" t="s">
        <v>46</v>
      </c>
      <c r="M257">
        <v>3</v>
      </c>
      <c r="N257">
        <v>32.189</v>
      </c>
      <c r="O257">
        <v>1.25</v>
      </c>
      <c r="P257">
        <v>1.44</v>
      </c>
      <c r="Q257" t="s">
        <v>52</v>
      </c>
      <c r="R257" t="s">
        <v>164</v>
      </c>
      <c r="S257" t="s">
        <v>164</v>
      </c>
      <c r="T257" t="s">
        <v>164</v>
      </c>
      <c r="U257" t="s">
        <v>164</v>
      </c>
      <c r="V257" s="7">
        <v>0.76885408062146898</v>
      </c>
      <c r="W257" t="s">
        <v>164</v>
      </c>
      <c r="X257" t="s">
        <v>164</v>
      </c>
      <c r="Y257" t="s">
        <v>164</v>
      </c>
      <c r="Z257">
        <v>10.1</v>
      </c>
      <c r="AA257">
        <v>4</v>
      </c>
      <c r="AB257">
        <v>25</v>
      </c>
      <c r="AC257" s="17">
        <f>15/60</f>
        <v>0.25</v>
      </c>
      <c r="AD257">
        <v>0.25</v>
      </c>
      <c r="AE257">
        <v>10</v>
      </c>
      <c r="AF257" s="11">
        <v>9.9999999999999638E-3</v>
      </c>
    </row>
    <row r="258" spans="1:32" x14ac:dyDescent="0.3">
      <c r="A258" t="s">
        <v>61</v>
      </c>
      <c r="B258" t="s">
        <v>14</v>
      </c>
      <c r="C258">
        <v>-1.3</v>
      </c>
      <c r="D258">
        <v>444.44</v>
      </c>
      <c r="E258">
        <v>3.5</v>
      </c>
      <c r="F258">
        <v>3.6</v>
      </c>
      <c r="G258">
        <v>1.35</v>
      </c>
      <c r="H258">
        <v>3.29</v>
      </c>
      <c r="I258">
        <v>3.0992000000000002</v>
      </c>
      <c r="J258">
        <v>182</v>
      </c>
      <c r="K258" t="s">
        <v>55</v>
      </c>
      <c r="L258" t="s">
        <v>46</v>
      </c>
      <c r="M258">
        <v>3</v>
      </c>
      <c r="N258">
        <v>32.189</v>
      </c>
      <c r="O258">
        <v>1.25</v>
      </c>
      <c r="P258">
        <v>1.44</v>
      </c>
      <c r="Q258" t="s">
        <v>52</v>
      </c>
      <c r="R258" t="s">
        <v>164</v>
      </c>
      <c r="S258" t="s">
        <v>164</v>
      </c>
      <c r="T258" t="s">
        <v>164</v>
      </c>
      <c r="U258" t="s">
        <v>164</v>
      </c>
      <c r="V258" s="7">
        <v>0.76885408062146898</v>
      </c>
      <c r="W258" t="s">
        <v>164</v>
      </c>
      <c r="X258" t="s">
        <v>164</v>
      </c>
      <c r="Y258" t="s">
        <v>164</v>
      </c>
      <c r="Z258">
        <v>10.1</v>
      </c>
      <c r="AA258">
        <v>4</v>
      </c>
      <c r="AB258">
        <v>25</v>
      </c>
      <c r="AC258" s="21">
        <f>25/60</f>
        <v>0.41666666666666669</v>
      </c>
      <c r="AD258">
        <v>0.25</v>
      </c>
      <c r="AE258">
        <v>10</v>
      </c>
      <c r="AF258" s="16">
        <v>1.1999999999999922E-2</v>
      </c>
    </row>
    <row r="259" spans="1:32" x14ac:dyDescent="0.3">
      <c r="A259" t="s">
        <v>61</v>
      </c>
      <c r="B259" t="s">
        <v>14</v>
      </c>
      <c r="C259">
        <v>-1.3</v>
      </c>
      <c r="D259">
        <v>444.44</v>
      </c>
      <c r="E259">
        <v>3.5</v>
      </c>
      <c r="F259">
        <v>3.6</v>
      </c>
      <c r="G259">
        <v>1.35</v>
      </c>
      <c r="H259">
        <v>3.29</v>
      </c>
      <c r="I259">
        <v>3.0992000000000002</v>
      </c>
      <c r="J259">
        <v>182</v>
      </c>
      <c r="K259" t="s">
        <v>55</v>
      </c>
      <c r="L259" t="s">
        <v>46</v>
      </c>
      <c r="M259">
        <v>3</v>
      </c>
      <c r="N259">
        <v>32.189</v>
      </c>
      <c r="O259">
        <v>1.25</v>
      </c>
      <c r="P259">
        <v>1.44</v>
      </c>
      <c r="Q259" t="s">
        <v>52</v>
      </c>
      <c r="R259" t="s">
        <v>164</v>
      </c>
      <c r="S259" t="s">
        <v>164</v>
      </c>
      <c r="T259" t="s">
        <v>164</v>
      </c>
      <c r="U259" t="s">
        <v>164</v>
      </c>
      <c r="V259" s="7">
        <v>0.76885408062146898</v>
      </c>
      <c r="W259" t="s">
        <v>164</v>
      </c>
      <c r="X259" t="s">
        <v>164</v>
      </c>
      <c r="Y259" t="s">
        <v>164</v>
      </c>
      <c r="Z259">
        <v>10.1</v>
      </c>
      <c r="AA259">
        <v>4</v>
      </c>
      <c r="AB259">
        <v>25</v>
      </c>
      <c r="AC259" s="21">
        <f>35/60</f>
        <v>0.58333333333333337</v>
      </c>
      <c r="AD259">
        <v>0.25</v>
      </c>
      <c r="AE259">
        <v>10</v>
      </c>
      <c r="AF259" s="16">
        <v>1.2500000000000001E-2</v>
      </c>
    </row>
    <row r="260" spans="1:32" x14ac:dyDescent="0.3">
      <c r="A260" t="s">
        <v>61</v>
      </c>
      <c r="B260" t="s">
        <v>14</v>
      </c>
      <c r="C260">
        <v>-1.3</v>
      </c>
      <c r="D260">
        <v>444.44</v>
      </c>
      <c r="E260">
        <v>3.5</v>
      </c>
      <c r="F260">
        <v>3.6</v>
      </c>
      <c r="G260">
        <v>1.35</v>
      </c>
      <c r="H260">
        <v>3.29</v>
      </c>
      <c r="I260">
        <v>3.0992000000000002</v>
      </c>
      <c r="J260">
        <v>182</v>
      </c>
      <c r="K260" t="s">
        <v>55</v>
      </c>
      <c r="L260" t="s">
        <v>46</v>
      </c>
      <c r="M260">
        <v>3</v>
      </c>
      <c r="N260">
        <v>32.189</v>
      </c>
      <c r="O260">
        <v>1.25</v>
      </c>
      <c r="P260">
        <v>1.44</v>
      </c>
      <c r="Q260" t="s">
        <v>52</v>
      </c>
      <c r="R260" t="s">
        <v>164</v>
      </c>
      <c r="S260" t="s">
        <v>164</v>
      </c>
      <c r="T260" t="s">
        <v>164</v>
      </c>
      <c r="U260" t="s">
        <v>164</v>
      </c>
      <c r="V260" s="7">
        <v>0.76885408062146898</v>
      </c>
      <c r="W260" t="s">
        <v>164</v>
      </c>
      <c r="X260" t="s">
        <v>164</v>
      </c>
      <c r="Y260" t="s">
        <v>164</v>
      </c>
      <c r="Z260">
        <v>10.1</v>
      </c>
      <c r="AA260">
        <v>4</v>
      </c>
      <c r="AB260">
        <v>25</v>
      </c>
      <c r="AC260" s="21">
        <f>50/60</f>
        <v>0.83333333333333337</v>
      </c>
      <c r="AD260">
        <v>0.25</v>
      </c>
      <c r="AE260">
        <v>10</v>
      </c>
      <c r="AF260" s="16">
        <v>1.2500000000000001E-2</v>
      </c>
    </row>
    <row r="261" spans="1:32" x14ac:dyDescent="0.3">
      <c r="A261" t="s">
        <v>61</v>
      </c>
      <c r="B261" t="s">
        <v>14</v>
      </c>
      <c r="C261">
        <v>-1.3</v>
      </c>
      <c r="D261">
        <v>444.44</v>
      </c>
      <c r="E261">
        <v>3.5</v>
      </c>
      <c r="F261">
        <v>3.6</v>
      </c>
      <c r="G261">
        <v>1.35</v>
      </c>
      <c r="H261">
        <v>3.29</v>
      </c>
      <c r="I261">
        <v>3.0992000000000002</v>
      </c>
      <c r="J261">
        <v>182</v>
      </c>
      <c r="K261" t="s">
        <v>55</v>
      </c>
      <c r="L261" t="s">
        <v>46</v>
      </c>
      <c r="M261">
        <v>3</v>
      </c>
      <c r="N261">
        <v>32.189</v>
      </c>
      <c r="O261">
        <v>1.25</v>
      </c>
      <c r="P261">
        <v>1.44</v>
      </c>
      <c r="Q261" t="s">
        <v>52</v>
      </c>
      <c r="R261" t="s">
        <v>164</v>
      </c>
      <c r="S261" t="s">
        <v>164</v>
      </c>
      <c r="T261" t="s">
        <v>164</v>
      </c>
      <c r="U261" t="s">
        <v>164</v>
      </c>
      <c r="V261" s="7">
        <v>0.76885408062146898</v>
      </c>
      <c r="W261" t="s">
        <v>164</v>
      </c>
      <c r="X261" t="s">
        <v>164</v>
      </c>
      <c r="Y261" t="s">
        <v>164</v>
      </c>
      <c r="Z261">
        <v>10.1</v>
      </c>
      <c r="AA261">
        <v>4</v>
      </c>
      <c r="AB261">
        <v>25</v>
      </c>
      <c r="AC261" s="17">
        <v>1</v>
      </c>
      <c r="AD261">
        <v>0.25</v>
      </c>
      <c r="AE261">
        <v>10</v>
      </c>
      <c r="AF261" s="16">
        <v>1.5000000000000036E-2</v>
      </c>
    </row>
    <row r="262" spans="1:32" x14ac:dyDescent="0.3">
      <c r="A262" t="s">
        <v>61</v>
      </c>
      <c r="B262" t="s">
        <v>14</v>
      </c>
      <c r="C262">
        <v>-1.3</v>
      </c>
      <c r="D262">
        <v>444.44</v>
      </c>
      <c r="E262">
        <v>3.5</v>
      </c>
      <c r="F262">
        <v>3.6</v>
      </c>
      <c r="G262">
        <v>1.35</v>
      </c>
      <c r="H262">
        <v>3.29</v>
      </c>
      <c r="I262">
        <v>3.0992000000000002</v>
      </c>
      <c r="J262">
        <v>182</v>
      </c>
      <c r="K262" t="s">
        <v>55</v>
      </c>
      <c r="L262" t="s">
        <v>46</v>
      </c>
      <c r="M262">
        <v>3</v>
      </c>
      <c r="N262">
        <v>32.189</v>
      </c>
      <c r="O262">
        <v>1.25</v>
      </c>
      <c r="P262">
        <v>1.44</v>
      </c>
      <c r="Q262" t="s">
        <v>52</v>
      </c>
      <c r="R262" t="s">
        <v>164</v>
      </c>
      <c r="S262" t="s">
        <v>164</v>
      </c>
      <c r="T262" t="s">
        <v>164</v>
      </c>
      <c r="U262" t="s">
        <v>164</v>
      </c>
      <c r="V262" s="7">
        <v>0.76885408062146898</v>
      </c>
      <c r="W262" t="s">
        <v>164</v>
      </c>
      <c r="X262" t="s">
        <v>164</v>
      </c>
      <c r="Y262" t="s">
        <v>164</v>
      </c>
      <c r="Z262">
        <v>10.1</v>
      </c>
      <c r="AA262">
        <v>4</v>
      </c>
      <c r="AB262">
        <v>25</v>
      </c>
      <c r="AC262" s="17">
        <f>75/60</f>
        <v>1.25</v>
      </c>
      <c r="AD262">
        <v>0.25</v>
      </c>
      <c r="AE262">
        <v>10</v>
      </c>
      <c r="AF262" s="11">
        <v>1.3000000000000077E-2</v>
      </c>
    </row>
    <row r="263" spans="1:32" x14ac:dyDescent="0.3">
      <c r="A263" t="s">
        <v>61</v>
      </c>
      <c r="B263" t="s">
        <v>14</v>
      </c>
      <c r="C263">
        <v>-1.3</v>
      </c>
      <c r="D263">
        <v>444.44</v>
      </c>
      <c r="E263">
        <v>3.5</v>
      </c>
      <c r="F263">
        <v>3.6</v>
      </c>
      <c r="G263">
        <v>1.35</v>
      </c>
      <c r="H263">
        <v>3.29</v>
      </c>
      <c r="I263">
        <v>3.0992000000000002</v>
      </c>
      <c r="J263">
        <v>182</v>
      </c>
      <c r="K263" t="s">
        <v>55</v>
      </c>
      <c r="L263" t="s">
        <v>46</v>
      </c>
      <c r="M263">
        <v>3</v>
      </c>
      <c r="N263">
        <v>32.189</v>
      </c>
      <c r="O263">
        <v>1.25</v>
      </c>
      <c r="P263">
        <v>1.44</v>
      </c>
      <c r="Q263" t="s">
        <v>52</v>
      </c>
      <c r="R263" t="s">
        <v>164</v>
      </c>
      <c r="S263" t="s">
        <v>164</v>
      </c>
      <c r="T263" t="s">
        <v>164</v>
      </c>
      <c r="U263" t="s">
        <v>164</v>
      </c>
      <c r="V263" s="7">
        <v>0.76885408062146898</v>
      </c>
      <c r="W263" t="s">
        <v>164</v>
      </c>
      <c r="X263" t="s">
        <v>164</v>
      </c>
      <c r="Y263" t="s">
        <v>164</v>
      </c>
      <c r="Z263">
        <v>10.1</v>
      </c>
      <c r="AA263">
        <v>4</v>
      </c>
      <c r="AB263">
        <v>25</v>
      </c>
      <c r="AC263" s="17">
        <f>90/60</f>
        <v>1.5</v>
      </c>
      <c r="AD263">
        <v>0.25</v>
      </c>
      <c r="AE263">
        <v>10</v>
      </c>
      <c r="AF263" s="11">
        <v>1.9999999999999928E-2</v>
      </c>
    </row>
    <row r="264" spans="1:32" x14ac:dyDescent="0.3">
      <c r="A264" t="s">
        <v>61</v>
      </c>
      <c r="B264" t="s">
        <v>14</v>
      </c>
      <c r="C264">
        <v>-1.3</v>
      </c>
      <c r="D264">
        <v>444.44</v>
      </c>
      <c r="E264">
        <v>3.5</v>
      </c>
      <c r="F264">
        <v>3.6</v>
      </c>
      <c r="G264">
        <v>1.35</v>
      </c>
      <c r="H264">
        <v>3.29</v>
      </c>
      <c r="I264">
        <v>3.0992000000000002</v>
      </c>
      <c r="J264">
        <v>182</v>
      </c>
      <c r="K264" t="s">
        <v>55</v>
      </c>
      <c r="L264" t="s">
        <v>46</v>
      </c>
      <c r="M264">
        <v>3</v>
      </c>
      <c r="N264">
        <v>32.189</v>
      </c>
      <c r="O264">
        <v>1.25</v>
      </c>
      <c r="P264">
        <v>1.44</v>
      </c>
      <c r="Q264" t="s">
        <v>52</v>
      </c>
      <c r="R264" t="s">
        <v>164</v>
      </c>
      <c r="S264" t="s">
        <v>164</v>
      </c>
      <c r="T264" t="s">
        <v>164</v>
      </c>
      <c r="U264" t="s">
        <v>164</v>
      </c>
      <c r="V264" s="7">
        <v>0.76885408062146898</v>
      </c>
      <c r="W264" t="s">
        <v>164</v>
      </c>
      <c r="X264" t="s">
        <v>164</v>
      </c>
      <c r="Y264" t="s">
        <v>164</v>
      </c>
      <c r="Z264">
        <v>10.1</v>
      </c>
      <c r="AA264">
        <v>4</v>
      </c>
      <c r="AB264">
        <v>25</v>
      </c>
      <c r="AC264" s="21">
        <f>110/60</f>
        <v>1.8333333333333333</v>
      </c>
      <c r="AD264">
        <v>0.25</v>
      </c>
      <c r="AE264">
        <v>10</v>
      </c>
      <c r="AF264" s="11">
        <v>2.2499999999999964E-2</v>
      </c>
    </row>
    <row r="265" spans="1:32" x14ac:dyDescent="0.3">
      <c r="A265" t="s">
        <v>61</v>
      </c>
      <c r="B265" t="s">
        <v>14</v>
      </c>
      <c r="C265">
        <v>-1.3</v>
      </c>
      <c r="D265">
        <v>444.44</v>
      </c>
      <c r="E265">
        <v>3.5</v>
      </c>
      <c r="F265">
        <v>3.6</v>
      </c>
      <c r="G265">
        <v>1.35</v>
      </c>
      <c r="H265">
        <v>3.29</v>
      </c>
      <c r="I265">
        <v>3.0992000000000002</v>
      </c>
      <c r="J265">
        <v>182</v>
      </c>
      <c r="K265" t="s">
        <v>55</v>
      </c>
      <c r="L265" t="s">
        <v>46</v>
      </c>
      <c r="M265">
        <v>3</v>
      </c>
      <c r="N265">
        <v>32.189</v>
      </c>
      <c r="O265">
        <v>1.25</v>
      </c>
      <c r="P265">
        <v>1.44</v>
      </c>
      <c r="Q265" t="s">
        <v>52</v>
      </c>
      <c r="R265" t="s">
        <v>164</v>
      </c>
      <c r="S265" t="s">
        <v>164</v>
      </c>
      <c r="T265" t="s">
        <v>164</v>
      </c>
      <c r="U265" t="s">
        <v>164</v>
      </c>
      <c r="V265" s="7">
        <v>0.76885408062146898</v>
      </c>
      <c r="W265" t="s">
        <v>164</v>
      </c>
      <c r="X265" t="s">
        <v>164</v>
      </c>
      <c r="Y265" t="s">
        <v>164</v>
      </c>
      <c r="Z265">
        <v>10.1</v>
      </c>
      <c r="AA265">
        <v>4</v>
      </c>
      <c r="AB265">
        <v>25</v>
      </c>
      <c r="AC265" s="17">
        <f>120/60</f>
        <v>2</v>
      </c>
      <c r="AD265">
        <v>0.25</v>
      </c>
      <c r="AE265">
        <v>10</v>
      </c>
      <c r="AF265" s="11">
        <v>2.5000000000000001E-2</v>
      </c>
    </row>
    <row r="266" spans="1:32" x14ac:dyDescent="0.3">
      <c r="A266" t="s">
        <v>61</v>
      </c>
      <c r="B266" t="s">
        <v>14</v>
      </c>
      <c r="C266">
        <v>-1.3</v>
      </c>
      <c r="D266">
        <v>444.44</v>
      </c>
      <c r="E266">
        <v>3.5</v>
      </c>
      <c r="F266">
        <v>3.6</v>
      </c>
      <c r="G266">
        <v>1.35</v>
      </c>
      <c r="H266">
        <v>3.29</v>
      </c>
      <c r="I266">
        <v>3.0992000000000002</v>
      </c>
      <c r="J266">
        <v>182</v>
      </c>
      <c r="K266" t="s">
        <v>55</v>
      </c>
      <c r="L266" t="s">
        <v>46</v>
      </c>
      <c r="M266">
        <v>3</v>
      </c>
      <c r="N266">
        <v>32.189</v>
      </c>
      <c r="O266">
        <v>1.25</v>
      </c>
      <c r="P266">
        <v>1.44</v>
      </c>
      <c r="Q266" t="s">
        <v>52</v>
      </c>
      <c r="R266" t="s">
        <v>164</v>
      </c>
      <c r="S266" t="s">
        <v>164</v>
      </c>
      <c r="T266" t="s">
        <v>164</v>
      </c>
      <c r="U266" t="s">
        <v>164</v>
      </c>
      <c r="V266" s="7">
        <v>0.76885408062146898</v>
      </c>
      <c r="W266" t="s">
        <v>164</v>
      </c>
      <c r="X266" t="s">
        <v>164</v>
      </c>
      <c r="Y266" t="s">
        <v>164</v>
      </c>
      <c r="Z266">
        <v>10.1</v>
      </c>
      <c r="AA266">
        <v>4</v>
      </c>
      <c r="AB266">
        <v>25</v>
      </c>
      <c r="AC266" s="17">
        <f>150/60</f>
        <v>2.5</v>
      </c>
      <c r="AD266">
        <v>0.25</v>
      </c>
      <c r="AE266">
        <v>10</v>
      </c>
      <c r="AF266" s="11">
        <v>3.0000000000000072E-2</v>
      </c>
    </row>
    <row r="267" spans="1:32" x14ac:dyDescent="0.3">
      <c r="A267" t="s">
        <v>61</v>
      </c>
      <c r="B267" t="s">
        <v>14</v>
      </c>
      <c r="C267">
        <v>-1.3</v>
      </c>
      <c r="D267">
        <v>444.44</v>
      </c>
      <c r="E267">
        <v>3.5</v>
      </c>
      <c r="F267">
        <v>3.6</v>
      </c>
      <c r="G267">
        <v>1.35</v>
      </c>
      <c r="H267">
        <v>3.29</v>
      </c>
      <c r="I267">
        <v>3.0992000000000002</v>
      </c>
      <c r="J267">
        <v>182</v>
      </c>
      <c r="K267" t="s">
        <v>55</v>
      </c>
      <c r="L267" t="s">
        <v>46</v>
      </c>
      <c r="M267">
        <v>3</v>
      </c>
      <c r="N267">
        <v>32.189</v>
      </c>
      <c r="O267">
        <v>1.25</v>
      </c>
      <c r="P267">
        <v>1.44</v>
      </c>
      <c r="Q267" t="s">
        <v>52</v>
      </c>
      <c r="R267" t="s">
        <v>164</v>
      </c>
      <c r="S267" t="s">
        <v>164</v>
      </c>
      <c r="T267" t="s">
        <v>164</v>
      </c>
      <c r="U267" t="s">
        <v>164</v>
      </c>
      <c r="V267" s="7">
        <v>0.76885408062146898</v>
      </c>
      <c r="W267" t="s">
        <v>164</v>
      </c>
      <c r="X267" t="s">
        <v>164</v>
      </c>
      <c r="Y267" t="s">
        <v>164</v>
      </c>
      <c r="Z267">
        <v>10.1</v>
      </c>
      <c r="AA267">
        <v>4</v>
      </c>
      <c r="AB267">
        <v>25</v>
      </c>
      <c r="AC267" s="17">
        <v>3</v>
      </c>
      <c r="AD267">
        <v>0.25</v>
      </c>
      <c r="AE267">
        <v>10</v>
      </c>
      <c r="AF267" s="11">
        <v>4.7499999999999966E-2</v>
      </c>
    </row>
    <row r="268" spans="1:32" x14ac:dyDescent="0.3">
      <c r="A268" t="s">
        <v>61</v>
      </c>
      <c r="B268" t="s">
        <v>14</v>
      </c>
      <c r="C268">
        <v>-1.3</v>
      </c>
      <c r="D268">
        <v>444.44</v>
      </c>
      <c r="E268">
        <v>3.5</v>
      </c>
      <c r="F268">
        <v>3.6</v>
      </c>
      <c r="G268">
        <v>1.35</v>
      </c>
      <c r="H268">
        <v>3.29</v>
      </c>
      <c r="I268">
        <v>3.0992000000000002</v>
      </c>
      <c r="J268">
        <v>182</v>
      </c>
      <c r="K268" t="s">
        <v>55</v>
      </c>
      <c r="L268" t="s">
        <v>46</v>
      </c>
      <c r="M268">
        <v>3</v>
      </c>
      <c r="N268">
        <v>32.189</v>
      </c>
      <c r="O268">
        <v>1.25</v>
      </c>
      <c r="P268">
        <v>1.44</v>
      </c>
      <c r="Q268" t="s">
        <v>52</v>
      </c>
      <c r="R268" t="s">
        <v>164</v>
      </c>
      <c r="S268" t="s">
        <v>164</v>
      </c>
      <c r="T268" t="s">
        <v>164</v>
      </c>
      <c r="U268" t="s">
        <v>164</v>
      </c>
      <c r="V268" s="7">
        <v>0.76885408062146898</v>
      </c>
      <c r="W268" t="s">
        <v>164</v>
      </c>
      <c r="X268" t="s">
        <v>164</v>
      </c>
      <c r="Y268" t="s">
        <v>164</v>
      </c>
      <c r="Z268">
        <v>10.1</v>
      </c>
      <c r="AA268">
        <v>4</v>
      </c>
      <c r="AB268">
        <v>25</v>
      </c>
      <c r="AC268" s="17">
        <f>240/60</f>
        <v>4</v>
      </c>
      <c r="AD268">
        <v>0.25</v>
      </c>
      <c r="AE268">
        <v>10</v>
      </c>
      <c r="AF268" s="11">
        <v>4.7499999999999966E-2</v>
      </c>
    </row>
    <row r="269" spans="1:32" x14ac:dyDescent="0.3">
      <c r="A269" t="s">
        <v>61</v>
      </c>
      <c r="B269" t="s">
        <v>14</v>
      </c>
      <c r="C269">
        <v>-1.3</v>
      </c>
      <c r="D269">
        <v>444.44</v>
      </c>
      <c r="E269">
        <v>3.5</v>
      </c>
      <c r="F269">
        <v>3.6</v>
      </c>
      <c r="G269">
        <v>1.35</v>
      </c>
      <c r="H269">
        <v>3.29</v>
      </c>
      <c r="I269">
        <v>3.0992000000000002</v>
      </c>
      <c r="J269">
        <v>182</v>
      </c>
      <c r="K269" t="s">
        <v>55</v>
      </c>
      <c r="L269" t="s">
        <v>46</v>
      </c>
      <c r="M269">
        <v>3</v>
      </c>
      <c r="N269">
        <v>32.189</v>
      </c>
      <c r="O269">
        <v>1.25</v>
      </c>
      <c r="P269">
        <v>1.44</v>
      </c>
      <c r="Q269" t="s">
        <v>52</v>
      </c>
      <c r="R269" t="s">
        <v>164</v>
      </c>
      <c r="S269" t="s">
        <v>164</v>
      </c>
      <c r="T269" t="s">
        <v>164</v>
      </c>
      <c r="U269" t="s">
        <v>164</v>
      </c>
      <c r="V269" s="7">
        <v>0.76885408062146898</v>
      </c>
      <c r="W269" t="s">
        <v>164</v>
      </c>
      <c r="X269" t="s">
        <v>164</v>
      </c>
      <c r="Y269" t="s">
        <v>164</v>
      </c>
      <c r="Z269">
        <v>10.1</v>
      </c>
      <c r="AA269">
        <v>4</v>
      </c>
      <c r="AB269">
        <v>25</v>
      </c>
      <c r="AC269" s="21">
        <f>5/60</f>
        <v>8.3333333333333329E-2</v>
      </c>
      <c r="AD269">
        <v>0.25</v>
      </c>
      <c r="AE269">
        <v>50</v>
      </c>
      <c r="AF269" s="14">
        <v>4.999999999999716E-4</v>
      </c>
    </row>
    <row r="270" spans="1:32" x14ac:dyDescent="0.3">
      <c r="A270" t="s">
        <v>61</v>
      </c>
      <c r="B270" t="s">
        <v>14</v>
      </c>
      <c r="C270">
        <v>-1.3</v>
      </c>
      <c r="D270">
        <v>444.44</v>
      </c>
      <c r="E270">
        <v>3.5</v>
      </c>
      <c r="F270">
        <v>3.6</v>
      </c>
      <c r="G270">
        <v>1.35</v>
      </c>
      <c r="H270">
        <v>3.29</v>
      </c>
      <c r="I270">
        <v>3.0992000000000002</v>
      </c>
      <c r="J270">
        <v>182</v>
      </c>
      <c r="K270" t="s">
        <v>55</v>
      </c>
      <c r="L270" t="s">
        <v>46</v>
      </c>
      <c r="M270">
        <v>3</v>
      </c>
      <c r="N270">
        <v>32.189</v>
      </c>
      <c r="O270">
        <v>1.25</v>
      </c>
      <c r="P270">
        <v>1.44</v>
      </c>
      <c r="Q270" t="s">
        <v>52</v>
      </c>
      <c r="R270" t="s">
        <v>164</v>
      </c>
      <c r="S270" t="s">
        <v>164</v>
      </c>
      <c r="T270" t="s">
        <v>164</v>
      </c>
      <c r="U270" t="s">
        <v>164</v>
      </c>
      <c r="V270" s="7">
        <v>0.76885408062146898</v>
      </c>
      <c r="W270" t="s">
        <v>164</v>
      </c>
      <c r="X270" t="s">
        <v>164</v>
      </c>
      <c r="Y270" t="s">
        <v>164</v>
      </c>
      <c r="Z270">
        <v>10.1</v>
      </c>
      <c r="AA270">
        <v>4</v>
      </c>
      <c r="AB270">
        <v>25</v>
      </c>
      <c r="AC270" s="21">
        <f>10/60</f>
        <v>0.16666666666666666</v>
      </c>
      <c r="AD270">
        <v>0.25</v>
      </c>
      <c r="AE270">
        <v>50</v>
      </c>
      <c r="AF270" s="16">
        <v>9.9999999999994321E-4</v>
      </c>
    </row>
    <row r="271" spans="1:32" x14ac:dyDescent="0.3">
      <c r="A271" t="s">
        <v>61</v>
      </c>
      <c r="B271" t="s">
        <v>14</v>
      </c>
      <c r="C271">
        <v>-1.3</v>
      </c>
      <c r="D271">
        <v>444.44</v>
      </c>
      <c r="E271">
        <v>3.5</v>
      </c>
      <c r="F271">
        <v>3.6</v>
      </c>
      <c r="G271">
        <v>1.35</v>
      </c>
      <c r="H271">
        <v>3.29</v>
      </c>
      <c r="I271">
        <v>3.0992000000000002</v>
      </c>
      <c r="J271">
        <v>182</v>
      </c>
      <c r="K271" t="s">
        <v>55</v>
      </c>
      <c r="L271" t="s">
        <v>46</v>
      </c>
      <c r="M271">
        <v>3</v>
      </c>
      <c r="N271">
        <v>32.189</v>
      </c>
      <c r="O271">
        <v>1.25</v>
      </c>
      <c r="P271">
        <v>1.44</v>
      </c>
      <c r="Q271" t="s">
        <v>52</v>
      </c>
      <c r="R271" t="s">
        <v>164</v>
      </c>
      <c r="S271" t="s">
        <v>164</v>
      </c>
      <c r="T271" t="s">
        <v>164</v>
      </c>
      <c r="U271" t="s">
        <v>164</v>
      </c>
      <c r="V271" s="7">
        <v>0.76885408062146898</v>
      </c>
      <c r="W271" t="s">
        <v>164</v>
      </c>
      <c r="X271" t="s">
        <v>164</v>
      </c>
      <c r="Y271" t="s">
        <v>164</v>
      </c>
      <c r="Z271">
        <v>10.1</v>
      </c>
      <c r="AA271">
        <v>4</v>
      </c>
      <c r="AB271">
        <v>25</v>
      </c>
      <c r="AC271" s="17">
        <f>15/60</f>
        <v>0.25</v>
      </c>
      <c r="AD271">
        <v>0.25</v>
      </c>
      <c r="AE271">
        <v>50</v>
      </c>
      <c r="AF271" s="16">
        <v>2.0000000000000282E-3</v>
      </c>
    </row>
    <row r="272" spans="1:32" x14ac:dyDescent="0.3">
      <c r="A272" t="s">
        <v>61</v>
      </c>
      <c r="B272" t="s">
        <v>14</v>
      </c>
      <c r="C272">
        <v>-1.3</v>
      </c>
      <c r="D272">
        <v>444.44</v>
      </c>
      <c r="E272">
        <v>3.5</v>
      </c>
      <c r="F272">
        <v>3.6</v>
      </c>
      <c r="G272">
        <v>1.35</v>
      </c>
      <c r="H272">
        <v>3.29</v>
      </c>
      <c r="I272">
        <v>3.0992000000000002</v>
      </c>
      <c r="J272">
        <v>182</v>
      </c>
      <c r="K272" t="s">
        <v>55</v>
      </c>
      <c r="L272" t="s">
        <v>46</v>
      </c>
      <c r="M272">
        <v>3</v>
      </c>
      <c r="N272">
        <v>32.189</v>
      </c>
      <c r="O272">
        <v>1.25</v>
      </c>
      <c r="P272">
        <v>1.44</v>
      </c>
      <c r="Q272" t="s">
        <v>52</v>
      </c>
      <c r="R272" t="s">
        <v>164</v>
      </c>
      <c r="S272" t="s">
        <v>164</v>
      </c>
      <c r="T272" t="s">
        <v>164</v>
      </c>
      <c r="U272" t="s">
        <v>164</v>
      </c>
      <c r="V272" s="7">
        <v>0.76885408062146898</v>
      </c>
      <c r="W272" t="s">
        <v>164</v>
      </c>
      <c r="X272" t="s">
        <v>164</v>
      </c>
      <c r="Y272" t="s">
        <v>164</v>
      </c>
      <c r="Z272">
        <v>10.1</v>
      </c>
      <c r="AA272">
        <v>4</v>
      </c>
      <c r="AB272">
        <v>25</v>
      </c>
      <c r="AC272" s="21">
        <f>25/60</f>
        <v>0.41666666666666669</v>
      </c>
      <c r="AD272">
        <v>0.25</v>
      </c>
      <c r="AE272">
        <v>50</v>
      </c>
      <c r="AF272" s="16">
        <v>2.399999999999949E-3</v>
      </c>
    </row>
    <row r="273" spans="1:32" x14ac:dyDescent="0.3">
      <c r="A273" t="s">
        <v>61</v>
      </c>
      <c r="B273" t="s">
        <v>14</v>
      </c>
      <c r="C273">
        <v>-1.3</v>
      </c>
      <c r="D273">
        <v>444.44</v>
      </c>
      <c r="E273">
        <v>3.5</v>
      </c>
      <c r="F273">
        <v>3.6</v>
      </c>
      <c r="G273">
        <v>1.35</v>
      </c>
      <c r="H273">
        <v>3.29</v>
      </c>
      <c r="I273">
        <v>3.0992000000000002</v>
      </c>
      <c r="J273">
        <v>182</v>
      </c>
      <c r="K273" t="s">
        <v>55</v>
      </c>
      <c r="L273" t="s">
        <v>46</v>
      </c>
      <c r="M273">
        <v>3</v>
      </c>
      <c r="N273">
        <v>32.189</v>
      </c>
      <c r="O273">
        <v>1.25</v>
      </c>
      <c r="P273">
        <v>1.44</v>
      </c>
      <c r="Q273" t="s">
        <v>52</v>
      </c>
      <c r="R273" t="s">
        <v>164</v>
      </c>
      <c r="S273" t="s">
        <v>164</v>
      </c>
      <c r="T273" t="s">
        <v>164</v>
      </c>
      <c r="U273" t="s">
        <v>164</v>
      </c>
      <c r="V273" s="7">
        <v>0.76885408062146898</v>
      </c>
      <c r="W273" t="s">
        <v>164</v>
      </c>
      <c r="X273" t="s">
        <v>164</v>
      </c>
      <c r="Y273" t="s">
        <v>164</v>
      </c>
      <c r="Z273">
        <v>10.1</v>
      </c>
      <c r="AA273">
        <v>4</v>
      </c>
      <c r="AB273">
        <v>25</v>
      </c>
      <c r="AC273" s="21">
        <f>35/60</f>
        <v>0.58333333333333337</v>
      </c>
      <c r="AD273">
        <v>0.25</v>
      </c>
      <c r="AE273">
        <v>50</v>
      </c>
      <c r="AF273" s="16">
        <v>2.5000000000000001E-3</v>
      </c>
    </row>
    <row r="274" spans="1:32" x14ac:dyDescent="0.3">
      <c r="A274" t="s">
        <v>61</v>
      </c>
      <c r="B274" t="s">
        <v>14</v>
      </c>
      <c r="C274">
        <v>-1.3</v>
      </c>
      <c r="D274">
        <v>444.44</v>
      </c>
      <c r="E274">
        <v>3.5</v>
      </c>
      <c r="F274">
        <v>3.6</v>
      </c>
      <c r="G274">
        <v>1.35</v>
      </c>
      <c r="H274">
        <v>3.29</v>
      </c>
      <c r="I274">
        <v>3.0992000000000002</v>
      </c>
      <c r="J274">
        <v>182</v>
      </c>
      <c r="K274" t="s">
        <v>55</v>
      </c>
      <c r="L274" t="s">
        <v>46</v>
      </c>
      <c r="M274">
        <v>3</v>
      </c>
      <c r="N274">
        <v>32.189</v>
      </c>
      <c r="O274">
        <v>1.25</v>
      </c>
      <c r="P274">
        <v>1.44</v>
      </c>
      <c r="Q274" t="s">
        <v>52</v>
      </c>
      <c r="R274" t="s">
        <v>164</v>
      </c>
      <c r="S274" t="s">
        <v>164</v>
      </c>
      <c r="T274" t="s">
        <v>164</v>
      </c>
      <c r="U274" t="s">
        <v>164</v>
      </c>
      <c r="V274" s="7">
        <v>0.76885408062146898</v>
      </c>
      <c r="W274" t="s">
        <v>164</v>
      </c>
      <c r="X274" t="s">
        <v>164</v>
      </c>
      <c r="Y274" t="s">
        <v>164</v>
      </c>
      <c r="Z274">
        <v>10.1</v>
      </c>
      <c r="AA274">
        <v>4</v>
      </c>
      <c r="AB274">
        <v>25</v>
      </c>
      <c r="AC274" s="21">
        <f>50/60</f>
        <v>0.83333333333333337</v>
      </c>
      <c r="AD274">
        <v>0.25</v>
      </c>
      <c r="AE274">
        <v>50</v>
      </c>
      <c r="AF274" s="16">
        <v>3.4999999999999433E-3</v>
      </c>
    </row>
    <row r="275" spans="1:32" x14ac:dyDescent="0.3">
      <c r="A275" t="s">
        <v>61</v>
      </c>
      <c r="B275" t="s">
        <v>14</v>
      </c>
      <c r="C275">
        <v>-1.3</v>
      </c>
      <c r="D275">
        <v>444.44</v>
      </c>
      <c r="E275">
        <v>3.5</v>
      </c>
      <c r="F275">
        <v>3.6</v>
      </c>
      <c r="G275">
        <v>1.35</v>
      </c>
      <c r="H275">
        <v>3.29</v>
      </c>
      <c r="I275">
        <v>3.0992000000000002</v>
      </c>
      <c r="J275">
        <v>182</v>
      </c>
      <c r="K275" t="s">
        <v>55</v>
      </c>
      <c r="L275" t="s">
        <v>46</v>
      </c>
      <c r="M275">
        <v>3</v>
      </c>
      <c r="N275">
        <v>32.189</v>
      </c>
      <c r="O275">
        <v>1.25</v>
      </c>
      <c r="P275">
        <v>1.44</v>
      </c>
      <c r="Q275" t="s">
        <v>52</v>
      </c>
      <c r="R275" t="s">
        <v>164</v>
      </c>
      <c r="S275" t="s">
        <v>164</v>
      </c>
      <c r="T275" t="s">
        <v>164</v>
      </c>
      <c r="U275" t="s">
        <v>164</v>
      </c>
      <c r="V275" s="7">
        <v>0.76885408062146898</v>
      </c>
      <c r="W275" t="s">
        <v>164</v>
      </c>
      <c r="X275" t="s">
        <v>164</v>
      </c>
      <c r="Y275" t="s">
        <v>164</v>
      </c>
      <c r="Z275">
        <v>10.1</v>
      </c>
      <c r="AA275">
        <v>4</v>
      </c>
      <c r="AB275">
        <v>25</v>
      </c>
      <c r="AC275" s="17">
        <v>1</v>
      </c>
      <c r="AD275">
        <v>0.25</v>
      </c>
      <c r="AE275">
        <v>50</v>
      </c>
      <c r="AF275" s="16">
        <v>5.0000000000000001E-3</v>
      </c>
    </row>
    <row r="276" spans="1:32" x14ac:dyDescent="0.3">
      <c r="A276" t="s">
        <v>61</v>
      </c>
      <c r="B276" t="s">
        <v>14</v>
      </c>
      <c r="C276">
        <v>-1.3</v>
      </c>
      <c r="D276">
        <v>444.44</v>
      </c>
      <c r="E276">
        <v>3.5</v>
      </c>
      <c r="F276">
        <v>3.6</v>
      </c>
      <c r="G276">
        <v>1.35</v>
      </c>
      <c r="H276">
        <v>3.29</v>
      </c>
      <c r="I276">
        <v>3.0992000000000002</v>
      </c>
      <c r="J276">
        <v>182</v>
      </c>
      <c r="K276" t="s">
        <v>55</v>
      </c>
      <c r="L276" t="s">
        <v>46</v>
      </c>
      <c r="M276">
        <v>3</v>
      </c>
      <c r="N276">
        <v>32.189</v>
      </c>
      <c r="O276">
        <v>1.25</v>
      </c>
      <c r="P276">
        <v>1.44</v>
      </c>
      <c r="Q276" t="s">
        <v>52</v>
      </c>
      <c r="R276" t="s">
        <v>164</v>
      </c>
      <c r="S276" t="s">
        <v>164</v>
      </c>
      <c r="T276" t="s">
        <v>164</v>
      </c>
      <c r="U276" t="s">
        <v>164</v>
      </c>
      <c r="V276" s="7">
        <v>0.76885408062146898</v>
      </c>
      <c r="W276" t="s">
        <v>164</v>
      </c>
      <c r="X276" t="s">
        <v>164</v>
      </c>
      <c r="Y276" t="s">
        <v>164</v>
      </c>
      <c r="Z276">
        <v>10.1</v>
      </c>
      <c r="AA276">
        <v>4</v>
      </c>
      <c r="AB276">
        <v>25</v>
      </c>
      <c r="AC276" s="17">
        <f>75/60</f>
        <v>1.25</v>
      </c>
      <c r="AD276">
        <v>0.25</v>
      </c>
      <c r="AE276">
        <v>50</v>
      </c>
      <c r="AF276" s="16">
        <v>7.0000000000000288E-3</v>
      </c>
    </row>
    <row r="277" spans="1:32" x14ac:dyDescent="0.3">
      <c r="A277" t="s">
        <v>61</v>
      </c>
      <c r="B277" t="s">
        <v>14</v>
      </c>
      <c r="C277">
        <v>-1.3</v>
      </c>
      <c r="D277">
        <v>444.44</v>
      </c>
      <c r="E277">
        <v>3.5</v>
      </c>
      <c r="F277">
        <v>3.6</v>
      </c>
      <c r="G277">
        <v>1.35</v>
      </c>
      <c r="H277">
        <v>3.29</v>
      </c>
      <c r="I277">
        <v>3.0992000000000002</v>
      </c>
      <c r="J277">
        <v>182</v>
      </c>
      <c r="K277" t="s">
        <v>55</v>
      </c>
      <c r="L277" t="s">
        <v>46</v>
      </c>
      <c r="M277">
        <v>3</v>
      </c>
      <c r="N277">
        <v>32.189</v>
      </c>
      <c r="O277">
        <v>1.25</v>
      </c>
      <c r="P277">
        <v>1.44</v>
      </c>
      <c r="Q277" t="s">
        <v>52</v>
      </c>
      <c r="R277" t="s">
        <v>164</v>
      </c>
      <c r="S277" t="s">
        <v>164</v>
      </c>
      <c r="T277" t="s">
        <v>164</v>
      </c>
      <c r="U277" t="s">
        <v>164</v>
      </c>
      <c r="V277" s="7">
        <v>0.76885408062146898</v>
      </c>
      <c r="W277" t="s">
        <v>164</v>
      </c>
      <c r="X277" t="s">
        <v>164</v>
      </c>
      <c r="Y277" t="s">
        <v>164</v>
      </c>
      <c r="Z277">
        <v>10.1</v>
      </c>
      <c r="AA277">
        <v>4</v>
      </c>
      <c r="AB277">
        <v>25</v>
      </c>
      <c r="AC277" s="17">
        <f>90/60</f>
        <v>1.5</v>
      </c>
      <c r="AD277">
        <v>0.25</v>
      </c>
      <c r="AE277">
        <v>50</v>
      </c>
      <c r="AF277" s="16">
        <v>9.0000000000000566E-3</v>
      </c>
    </row>
    <row r="278" spans="1:32" x14ac:dyDescent="0.3">
      <c r="A278" t="s">
        <v>61</v>
      </c>
      <c r="B278" t="s">
        <v>14</v>
      </c>
      <c r="C278">
        <v>-1.3</v>
      </c>
      <c r="D278">
        <v>444.44</v>
      </c>
      <c r="E278">
        <v>3.5</v>
      </c>
      <c r="F278">
        <v>3.6</v>
      </c>
      <c r="G278">
        <v>1.35</v>
      </c>
      <c r="H278">
        <v>3.29</v>
      </c>
      <c r="I278">
        <v>3.0992000000000002</v>
      </c>
      <c r="J278">
        <v>182</v>
      </c>
      <c r="K278" t="s">
        <v>55</v>
      </c>
      <c r="L278" t="s">
        <v>46</v>
      </c>
      <c r="M278">
        <v>3</v>
      </c>
      <c r="N278">
        <v>32.189</v>
      </c>
      <c r="O278">
        <v>1.25</v>
      </c>
      <c r="P278">
        <v>1.44</v>
      </c>
      <c r="Q278" t="s">
        <v>52</v>
      </c>
      <c r="R278" t="s">
        <v>164</v>
      </c>
      <c r="S278" t="s">
        <v>164</v>
      </c>
      <c r="T278" t="s">
        <v>164</v>
      </c>
      <c r="U278" t="s">
        <v>164</v>
      </c>
      <c r="V278" s="7">
        <v>0.76885408062146898</v>
      </c>
      <c r="W278" t="s">
        <v>164</v>
      </c>
      <c r="X278" t="s">
        <v>164</v>
      </c>
      <c r="Y278" t="s">
        <v>164</v>
      </c>
      <c r="Z278">
        <v>10.1</v>
      </c>
      <c r="AA278">
        <v>4</v>
      </c>
      <c r="AB278">
        <v>25</v>
      </c>
      <c r="AC278" s="21">
        <f>110/60</f>
        <v>1.8333333333333333</v>
      </c>
      <c r="AD278">
        <v>0.25</v>
      </c>
      <c r="AE278">
        <v>50</v>
      </c>
      <c r="AF278" s="11">
        <v>0.01</v>
      </c>
    </row>
    <row r="279" spans="1:32" x14ac:dyDescent="0.3">
      <c r="A279" t="s">
        <v>61</v>
      </c>
      <c r="B279" t="s">
        <v>14</v>
      </c>
      <c r="C279">
        <v>-1.3</v>
      </c>
      <c r="D279">
        <v>444.44</v>
      </c>
      <c r="E279">
        <v>3.5</v>
      </c>
      <c r="F279">
        <v>3.6</v>
      </c>
      <c r="G279">
        <v>1.35</v>
      </c>
      <c r="H279">
        <v>3.29</v>
      </c>
      <c r="I279">
        <v>3.0992000000000002</v>
      </c>
      <c r="J279">
        <v>182</v>
      </c>
      <c r="K279" t="s">
        <v>55</v>
      </c>
      <c r="L279" t="s">
        <v>46</v>
      </c>
      <c r="M279">
        <v>3</v>
      </c>
      <c r="N279">
        <v>32.189</v>
      </c>
      <c r="O279">
        <v>1.25</v>
      </c>
      <c r="P279">
        <v>1.44</v>
      </c>
      <c r="Q279" t="s">
        <v>52</v>
      </c>
      <c r="R279" t="s">
        <v>164</v>
      </c>
      <c r="S279" t="s">
        <v>164</v>
      </c>
      <c r="T279" t="s">
        <v>164</v>
      </c>
      <c r="U279" t="s">
        <v>164</v>
      </c>
      <c r="V279" s="7">
        <v>0.76885408062146898</v>
      </c>
      <c r="W279" t="s">
        <v>164</v>
      </c>
      <c r="X279" t="s">
        <v>164</v>
      </c>
      <c r="Y279" t="s">
        <v>164</v>
      </c>
      <c r="Z279">
        <v>10.1</v>
      </c>
      <c r="AA279">
        <v>4</v>
      </c>
      <c r="AB279">
        <v>25</v>
      </c>
      <c r="AC279" s="17">
        <f>120/60</f>
        <v>2</v>
      </c>
      <c r="AD279">
        <v>0.25</v>
      </c>
      <c r="AE279">
        <v>50</v>
      </c>
      <c r="AF279" s="16">
        <v>1.4000000000000058E-2</v>
      </c>
    </row>
    <row r="280" spans="1:32" x14ac:dyDescent="0.3">
      <c r="A280" t="s">
        <v>61</v>
      </c>
      <c r="B280" t="s">
        <v>14</v>
      </c>
      <c r="C280">
        <v>-1.3</v>
      </c>
      <c r="D280">
        <v>444.44</v>
      </c>
      <c r="E280">
        <v>3.5</v>
      </c>
      <c r="F280">
        <v>3.6</v>
      </c>
      <c r="G280">
        <v>1.35</v>
      </c>
      <c r="H280">
        <v>3.29</v>
      </c>
      <c r="I280">
        <v>3.0992000000000002</v>
      </c>
      <c r="J280">
        <v>182</v>
      </c>
      <c r="K280" t="s">
        <v>55</v>
      </c>
      <c r="L280" t="s">
        <v>46</v>
      </c>
      <c r="M280">
        <v>3</v>
      </c>
      <c r="N280">
        <v>32.189</v>
      </c>
      <c r="O280">
        <v>1.25</v>
      </c>
      <c r="P280">
        <v>1.44</v>
      </c>
      <c r="Q280" t="s">
        <v>52</v>
      </c>
      <c r="R280" t="s">
        <v>164</v>
      </c>
      <c r="S280" t="s">
        <v>164</v>
      </c>
      <c r="T280" t="s">
        <v>164</v>
      </c>
      <c r="U280" t="s">
        <v>164</v>
      </c>
      <c r="V280" s="7">
        <v>0.76885408062146898</v>
      </c>
      <c r="W280" t="s">
        <v>164</v>
      </c>
      <c r="X280" t="s">
        <v>164</v>
      </c>
      <c r="Y280" t="s">
        <v>164</v>
      </c>
      <c r="Z280">
        <v>10.1</v>
      </c>
      <c r="AA280">
        <v>4</v>
      </c>
      <c r="AB280">
        <v>25</v>
      </c>
      <c r="AC280" s="17">
        <f>150/60</f>
        <v>2.5</v>
      </c>
      <c r="AD280">
        <v>0.25</v>
      </c>
      <c r="AE280">
        <v>50</v>
      </c>
      <c r="AF280" s="16">
        <v>1.9000000000000059E-2</v>
      </c>
    </row>
    <row r="281" spans="1:32" x14ac:dyDescent="0.3">
      <c r="A281" t="s">
        <v>61</v>
      </c>
      <c r="B281" t="s">
        <v>14</v>
      </c>
      <c r="C281">
        <v>-1.3</v>
      </c>
      <c r="D281">
        <v>444.44</v>
      </c>
      <c r="E281">
        <v>3.5</v>
      </c>
      <c r="F281">
        <v>3.6</v>
      </c>
      <c r="G281">
        <v>1.35</v>
      </c>
      <c r="H281">
        <v>3.29</v>
      </c>
      <c r="I281">
        <v>3.0992000000000002</v>
      </c>
      <c r="J281">
        <v>182</v>
      </c>
      <c r="K281" t="s">
        <v>55</v>
      </c>
      <c r="L281" t="s">
        <v>46</v>
      </c>
      <c r="M281">
        <v>3</v>
      </c>
      <c r="N281">
        <v>32.189</v>
      </c>
      <c r="O281">
        <v>1.25</v>
      </c>
      <c r="P281">
        <v>1.44</v>
      </c>
      <c r="Q281" t="s">
        <v>52</v>
      </c>
      <c r="R281" t="s">
        <v>164</v>
      </c>
      <c r="S281" t="s">
        <v>164</v>
      </c>
      <c r="T281" t="s">
        <v>164</v>
      </c>
      <c r="U281" t="s">
        <v>164</v>
      </c>
      <c r="V281" s="7">
        <v>0.76885408062146898</v>
      </c>
      <c r="W281" t="s">
        <v>164</v>
      </c>
      <c r="X281" t="s">
        <v>164</v>
      </c>
      <c r="Y281" t="s">
        <v>164</v>
      </c>
      <c r="Z281">
        <v>10.1</v>
      </c>
      <c r="AA281">
        <v>4</v>
      </c>
      <c r="AB281">
        <v>25</v>
      </c>
      <c r="AC281" s="17">
        <v>3</v>
      </c>
      <c r="AD281">
        <v>0.25</v>
      </c>
      <c r="AE281">
        <v>50</v>
      </c>
      <c r="AF281" s="16">
        <v>2.7999999999999973E-2</v>
      </c>
    </row>
    <row r="282" spans="1:32" x14ac:dyDescent="0.3">
      <c r="A282" t="s">
        <v>61</v>
      </c>
      <c r="B282" t="s">
        <v>14</v>
      </c>
      <c r="C282">
        <v>-1.3</v>
      </c>
      <c r="D282">
        <v>444.44</v>
      </c>
      <c r="E282">
        <v>3.5</v>
      </c>
      <c r="F282">
        <v>3.6</v>
      </c>
      <c r="G282">
        <v>1.35</v>
      </c>
      <c r="H282">
        <v>3.29</v>
      </c>
      <c r="I282">
        <v>3.0992000000000002</v>
      </c>
      <c r="J282">
        <v>182</v>
      </c>
      <c r="K282" t="s">
        <v>55</v>
      </c>
      <c r="L282" t="s">
        <v>46</v>
      </c>
      <c r="M282">
        <v>3</v>
      </c>
      <c r="N282">
        <v>32.189</v>
      </c>
      <c r="O282">
        <v>1.25</v>
      </c>
      <c r="P282">
        <v>1.44</v>
      </c>
      <c r="Q282" t="s">
        <v>52</v>
      </c>
      <c r="R282" t="s">
        <v>164</v>
      </c>
      <c r="S282" t="s">
        <v>164</v>
      </c>
      <c r="T282" t="s">
        <v>164</v>
      </c>
      <c r="U282" t="s">
        <v>164</v>
      </c>
      <c r="V282" s="7">
        <v>0.76885408062146898</v>
      </c>
      <c r="W282" t="s">
        <v>164</v>
      </c>
      <c r="X282" t="s">
        <v>164</v>
      </c>
      <c r="Y282" t="s">
        <v>164</v>
      </c>
      <c r="Z282">
        <v>10.1</v>
      </c>
      <c r="AA282">
        <v>4</v>
      </c>
      <c r="AB282">
        <v>25</v>
      </c>
      <c r="AC282" s="17">
        <f>240/60</f>
        <v>4</v>
      </c>
      <c r="AD282">
        <v>0.25</v>
      </c>
      <c r="AE282">
        <v>50</v>
      </c>
      <c r="AF282" s="16">
        <v>0.03</v>
      </c>
    </row>
    <row r="283" spans="1:32" x14ac:dyDescent="0.3">
      <c r="A283" t="s">
        <v>62</v>
      </c>
      <c r="B283" t="s">
        <v>12</v>
      </c>
      <c r="C283">
        <v>-0.02</v>
      </c>
      <c r="D283">
        <v>171.15</v>
      </c>
      <c r="E283">
        <v>1.1200000000000001</v>
      </c>
      <c r="F283">
        <v>1.75</v>
      </c>
      <c r="G283">
        <v>0.31</v>
      </c>
      <c r="H283">
        <v>0.86</v>
      </c>
      <c r="I283">
        <v>1.1919</v>
      </c>
      <c r="J283">
        <v>83.9</v>
      </c>
      <c r="K283" t="s">
        <v>55</v>
      </c>
      <c r="L283" t="s">
        <v>51</v>
      </c>
      <c r="M283">
        <v>2</v>
      </c>
      <c r="N283">
        <v>25.196000000000002</v>
      </c>
      <c r="O283">
        <v>0</v>
      </c>
      <c r="P283">
        <v>1.41</v>
      </c>
      <c r="Q283" t="s">
        <v>63</v>
      </c>
      <c r="R283">
        <v>150</v>
      </c>
      <c r="S283">
        <v>24</v>
      </c>
      <c r="T283" t="s">
        <v>164</v>
      </c>
      <c r="U283" t="s">
        <v>164</v>
      </c>
      <c r="V283" s="7">
        <v>0.88382013131394899</v>
      </c>
      <c r="W283">
        <v>109</v>
      </c>
      <c r="X283" t="s">
        <v>164</v>
      </c>
      <c r="Y283" t="s">
        <v>164</v>
      </c>
      <c r="Z283">
        <v>5.5</v>
      </c>
      <c r="AA283">
        <v>5</v>
      </c>
      <c r="AB283">
        <v>25</v>
      </c>
      <c r="AC283" s="17">
        <v>2</v>
      </c>
      <c r="AD283">
        <v>6</v>
      </c>
      <c r="AE283">
        <v>40</v>
      </c>
      <c r="AF283" s="11">
        <v>7.0000000000000007E-2</v>
      </c>
    </row>
    <row r="284" spans="1:32" x14ac:dyDescent="0.3">
      <c r="A284" t="s">
        <v>62</v>
      </c>
      <c r="B284" t="s">
        <v>12</v>
      </c>
      <c r="C284">
        <v>-0.02</v>
      </c>
      <c r="D284">
        <v>171.15</v>
      </c>
      <c r="E284">
        <v>1.1200000000000001</v>
      </c>
      <c r="F284">
        <v>1.75</v>
      </c>
      <c r="G284">
        <v>0.31</v>
      </c>
      <c r="H284">
        <v>0.86</v>
      </c>
      <c r="I284">
        <v>1.1919</v>
      </c>
      <c r="J284">
        <v>83.9</v>
      </c>
      <c r="K284" t="s">
        <v>55</v>
      </c>
      <c r="L284" t="s">
        <v>51</v>
      </c>
      <c r="M284">
        <v>2</v>
      </c>
      <c r="N284">
        <v>25.196000000000002</v>
      </c>
      <c r="O284">
        <v>0</v>
      </c>
      <c r="P284">
        <v>1.41</v>
      </c>
      <c r="Q284" t="s">
        <v>63</v>
      </c>
      <c r="R284">
        <v>150</v>
      </c>
      <c r="S284">
        <v>24</v>
      </c>
      <c r="T284" t="s">
        <v>164</v>
      </c>
      <c r="U284" t="s">
        <v>164</v>
      </c>
      <c r="V284" s="7">
        <v>0.88382013131394899</v>
      </c>
      <c r="W284">
        <v>109</v>
      </c>
      <c r="X284" t="s">
        <v>164</v>
      </c>
      <c r="Y284" t="s">
        <v>164</v>
      </c>
      <c r="Z284">
        <v>5.5</v>
      </c>
      <c r="AA284">
        <v>7</v>
      </c>
      <c r="AB284">
        <v>25</v>
      </c>
      <c r="AC284" s="17">
        <v>2</v>
      </c>
      <c r="AD284">
        <v>6</v>
      </c>
      <c r="AE284">
        <v>40</v>
      </c>
      <c r="AF284" s="11">
        <v>0.2</v>
      </c>
    </row>
    <row r="285" spans="1:32" x14ac:dyDescent="0.3">
      <c r="A285" t="s">
        <v>62</v>
      </c>
      <c r="B285" t="s">
        <v>12</v>
      </c>
      <c r="C285">
        <v>-0.02</v>
      </c>
      <c r="D285">
        <v>171.15</v>
      </c>
      <c r="E285">
        <v>1.1200000000000001</v>
      </c>
      <c r="F285">
        <v>1.75</v>
      </c>
      <c r="G285">
        <v>0.31</v>
      </c>
      <c r="H285">
        <v>0.86</v>
      </c>
      <c r="I285">
        <v>1.1919</v>
      </c>
      <c r="J285">
        <v>83.9</v>
      </c>
      <c r="K285" t="s">
        <v>55</v>
      </c>
      <c r="L285" t="s">
        <v>51</v>
      </c>
      <c r="M285">
        <v>2</v>
      </c>
      <c r="N285">
        <v>25.196000000000002</v>
      </c>
      <c r="O285">
        <v>0</v>
      </c>
      <c r="P285">
        <v>1.41</v>
      </c>
      <c r="Q285" t="s">
        <v>63</v>
      </c>
      <c r="R285">
        <v>150</v>
      </c>
      <c r="S285">
        <v>24</v>
      </c>
      <c r="T285" t="s">
        <v>164</v>
      </c>
      <c r="U285" t="s">
        <v>164</v>
      </c>
      <c r="V285" s="7">
        <v>0.88382013131394899</v>
      </c>
      <c r="W285">
        <v>109</v>
      </c>
      <c r="X285" t="s">
        <v>164</v>
      </c>
      <c r="Y285" t="s">
        <v>164</v>
      </c>
      <c r="Z285">
        <v>5.5</v>
      </c>
      <c r="AA285">
        <v>9</v>
      </c>
      <c r="AB285">
        <v>25</v>
      </c>
      <c r="AC285" s="17">
        <v>2</v>
      </c>
      <c r="AD285">
        <v>6</v>
      </c>
      <c r="AE285">
        <v>40</v>
      </c>
      <c r="AF285" s="11">
        <v>0.35</v>
      </c>
    </row>
    <row r="286" spans="1:32" x14ac:dyDescent="0.3">
      <c r="A286" t="s">
        <v>62</v>
      </c>
      <c r="B286" t="s">
        <v>12</v>
      </c>
      <c r="C286">
        <v>-0.02</v>
      </c>
      <c r="D286">
        <v>171.15</v>
      </c>
      <c r="E286">
        <v>1.1200000000000001</v>
      </c>
      <c r="F286">
        <v>1.75</v>
      </c>
      <c r="G286">
        <v>0.31</v>
      </c>
      <c r="H286">
        <v>0.86</v>
      </c>
      <c r="I286">
        <v>1.1919</v>
      </c>
      <c r="J286">
        <v>83.9</v>
      </c>
      <c r="K286" t="s">
        <v>55</v>
      </c>
      <c r="L286" t="s">
        <v>51</v>
      </c>
      <c r="M286">
        <v>2</v>
      </c>
      <c r="N286">
        <v>25.196000000000002</v>
      </c>
      <c r="O286">
        <v>0</v>
      </c>
      <c r="P286">
        <v>1.41</v>
      </c>
      <c r="Q286" t="s">
        <v>63</v>
      </c>
      <c r="R286">
        <v>150</v>
      </c>
      <c r="S286">
        <v>24</v>
      </c>
      <c r="T286" t="s">
        <v>164</v>
      </c>
      <c r="U286" t="s">
        <v>164</v>
      </c>
      <c r="V286" s="7">
        <v>0.88382013131394899</v>
      </c>
      <c r="W286">
        <v>109</v>
      </c>
      <c r="X286" t="s">
        <v>164</v>
      </c>
      <c r="Y286" t="s">
        <v>164</v>
      </c>
      <c r="Z286">
        <v>5.5</v>
      </c>
      <c r="AA286">
        <v>11</v>
      </c>
      <c r="AB286">
        <v>25</v>
      </c>
      <c r="AC286" s="17">
        <v>2</v>
      </c>
      <c r="AD286">
        <v>6</v>
      </c>
      <c r="AE286">
        <v>40</v>
      </c>
      <c r="AF286" s="11">
        <v>0.35</v>
      </c>
    </row>
    <row r="287" spans="1:32" x14ac:dyDescent="0.3">
      <c r="A287" t="s">
        <v>62</v>
      </c>
      <c r="B287" t="s">
        <v>12</v>
      </c>
      <c r="C287">
        <v>-0.02</v>
      </c>
      <c r="D287">
        <v>171.15</v>
      </c>
      <c r="E287">
        <v>1.1200000000000001</v>
      </c>
      <c r="F287">
        <v>1.75</v>
      </c>
      <c r="G287">
        <v>0.31</v>
      </c>
      <c r="H287">
        <v>0.86</v>
      </c>
      <c r="I287">
        <v>1.1919</v>
      </c>
      <c r="J287">
        <v>83.9</v>
      </c>
      <c r="K287" t="s">
        <v>55</v>
      </c>
      <c r="L287" t="s">
        <v>51</v>
      </c>
      <c r="M287">
        <v>2</v>
      </c>
      <c r="N287">
        <v>25.196000000000002</v>
      </c>
      <c r="O287">
        <v>0</v>
      </c>
      <c r="P287">
        <v>1.41</v>
      </c>
      <c r="Q287" t="s">
        <v>63</v>
      </c>
      <c r="R287">
        <v>150</v>
      </c>
      <c r="S287">
        <v>24</v>
      </c>
      <c r="T287" t="s">
        <v>164</v>
      </c>
      <c r="U287" t="s">
        <v>164</v>
      </c>
      <c r="V287" s="7">
        <v>0.88382013131394899</v>
      </c>
      <c r="W287">
        <v>109</v>
      </c>
      <c r="X287" t="s">
        <v>164</v>
      </c>
      <c r="Y287" t="s">
        <v>164</v>
      </c>
      <c r="Z287">
        <v>5.5</v>
      </c>
      <c r="AA287">
        <v>9</v>
      </c>
      <c r="AB287">
        <v>25</v>
      </c>
      <c r="AC287" s="17">
        <v>2</v>
      </c>
      <c r="AD287">
        <v>2</v>
      </c>
      <c r="AE287">
        <v>11</v>
      </c>
      <c r="AF287" s="11">
        <v>0.63636363636363635</v>
      </c>
    </row>
    <row r="288" spans="1:32" x14ac:dyDescent="0.3">
      <c r="A288" t="s">
        <v>62</v>
      </c>
      <c r="B288" t="s">
        <v>12</v>
      </c>
      <c r="C288">
        <v>-0.02</v>
      </c>
      <c r="D288">
        <v>171.15</v>
      </c>
      <c r="E288">
        <v>1.1200000000000001</v>
      </c>
      <c r="F288">
        <v>1.75</v>
      </c>
      <c r="G288">
        <v>0.31</v>
      </c>
      <c r="H288">
        <v>0.86</v>
      </c>
      <c r="I288">
        <v>1.1919</v>
      </c>
      <c r="J288">
        <v>83.9</v>
      </c>
      <c r="K288" t="s">
        <v>55</v>
      </c>
      <c r="L288" t="s">
        <v>51</v>
      </c>
      <c r="M288">
        <v>2</v>
      </c>
      <c r="N288">
        <v>25.196000000000002</v>
      </c>
      <c r="O288">
        <v>0</v>
      </c>
      <c r="P288">
        <v>1.41</v>
      </c>
      <c r="Q288" t="s">
        <v>63</v>
      </c>
      <c r="R288">
        <v>150</v>
      </c>
      <c r="S288">
        <v>24</v>
      </c>
      <c r="T288" t="s">
        <v>164</v>
      </c>
      <c r="U288" t="s">
        <v>164</v>
      </c>
      <c r="V288" s="7">
        <v>0.88382013131394899</v>
      </c>
      <c r="W288">
        <v>109</v>
      </c>
      <c r="X288" t="s">
        <v>164</v>
      </c>
      <c r="Y288" t="s">
        <v>164</v>
      </c>
      <c r="Z288">
        <v>5.5</v>
      </c>
      <c r="AA288">
        <v>9</v>
      </c>
      <c r="AB288">
        <v>25</v>
      </c>
      <c r="AC288" s="17">
        <v>2</v>
      </c>
      <c r="AD288">
        <v>2</v>
      </c>
      <c r="AE288">
        <v>15.5</v>
      </c>
      <c r="AF288" s="11">
        <v>0.64516129032258063</v>
      </c>
    </row>
    <row r="289" spans="1:32" x14ac:dyDescent="0.3">
      <c r="A289" t="s">
        <v>62</v>
      </c>
      <c r="B289" t="s">
        <v>12</v>
      </c>
      <c r="C289">
        <v>-0.02</v>
      </c>
      <c r="D289">
        <v>171.15</v>
      </c>
      <c r="E289">
        <v>1.1200000000000001</v>
      </c>
      <c r="F289">
        <v>1.75</v>
      </c>
      <c r="G289">
        <v>0.31</v>
      </c>
      <c r="H289">
        <v>0.86</v>
      </c>
      <c r="I289">
        <v>1.1919</v>
      </c>
      <c r="J289">
        <v>83.9</v>
      </c>
      <c r="K289" t="s">
        <v>55</v>
      </c>
      <c r="L289" t="s">
        <v>51</v>
      </c>
      <c r="M289">
        <v>2</v>
      </c>
      <c r="N289">
        <v>25.196000000000002</v>
      </c>
      <c r="O289">
        <v>0</v>
      </c>
      <c r="P289">
        <v>1.41</v>
      </c>
      <c r="Q289" t="s">
        <v>63</v>
      </c>
      <c r="R289">
        <v>150</v>
      </c>
      <c r="S289">
        <v>24</v>
      </c>
      <c r="T289" t="s">
        <v>164</v>
      </c>
      <c r="U289" t="s">
        <v>164</v>
      </c>
      <c r="V289" s="7">
        <v>0.88382013131394899</v>
      </c>
      <c r="W289">
        <v>109</v>
      </c>
      <c r="X289" t="s">
        <v>164</v>
      </c>
      <c r="Y289" t="s">
        <v>164</v>
      </c>
      <c r="Z289">
        <v>5.5</v>
      </c>
      <c r="AA289">
        <v>9</v>
      </c>
      <c r="AB289">
        <v>25</v>
      </c>
      <c r="AC289" s="17">
        <v>2</v>
      </c>
      <c r="AD289">
        <v>2</v>
      </c>
      <c r="AE289">
        <v>19</v>
      </c>
      <c r="AF289" s="11">
        <v>0.63157894736842102</v>
      </c>
    </row>
    <row r="290" spans="1:32" x14ac:dyDescent="0.3">
      <c r="A290" t="s">
        <v>62</v>
      </c>
      <c r="B290" t="s">
        <v>12</v>
      </c>
      <c r="C290">
        <v>-0.02</v>
      </c>
      <c r="D290">
        <v>171.15</v>
      </c>
      <c r="E290">
        <v>1.1200000000000001</v>
      </c>
      <c r="F290">
        <v>1.75</v>
      </c>
      <c r="G290">
        <v>0.31</v>
      </c>
      <c r="H290">
        <v>0.86</v>
      </c>
      <c r="I290">
        <v>1.1919</v>
      </c>
      <c r="J290">
        <v>83.9</v>
      </c>
      <c r="K290" t="s">
        <v>55</v>
      </c>
      <c r="L290" t="s">
        <v>51</v>
      </c>
      <c r="M290">
        <v>2</v>
      </c>
      <c r="N290">
        <v>25.196000000000002</v>
      </c>
      <c r="O290">
        <v>0</v>
      </c>
      <c r="P290">
        <v>1.41</v>
      </c>
      <c r="Q290" t="s">
        <v>63</v>
      </c>
      <c r="R290">
        <v>150</v>
      </c>
      <c r="S290">
        <v>24</v>
      </c>
      <c r="T290" t="s">
        <v>164</v>
      </c>
      <c r="U290" t="s">
        <v>164</v>
      </c>
      <c r="V290" s="7">
        <v>0.88382013131394899</v>
      </c>
      <c r="W290">
        <v>109</v>
      </c>
      <c r="X290" t="s">
        <v>164</v>
      </c>
      <c r="Y290" t="s">
        <v>164</v>
      </c>
      <c r="Z290">
        <v>5.5</v>
      </c>
      <c r="AA290">
        <v>9</v>
      </c>
      <c r="AB290">
        <v>25</v>
      </c>
      <c r="AC290" s="17">
        <v>2</v>
      </c>
      <c r="AD290">
        <v>2</v>
      </c>
      <c r="AE290">
        <v>25</v>
      </c>
      <c r="AF290" s="11">
        <v>0.64</v>
      </c>
    </row>
    <row r="291" spans="1:32" x14ac:dyDescent="0.3">
      <c r="A291" t="s">
        <v>62</v>
      </c>
      <c r="B291" t="s">
        <v>12</v>
      </c>
      <c r="C291">
        <v>-0.02</v>
      </c>
      <c r="D291">
        <v>171.15</v>
      </c>
      <c r="E291">
        <v>1.1200000000000001</v>
      </c>
      <c r="F291">
        <v>1.75</v>
      </c>
      <c r="G291">
        <v>0.31</v>
      </c>
      <c r="H291">
        <v>0.86</v>
      </c>
      <c r="I291">
        <v>1.1919</v>
      </c>
      <c r="J291">
        <v>83.9</v>
      </c>
      <c r="K291" t="s">
        <v>55</v>
      </c>
      <c r="L291" t="s">
        <v>51</v>
      </c>
      <c r="M291">
        <v>2</v>
      </c>
      <c r="N291">
        <v>25.196000000000002</v>
      </c>
      <c r="O291">
        <v>0</v>
      </c>
      <c r="P291">
        <v>1.41</v>
      </c>
      <c r="Q291" t="s">
        <v>63</v>
      </c>
      <c r="R291">
        <v>150</v>
      </c>
      <c r="S291">
        <v>24</v>
      </c>
      <c r="T291" t="s">
        <v>164</v>
      </c>
      <c r="U291" t="s">
        <v>164</v>
      </c>
      <c r="V291" s="7">
        <v>0.88382013131394899</v>
      </c>
      <c r="W291">
        <v>109</v>
      </c>
      <c r="X291" t="s">
        <v>164</v>
      </c>
      <c r="Y291" t="s">
        <v>164</v>
      </c>
      <c r="Z291">
        <v>5.5</v>
      </c>
      <c r="AA291">
        <v>9</v>
      </c>
      <c r="AB291">
        <v>25</v>
      </c>
      <c r="AC291" s="17">
        <v>2</v>
      </c>
      <c r="AD291">
        <v>2</v>
      </c>
      <c r="AE291">
        <v>29.2</v>
      </c>
      <c r="AF291" s="11">
        <v>0.69178082191780821</v>
      </c>
    </row>
    <row r="292" spans="1:32" x14ac:dyDescent="0.3">
      <c r="A292" t="s">
        <v>62</v>
      </c>
      <c r="B292" t="s">
        <v>12</v>
      </c>
      <c r="C292">
        <v>-0.02</v>
      </c>
      <c r="D292">
        <v>171.15</v>
      </c>
      <c r="E292">
        <v>1.1200000000000001</v>
      </c>
      <c r="F292">
        <v>1.75</v>
      </c>
      <c r="G292">
        <v>0.31</v>
      </c>
      <c r="H292">
        <v>0.86</v>
      </c>
      <c r="I292">
        <v>1.1919</v>
      </c>
      <c r="J292">
        <v>83.9</v>
      </c>
      <c r="K292" t="s">
        <v>55</v>
      </c>
      <c r="L292" t="s">
        <v>51</v>
      </c>
      <c r="M292">
        <v>2</v>
      </c>
      <c r="N292">
        <v>25.196000000000002</v>
      </c>
      <c r="O292">
        <v>0</v>
      </c>
      <c r="P292">
        <v>1.41</v>
      </c>
      <c r="Q292" t="s">
        <v>63</v>
      </c>
      <c r="R292">
        <v>150</v>
      </c>
      <c r="S292">
        <v>24</v>
      </c>
      <c r="T292" t="s">
        <v>164</v>
      </c>
      <c r="U292" t="s">
        <v>164</v>
      </c>
      <c r="V292" s="7">
        <v>0.88382013131394899</v>
      </c>
      <c r="W292">
        <v>109</v>
      </c>
      <c r="X292" t="s">
        <v>164</v>
      </c>
      <c r="Y292" t="s">
        <v>164</v>
      </c>
      <c r="Z292">
        <v>5.5</v>
      </c>
      <c r="AA292">
        <v>9</v>
      </c>
      <c r="AB292">
        <v>25</v>
      </c>
      <c r="AC292" s="17">
        <v>2</v>
      </c>
      <c r="AD292">
        <v>2</v>
      </c>
      <c r="AE292">
        <v>45</v>
      </c>
      <c r="AF292" s="11">
        <v>0.77777777777777779</v>
      </c>
    </row>
    <row r="293" spans="1:32" x14ac:dyDescent="0.3">
      <c r="A293" t="s">
        <v>62</v>
      </c>
      <c r="B293" t="s">
        <v>12</v>
      </c>
      <c r="C293">
        <v>-0.02</v>
      </c>
      <c r="D293">
        <v>171.15</v>
      </c>
      <c r="E293">
        <v>1.1200000000000001</v>
      </c>
      <c r="F293">
        <v>1.75</v>
      </c>
      <c r="G293">
        <v>0.31</v>
      </c>
      <c r="H293">
        <v>0.86</v>
      </c>
      <c r="I293">
        <v>1.1919</v>
      </c>
      <c r="J293">
        <v>83.9</v>
      </c>
      <c r="K293" t="s">
        <v>55</v>
      </c>
      <c r="L293" t="s">
        <v>51</v>
      </c>
      <c r="M293">
        <v>2</v>
      </c>
      <c r="N293">
        <v>25.196000000000002</v>
      </c>
      <c r="O293">
        <v>0</v>
      </c>
      <c r="P293">
        <v>1.41</v>
      </c>
      <c r="Q293" t="s">
        <v>63</v>
      </c>
      <c r="R293">
        <v>150</v>
      </c>
      <c r="S293">
        <v>24</v>
      </c>
      <c r="T293" t="s">
        <v>164</v>
      </c>
      <c r="U293" t="s">
        <v>164</v>
      </c>
      <c r="V293" s="7">
        <v>0.88382013131394899</v>
      </c>
      <c r="W293">
        <v>109</v>
      </c>
      <c r="X293" t="s">
        <v>164</v>
      </c>
      <c r="Y293" t="s">
        <v>164</v>
      </c>
      <c r="Z293">
        <v>5.5</v>
      </c>
      <c r="AA293">
        <v>9</v>
      </c>
      <c r="AB293">
        <v>25</v>
      </c>
      <c r="AC293" s="17">
        <v>2</v>
      </c>
      <c r="AD293">
        <v>2</v>
      </c>
      <c r="AE293">
        <v>40.600000000000009</v>
      </c>
      <c r="AF293" s="11">
        <v>0.7290640394088671</v>
      </c>
    </row>
    <row r="294" spans="1:32" x14ac:dyDescent="0.3">
      <c r="A294" t="s">
        <v>62</v>
      </c>
      <c r="B294" t="s">
        <v>12</v>
      </c>
      <c r="C294">
        <v>-0.02</v>
      </c>
      <c r="D294">
        <v>171.15</v>
      </c>
      <c r="E294">
        <v>1.1200000000000001</v>
      </c>
      <c r="F294">
        <v>1.75</v>
      </c>
      <c r="G294">
        <v>0.31</v>
      </c>
      <c r="H294">
        <v>0.86</v>
      </c>
      <c r="I294">
        <v>1.1919</v>
      </c>
      <c r="J294">
        <v>83.9</v>
      </c>
      <c r="K294" t="s">
        <v>55</v>
      </c>
      <c r="L294" t="s">
        <v>51</v>
      </c>
      <c r="M294">
        <v>2</v>
      </c>
      <c r="N294">
        <v>25.196000000000002</v>
      </c>
      <c r="O294">
        <v>0</v>
      </c>
      <c r="P294">
        <v>1.41</v>
      </c>
      <c r="Q294" t="s">
        <v>63</v>
      </c>
      <c r="R294">
        <v>150</v>
      </c>
      <c r="S294">
        <v>24</v>
      </c>
      <c r="T294" t="s">
        <v>164</v>
      </c>
      <c r="U294" t="s">
        <v>164</v>
      </c>
      <c r="V294" s="7">
        <v>0.88382013131394899</v>
      </c>
      <c r="W294">
        <v>109</v>
      </c>
      <c r="X294" t="s">
        <v>164</v>
      </c>
      <c r="Y294" t="s">
        <v>164</v>
      </c>
      <c r="Z294">
        <v>5.5</v>
      </c>
      <c r="AA294">
        <v>9</v>
      </c>
      <c r="AB294">
        <v>25</v>
      </c>
      <c r="AC294" s="17">
        <v>2</v>
      </c>
      <c r="AD294">
        <v>2</v>
      </c>
      <c r="AE294">
        <v>50</v>
      </c>
      <c r="AF294" s="11">
        <v>0.7</v>
      </c>
    </row>
    <row r="295" spans="1:32" x14ac:dyDescent="0.3">
      <c r="A295" t="s">
        <v>62</v>
      </c>
      <c r="B295" t="s">
        <v>12</v>
      </c>
      <c r="C295">
        <v>-0.02</v>
      </c>
      <c r="D295">
        <v>171.15</v>
      </c>
      <c r="E295">
        <v>1.1200000000000001</v>
      </c>
      <c r="F295">
        <v>1.75</v>
      </c>
      <c r="G295">
        <v>0.31</v>
      </c>
      <c r="H295">
        <v>0.86</v>
      </c>
      <c r="I295">
        <v>1.1919</v>
      </c>
      <c r="J295">
        <v>83.9</v>
      </c>
      <c r="K295" t="s">
        <v>55</v>
      </c>
      <c r="L295" t="s">
        <v>51</v>
      </c>
      <c r="M295">
        <v>2</v>
      </c>
      <c r="N295">
        <v>25.196000000000002</v>
      </c>
      <c r="O295">
        <v>0</v>
      </c>
      <c r="P295">
        <v>1.41</v>
      </c>
      <c r="Q295" t="s">
        <v>63</v>
      </c>
      <c r="R295">
        <v>150</v>
      </c>
      <c r="S295">
        <v>24</v>
      </c>
      <c r="T295" t="s">
        <v>164</v>
      </c>
      <c r="U295" t="s">
        <v>164</v>
      </c>
      <c r="V295" s="7">
        <v>0.88382013131394899</v>
      </c>
      <c r="W295">
        <v>109</v>
      </c>
      <c r="X295" t="s">
        <v>164</v>
      </c>
      <c r="Y295" t="s">
        <v>164</v>
      </c>
      <c r="Z295">
        <v>5.5</v>
      </c>
      <c r="AA295">
        <v>9</v>
      </c>
      <c r="AB295">
        <v>25</v>
      </c>
      <c r="AC295" s="17">
        <v>2</v>
      </c>
      <c r="AD295">
        <v>2</v>
      </c>
      <c r="AE295">
        <v>58.5</v>
      </c>
      <c r="AF295" s="11">
        <v>0.68376068376068377</v>
      </c>
    </row>
    <row r="296" spans="1:32" x14ac:dyDescent="0.3">
      <c r="A296" t="s">
        <v>62</v>
      </c>
      <c r="B296" t="s">
        <v>12</v>
      </c>
      <c r="C296">
        <v>-0.02</v>
      </c>
      <c r="D296">
        <v>171.15</v>
      </c>
      <c r="E296">
        <v>1.1200000000000001</v>
      </c>
      <c r="F296">
        <v>1.75</v>
      </c>
      <c r="G296">
        <v>0.31</v>
      </c>
      <c r="H296">
        <v>0.86</v>
      </c>
      <c r="I296">
        <v>1.1919</v>
      </c>
      <c r="J296">
        <v>83.9</v>
      </c>
      <c r="K296" t="s">
        <v>55</v>
      </c>
      <c r="L296" t="s">
        <v>51</v>
      </c>
      <c r="M296">
        <v>2</v>
      </c>
      <c r="N296">
        <v>25.196000000000002</v>
      </c>
      <c r="O296">
        <v>0</v>
      </c>
      <c r="P296">
        <v>1.41</v>
      </c>
      <c r="Q296" t="s">
        <v>63</v>
      </c>
      <c r="R296">
        <v>150</v>
      </c>
      <c r="S296">
        <v>24</v>
      </c>
      <c r="T296" t="s">
        <v>164</v>
      </c>
      <c r="U296" t="s">
        <v>164</v>
      </c>
      <c r="V296" s="7">
        <v>0.88382013131394899</v>
      </c>
      <c r="W296">
        <v>109</v>
      </c>
      <c r="X296" t="s">
        <v>164</v>
      </c>
      <c r="Y296" t="s">
        <v>164</v>
      </c>
      <c r="Z296">
        <v>5.5</v>
      </c>
      <c r="AA296">
        <v>9</v>
      </c>
      <c r="AB296">
        <v>25</v>
      </c>
      <c r="AC296" s="17">
        <v>2</v>
      </c>
      <c r="AD296">
        <v>2</v>
      </c>
      <c r="AE296">
        <v>69.5</v>
      </c>
      <c r="AF296" s="11">
        <v>0.64748201438848918</v>
      </c>
    </row>
    <row r="297" spans="1:32" x14ac:dyDescent="0.3">
      <c r="A297" t="s">
        <v>62</v>
      </c>
      <c r="B297" t="s">
        <v>12</v>
      </c>
      <c r="C297">
        <v>-0.02</v>
      </c>
      <c r="D297">
        <v>171.15</v>
      </c>
      <c r="E297">
        <v>1.1200000000000001</v>
      </c>
      <c r="F297">
        <v>1.75</v>
      </c>
      <c r="G297">
        <v>0.31</v>
      </c>
      <c r="H297">
        <v>0.86</v>
      </c>
      <c r="I297">
        <v>1.1919</v>
      </c>
      <c r="J297">
        <v>83.9</v>
      </c>
      <c r="K297" t="s">
        <v>55</v>
      </c>
      <c r="L297" t="s">
        <v>51</v>
      </c>
      <c r="M297">
        <v>2</v>
      </c>
      <c r="N297">
        <v>25.196000000000002</v>
      </c>
      <c r="O297">
        <v>0</v>
      </c>
      <c r="P297">
        <v>1.41</v>
      </c>
      <c r="Q297" t="s">
        <v>63</v>
      </c>
      <c r="R297">
        <v>150</v>
      </c>
      <c r="S297">
        <v>24</v>
      </c>
      <c r="T297" t="s">
        <v>164</v>
      </c>
      <c r="U297" t="s">
        <v>164</v>
      </c>
      <c r="V297" s="7">
        <v>0.88382013131394899</v>
      </c>
      <c r="W297">
        <v>109</v>
      </c>
      <c r="X297" t="s">
        <v>164</v>
      </c>
      <c r="Y297" t="s">
        <v>164</v>
      </c>
      <c r="Z297">
        <v>5.5</v>
      </c>
      <c r="AA297">
        <v>9</v>
      </c>
      <c r="AB297">
        <v>25</v>
      </c>
      <c r="AC297" s="21">
        <f>20/60</f>
        <v>0.33333333333333331</v>
      </c>
      <c r="AD297">
        <v>6</v>
      </c>
      <c r="AE297">
        <v>10</v>
      </c>
      <c r="AF297" s="11">
        <v>0.03</v>
      </c>
    </row>
    <row r="298" spans="1:32" x14ac:dyDescent="0.3">
      <c r="A298" t="s">
        <v>62</v>
      </c>
      <c r="B298" t="s">
        <v>12</v>
      </c>
      <c r="C298">
        <v>-0.02</v>
      </c>
      <c r="D298">
        <v>171.15</v>
      </c>
      <c r="E298">
        <v>1.1200000000000001</v>
      </c>
      <c r="F298">
        <v>1.75</v>
      </c>
      <c r="G298">
        <v>0.31</v>
      </c>
      <c r="H298">
        <v>0.86</v>
      </c>
      <c r="I298">
        <v>1.1919</v>
      </c>
      <c r="J298">
        <v>83.9</v>
      </c>
      <c r="K298" t="s">
        <v>55</v>
      </c>
      <c r="L298" t="s">
        <v>51</v>
      </c>
      <c r="M298">
        <v>2</v>
      </c>
      <c r="N298">
        <v>25.196000000000002</v>
      </c>
      <c r="O298">
        <v>0</v>
      </c>
      <c r="P298">
        <v>1.41</v>
      </c>
      <c r="Q298" t="s">
        <v>63</v>
      </c>
      <c r="R298">
        <v>150</v>
      </c>
      <c r="S298">
        <v>24</v>
      </c>
      <c r="T298" t="s">
        <v>164</v>
      </c>
      <c r="U298" t="s">
        <v>164</v>
      </c>
      <c r="V298" s="7">
        <v>0.88382013131394899</v>
      </c>
      <c r="W298">
        <v>109</v>
      </c>
      <c r="X298" t="s">
        <v>164</v>
      </c>
      <c r="Y298" t="s">
        <v>164</v>
      </c>
      <c r="Z298">
        <v>5.5</v>
      </c>
      <c r="AA298">
        <v>9</v>
      </c>
      <c r="AB298">
        <v>25</v>
      </c>
      <c r="AC298" s="17">
        <f>30/60</f>
        <v>0.5</v>
      </c>
      <c r="AD298">
        <v>6</v>
      </c>
      <c r="AE298">
        <v>10</v>
      </c>
      <c r="AF298" s="11">
        <v>0.04</v>
      </c>
    </row>
    <row r="299" spans="1:32" x14ac:dyDescent="0.3">
      <c r="A299" t="s">
        <v>62</v>
      </c>
      <c r="B299" t="s">
        <v>12</v>
      </c>
      <c r="C299">
        <v>-0.02</v>
      </c>
      <c r="D299">
        <v>171.15</v>
      </c>
      <c r="E299">
        <v>1.1200000000000001</v>
      </c>
      <c r="F299">
        <v>1.75</v>
      </c>
      <c r="G299">
        <v>0.31</v>
      </c>
      <c r="H299">
        <v>0.86</v>
      </c>
      <c r="I299">
        <v>1.1919</v>
      </c>
      <c r="J299">
        <v>83.9</v>
      </c>
      <c r="K299" t="s">
        <v>55</v>
      </c>
      <c r="L299" t="s">
        <v>51</v>
      </c>
      <c r="M299">
        <v>2</v>
      </c>
      <c r="N299">
        <v>25.196000000000002</v>
      </c>
      <c r="O299">
        <v>0</v>
      </c>
      <c r="P299">
        <v>1.41</v>
      </c>
      <c r="Q299" t="s">
        <v>63</v>
      </c>
      <c r="R299">
        <v>150</v>
      </c>
      <c r="S299">
        <v>24</v>
      </c>
      <c r="T299" t="s">
        <v>164</v>
      </c>
      <c r="U299" t="s">
        <v>164</v>
      </c>
      <c r="V299" s="7">
        <v>0.88382013131394899</v>
      </c>
      <c r="W299">
        <v>109</v>
      </c>
      <c r="X299" t="s">
        <v>164</v>
      </c>
      <c r="Y299" t="s">
        <v>164</v>
      </c>
      <c r="Z299">
        <v>5.5</v>
      </c>
      <c r="AA299">
        <v>9</v>
      </c>
      <c r="AB299">
        <v>25</v>
      </c>
      <c r="AC299" s="21">
        <f>40/60</f>
        <v>0.66666666666666663</v>
      </c>
      <c r="AD299">
        <v>6</v>
      </c>
      <c r="AE299">
        <v>10</v>
      </c>
      <c r="AF299" s="11">
        <v>0.05</v>
      </c>
    </row>
    <row r="300" spans="1:32" x14ac:dyDescent="0.3">
      <c r="A300" t="s">
        <v>62</v>
      </c>
      <c r="B300" t="s">
        <v>12</v>
      </c>
      <c r="C300">
        <v>-0.02</v>
      </c>
      <c r="D300">
        <v>171.15</v>
      </c>
      <c r="E300">
        <v>1.1200000000000001</v>
      </c>
      <c r="F300">
        <v>1.75</v>
      </c>
      <c r="G300">
        <v>0.31</v>
      </c>
      <c r="H300">
        <v>0.86</v>
      </c>
      <c r="I300">
        <v>1.1919</v>
      </c>
      <c r="J300">
        <v>83.9</v>
      </c>
      <c r="K300" t="s">
        <v>55</v>
      </c>
      <c r="L300" t="s">
        <v>51</v>
      </c>
      <c r="M300">
        <v>2</v>
      </c>
      <c r="N300">
        <v>25.196000000000002</v>
      </c>
      <c r="O300">
        <v>0</v>
      </c>
      <c r="P300">
        <v>1.41</v>
      </c>
      <c r="Q300" t="s">
        <v>63</v>
      </c>
      <c r="R300">
        <v>150</v>
      </c>
      <c r="S300">
        <v>24</v>
      </c>
      <c r="T300" t="s">
        <v>164</v>
      </c>
      <c r="U300" t="s">
        <v>164</v>
      </c>
      <c r="V300" s="7">
        <v>0.88382013131394899</v>
      </c>
      <c r="W300">
        <v>109</v>
      </c>
      <c r="X300" t="s">
        <v>164</v>
      </c>
      <c r="Y300" t="s">
        <v>164</v>
      </c>
      <c r="Z300">
        <v>5.5</v>
      </c>
      <c r="AA300">
        <v>9</v>
      </c>
      <c r="AB300">
        <v>25</v>
      </c>
      <c r="AC300" s="17">
        <v>1</v>
      </c>
      <c r="AD300">
        <v>6</v>
      </c>
      <c r="AE300">
        <v>10</v>
      </c>
      <c r="AF300" s="11">
        <v>7.0000000000000007E-2</v>
      </c>
    </row>
    <row r="301" spans="1:32" x14ac:dyDescent="0.3">
      <c r="A301" t="s">
        <v>62</v>
      </c>
      <c r="B301" t="s">
        <v>12</v>
      </c>
      <c r="C301">
        <v>-0.02</v>
      </c>
      <c r="D301">
        <v>171.15</v>
      </c>
      <c r="E301">
        <v>1.1200000000000001</v>
      </c>
      <c r="F301">
        <v>1.75</v>
      </c>
      <c r="G301">
        <v>0.31</v>
      </c>
      <c r="H301">
        <v>0.86</v>
      </c>
      <c r="I301">
        <v>1.1919</v>
      </c>
      <c r="J301">
        <v>83.9</v>
      </c>
      <c r="K301" t="s">
        <v>55</v>
      </c>
      <c r="L301" t="s">
        <v>51</v>
      </c>
      <c r="M301">
        <v>2</v>
      </c>
      <c r="N301">
        <v>25.196000000000002</v>
      </c>
      <c r="O301">
        <v>0</v>
      </c>
      <c r="P301">
        <v>1.41</v>
      </c>
      <c r="Q301" t="s">
        <v>63</v>
      </c>
      <c r="R301">
        <v>150</v>
      </c>
      <c r="S301">
        <v>24</v>
      </c>
      <c r="T301" t="s">
        <v>164</v>
      </c>
      <c r="U301" t="s">
        <v>164</v>
      </c>
      <c r="V301" s="7">
        <v>0.88382013131394899</v>
      </c>
      <c r="W301">
        <v>109</v>
      </c>
      <c r="X301" t="s">
        <v>164</v>
      </c>
      <c r="Y301" t="s">
        <v>164</v>
      </c>
      <c r="Z301">
        <v>5.5</v>
      </c>
      <c r="AA301">
        <v>9</v>
      </c>
      <c r="AB301">
        <v>25</v>
      </c>
      <c r="AC301" s="21">
        <f>70/60</f>
        <v>1.1666666666666667</v>
      </c>
      <c r="AD301">
        <v>6</v>
      </c>
      <c r="AE301">
        <v>10</v>
      </c>
      <c r="AF301" s="11">
        <v>0.09</v>
      </c>
    </row>
    <row r="302" spans="1:32" x14ac:dyDescent="0.3">
      <c r="A302" t="s">
        <v>62</v>
      </c>
      <c r="B302" t="s">
        <v>12</v>
      </c>
      <c r="C302">
        <v>-0.02</v>
      </c>
      <c r="D302">
        <v>171.15</v>
      </c>
      <c r="E302">
        <v>1.1200000000000001</v>
      </c>
      <c r="F302">
        <v>1.75</v>
      </c>
      <c r="G302">
        <v>0.31</v>
      </c>
      <c r="H302">
        <v>0.86</v>
      </c>
      <c r="I302">
        <v>1.1919</v>
      </c>
      <c r="J302">
        <v>83.9</v>
      </c>
      <c r="K302" t="s">
        <v>55</v>
      </c>
      <c r="L302" t="s">
        <v>51</v>
      </c>
      <c r="M302">
        <v>2</v>
      </c>
      <c r="N302">
        <v>25.196000000000002</v>
      </c>
      <c r="O302">
        <v>0</v>
      </c>
      <c r="P302">
        <v>1.41</v>
      </c>
      <c r="Q302" t="s">
        <v>63</v>
      </c>
      <c r="R302">
        <v>150</v>
      </c>
      <c r="S302">
        <v>24</v>
      </c>
      <c r="T302" t="s">
        <v>164</v>
      </c>
      <c r="U302" t="s">
        <v>164</v>
      </c>
      <c r="V302" s="7">
        <v>0.88382013131394899</v>
      </c>
      <c r="W302">
        <v>109</v>
      </c>
      <c r="X302" t="s">
        <v>164</v>
      </c>
      <c r="Y302" t="s">
        <v>164</v>
      </c>
      <c r="Z302">
        <v>5.5</v>
      </c>
      <c r="AA302">
        <v>9</v>
      </c>
      <c r="AB302">
        <v>25</v>
      </c>
      <c r="AC302" s="21">
        <f>80/60</f>
        <v>1.3333333333333333</v>
      </c>
      <c r="AD302">
        <v>6</v>
      </c>
      <c r="AE302">
        <v>10</v>
      </c>
      <c r="AF302" s="11">
        <v>0.1</v>
      </c>
    </row>
    <row r="303" spans="1:32" x14ac:dyDescent="0.3">
      <c r="A303" t="s">
        <v>62</v>
      </c>
      <c r="B303" t="s">
        <v>12</v>
      </c>
      <c r="C303">
        <v>-0.02</v>
      </c>
      <c r="D303">
        <v>171.15</v>
      </c>
      <c r="E303">
        <v>1.1200000000000001</v>
      </c>
      <c r="F303">
        <v>1.75</v>
      </c>
      <c r="G303">
        <v>0.31</v>
      </c>
      <c r="H303">
        <v>0.86</v>
      </c>
      <c r="I303">
        <v>1.1919</v>
      </c>
      <c r="J303">
        <v>83.9</v>
      </c>
      <c r="K303" t="s">
        <v>55</v>
      </c>
      <c r="L303" t="s">
        <v>51</v>
      </c>
      <c r="M303">
        <v>2</v>
      </c>
      <c r="N303">
        <v>25.196000000000002</v>
      </c>
      <c r="O303">
        <v>0</v>
      </c>
      <c r="P303">
        <v>1.41</v>
      </c>
      <c r="Q303" t="s">
        <v>63</v>
      </c>
      <c r="R303">
        <v>150</v>
      </c>
      <c r="S303">
        <v>24</v>
      </c>
      <c r="T303" t="s">
        <v>164</v>
      </c>
      <c r="U303" t="s">
        <v>164</v>
      </c>
      <c r="V303" s="7">
        <v>0.88382013131394899</v>
      </c>
      <c r="W303">
        <v>109</v>
      </c>
      <c r="X303" t="s">
        <v>164</v>
      </c>
      <c r="Y303" t="s">
        <v>164</v>
      </c>
      <c r="Z303">
        <v>5.5</v>
      </c>
      <c r="AA303">
        <v>9</v>
      </c>
      <c r="AB303">
        <v>25</v>
      </c>
      <c r="AC303" s="17">
        <f>90/60</f>
        <v>1.5</v>
      </c>
      <c r="AD303">
        <v>6</v>
      </c>
      <c r="AE303">
        <v>10</v>
      </c>
      <c r="AF303" s="11">
        <v>0.13</v>
      </c>
    </row>
    <row r="304" spans="1:32" x14ac:dyDescent="0.3">
      <c r="A304" t="s">
        <v>62</v>
      </c>
      <c r="B304" t="s">
        <v>12</v>
      </c>
      <c r="C304">
        <v>-0.02</v>
      </c>
      <c r="D304">
        <v>171.15</v>
      </c>
      <c r="E304">
        <v>1.1200000000000001</v>
      </c>
      <c r="F304">
        <v>1.75</v>
      </c>
      <c r="G304">
        <v>0.31</v>
      </c>
      <c r="H304">
        <v>0.86</v>
      </c>
      <c r="I304">
        <v>1.1919</v>
      </c>
      <c r="J304">
        <v>83.9</v>
      </c>
      <c r="K304" t="s">
        <v>55</v>
      </c>
      <c r="L304" t="s">
        <v>51</v>
      </c>
      <c r="M304">
        <v>2</v>
      </c>
      <c r="N304">
        <v>25.196000000000002</v>
      </c>
      <c r="O304">
        <v>0</v>
      </c>
      <c r="P304">
        <v>1.41</v>
      </c>
      <c r="Q304" t="s">
        <v>63</v>
      </c>
      <c r="R304">
        <v>150</v>
      </c>
      <c r="S304">
        <v>24</v>
      </c>
      <c r="T304" t="s">
        <v>164</v>
      </c>
      <c r="U304" t="s">
        <v>164</v>
      </c>
      <c r="V304" s="7">
        <v>0.88382013131394899</v>
      </c>
      <c r="W304">
        <v>109</v>
      </c>
      <c r="X304" t="s">
        <v>164</v>
      </c>
      <c r="Y304" t="s">
        <v>164</v>
      </c>
      <c r="Z304">
        <v>5.5</v>
      </c>
      <c r="AA304">
        <v>9</v>
      </c>
      <c r="AB304">
        <v>25</v>
      </c>
      <c r="AC304" s="21">
        <f>100/60</f>
        <v>1.6666666666666667</v>
      </c>
      <c r="AD304">
        <v>6</v>
      </c>
      <c r="AE304">
        <v>10</v>
      </c>
      <c r="AF304" s="11">
        <v>0.17</v>
      </c>
    </row>
    <row r="305" spans="1:32" x14ac:dyDescent="0.3">
      <c r="A305" t="s">
        <v>62</v>
      </c>
      <c r="B305" t="s">
        <v>12</v>
      </c>
      <c r="C305">
        <v>-0.02</v>
      </c>
      <c r="D305">
        <v>171.15</v>
      </c>
      <c r="E305">
        <v>1.1200000000000001</v>
      </c>
      <c r="F305">
        <v>1.75</v>
      </c>
      <c r="G305">
        <v>0.31</v>
      </c>
      <c r="H305">
        <v>0.86</v>
      </c>
      <c r="I305">
        <v>1.1919</v>
      </c>
      <c r="J305">
        <v>83.9</v>
      </c>
      <c r="K305" t="s">
        <v>55</v>
      </c>
      <c r="L305" t="s">
        <v>51</v>
      </c>
      <c r="M305">
        <v>2</v>
      </c>
      <c r="N305">
        <v>25.196000000000002</v>
      </c>
      <c r="O305">
        <v>0</v>
      </c>
      <c r="P305">
        <v>1.41</v>
      </c>
      <c r="Q305" t="s">
        <v>63</v>
      </c>
      <c r="R305">
        <v>150</v>
      </c>
      <c r="S305">
        <v>24</v>
      </c>
      <c r="T305" t="s">
        <v>164</v>
      </c>
      <c r="U305" t="s">
        <v>164</v>
      </c>
      <c r="V305" s="7">
        <v>0.88382013131394899</v>
      </c>
      <c r="W305">
        <v>109</v>
      </c>
      <c r="X305" t="s">
        <v>164</v>
      </c>
      <c r="Y305" t="s">
        <v>164</v>
      </c>
      <c r="Z305">
        <v>5.5</v>
      </c>
      <c r="AA305">
        <v>9</v>
      </c>
      <c r="AB305">
        <v>25</v>
      </c>
      <c r="AC305" s="21">
        <f>110/60</f>
        <v>1.8333333333333333</v>
      </c>
      <c r="AD305">
        <v>6</v>
      </c>
      <c r="AE305">
        <v>10</v>
      </c>
      <c r="AF305" s="11">
        <v>0.17</v>
      </c>
    </row>
    <row r="306" spans="1:32" x14ac:dyDescent="0.3">
      <c r="A306" t="s">
        <v>62</v>
      </c>
      <c r="B306" t="s">
        <v>12</v>
      </c>
      <c r="C306">
        <v>-0.02</v>
      </c>
      <c r="D306">
        <v>171.15</v>
      </c>
      <c r="E306">
        <v>1.1200000000000001</v>
      </c>
      <c r="F306">
        <v>1.75</v>
      </c>
      <c r="G306">
        <v>0.31</v>
      </c>
      <c r="H306">
        <v>0.86</v>
      </c>
      <c r="I306">
        <v>1.1919</v>
      </c>
      <c r="J306">
        <v>83.9</v>
      </c>
      <c r="K306" t="s">
        <v>55</v>
      </c>
      <c r="L306" t="s">
        <v>51</v>
      </c>
      <c r="M306">
        <v>2</v>
      </c>
      <c r="N306">
        <v>25.196000000000002</v>
      </c>
      <c r="O306">
        <v>0</v>
      </c>
      <c r="P306">
        <v>1.41</v>
      </c>
      <c r="Q306" t="s">
        <v>63</v>
      </c>
      <c r="R306">
        <v>150</v>
      </c>
      <c r="S306">
        <v>24</v>
      </c>
      <c r="T306" t="s">
        <v>164</v>
      </c>
      <c r="U306" t="s">
        <v>164</v>
      </c>
      <c r="V306" s="7">
        <v>0.88382013131394899</v>
      </c>
      <c r="W306">
        <v>109</v>
      </c>
      <c r="X306" t="s">
        <v>164</v>
      </c>
      <c r="Y306" t="s">
        <v>164</v>
      </c>
      <c r="Z306">
        <v>5.5</v>
      </c>
      <c r="AA306">
        <v>9</v>
      </c>
      <c r="AB306">
        <v>25</v>
      </c>
      <c r="AC306" s="17">
        <f>120/60</f>
        <v>2</v>
      </c>
      <c r="AD306">
        <v>6</v>
      </c>
      <c r="AE306">
        <v>10</v>
      </c>
      <c r="AF306" s="11">
        <v>0.18</v>
      </c>
    </row>
    <row r="307" spans="1:32" x14ac:dyDescent="0.3">
      <c r="A307" t="s">
        <v>62</v>
      </c>
      <c r="B307" t="s">
        <v>12</v>
      </c>
      <c r="C307">
        <v>-0.02</v>
      </c>
      <c r="D307">
        <v>171.15</v>
      </c>
      <c r="E307">
        <v>1.1200000000000001</v>
      </c>
      <c r="F307">
        <v>1.75</v>
      </c>
      <c r="G307">
        <v>0.31</v>
      </c>
      <c r="H307">
        <v>0.86</v>
      </c>
      <c r="I307">
        <v>1.1919</v>
      </c>
      <c r="J307">
        <v>83.9</v>
      </c>
      <c r="K307" t="s">
        <v>55</v>
      </c>
      <c r="L307" t="s">
        <v>51</v>
      </c>
      <c r="M307">
        <v>2</v>
      </c>
      <c r="N307">
        <v>25.196000000000002</v>
      </c>
      <c r="O307">
        <v>0</v>
      </c>
      <c r="P307">
        <v>1.41</v>
      </c>
      <c r="Q307" t="s">
        <v>63</v>
      </c>
      <c r="R307">
        <v>150</v>
      </c>
      <c r="S307">
        <v>24</v>
      </c>
      <c r="T307" t="s">
        <v>164</v>
      </c>
      <c r="U307" t="s">
        <v>164</v>
      </c>
      <c r="V307" s="7">
        <v>0.88382013131394899</v>
      </c>
      <c r="W307">
        <v>109</v>
      </c>
      <c r="X307" t="s">
        <v>164</v>
      </c>
      <c r="Y307" t="s">
        <v>164</v>
      </c>
      <c r="Z307">
        <v>5.5</v>
      </c>
      <c r="AA307">
        <v>9</v>
      </c>
      <c r="AB307">
        <v>25</v>
      </c>
      <c r="AC307" s="21">
        <f>130/60</f>
        <v>2.1666666666666665</v>
      </c>
      <c r="AD307">
        <v>6</v>
      </c>
      <c r="AE307">
        <v>10</v>
      </c>
      <c r="AF307" s="11">
        <v>0.18</v>
      </c>
    </row>
    <row r="308" spans="1:32" x14ac:dyDescent="0.3">
      <c r="A308" t="s">
        <v>62</v>
      </c>
      <c r="B308" t="s">
        <v>12</v>
      </c>
      <c r="C308">
        <v>-0.02</v>
      </c>
      <c r="D308">
        <v>171.15</v>
      </c>
      <c r="E308">
        <v>1.1200000000000001</v>
      </c>
      <c r="F308">
        <v>1.75</v>
      </c>
      <c r="G308">
        <v>0.31</v>
      </c>
      <c r="H308">
        <v>0.86</v>
      </c>
      <c r="I308">
        <v>1.1919</v>
      </c>
      <c r="J308">
        <v>83.9</v>
      </c>
      <c r="K308" t="s">
        <v>55</v>
      </c>
      <c r="L308" t="s">
        <v>51</v>
      </c>
      <c r="M308">
        <v>2</v>
      </c>
      <c r="N308">
        <v>25.196000000000002</v>
      </c>
      <c r="O308">
        <v>0</v>
      </c>
      <c r="P308">
        <v>1.41</v>
      </c>
      <c r="Q308" t="s">
        <v>63</v>
      </c>
      <c r="R308">
        <v>150</v>
      </c>
      <c r="S308">
        <v>24</v>
      </c>
      <c r="T308" t="s">
        <v>164</v>
      </c>
      <c r="U308" t="s">
        <v>164</v>
      </c>
      <c r="V308" s="7">
        <v>0.88382013131394899</v>
      </c>
      <c r="W308">
        <v>109</v>
      </c>
      <c r="X308" t="s">
        <v>164</v>
      </c>
      <c r="Y308" t="s">
        <v>164</v>
      </c>
      <c r="Z308">
        <v>5.5</v>
      </c>
      <c r="AA308">
        <v>9</v>
      </c>
      <c r="AB308">
        <v>25</v>
      </c>
      <c r="AC308" s="17">
        <f>150/60</f>
        <v>2.5</v>
      </c>
      <c r="AD308">
        <v>6</v>
      </c>
      <c r="AE308">
        <v>10</v>
      </c>
      <c r="AF308" s="11">
        <v>0.18</v>
      </c>
    </row>
    <row r="309" spans="1:32" x14ac:dyDescent="0.3">
      <c r="A309" t="s">
        <v>62</v>
      </c>
      <c r="B309" t="s">
        <v>12</v>
      </c>
      <c r="C309">
        <v>-0.02</v>
      </c>
      <c r="D309">
        <v>171.15</v>
      </c>
      <c r="E309">
        <v>1.1200000000000001</v>
      </c>
      <c r="F309">
        <v>1.75</v>
      </c>
      <c r="G309">
        <v>0.31</v>
      </c>
      <c r="H309">
        <v>0.86</v>
      </c>
      <c r="I309">
        <v>1.1919</v>
      </c>
      <c r="J309">
        <v>83.9</v>
      </c>
      <c r="K309" t="s">
        <v>55</v>
      </c>
      <c r="L309" t="s">
        <v>51</v>
      </c>
      <c r="M309">
        <v>2</v>
      </c>
      <c r="N309">
        <v>25.196000000000002</v>
      </c>
      <c r="O309">
        <v>0</v>
      </c>
      <c r="P309">
        <v>1.41</v>
      </c>
      <c r="Q309" t="s">
        <v>63</v>
      </c>
      <c r="R309">
        <v>150</v>
      </c>
      <c r="S309">
        <v>24</v>
      </c>
      <c r="T309" t="s">
        <v>164</v>
      </c>
      <c r="U309" t="s">
        <v>164</v>
      </c>
      <c r="V309" s="7">
        <v>0.88382013131394899</v>
      </c>
      <c r="W309">
        <v>109</v>
      </c>
      <c r="X309" t="s">
        <v>164</v>
      </c>
      <c r="Y309" t="s">
        <v>164</v>
      </c>
      <c r="Z309">
        <v>5.5</v>
      </c>
      <c r="AA309">
        <v>9</v>
      </c>
      <c r="AB309">
        <v>25</v>
      </c>
      <c r="AC309" s="17">
        <f>180/60</f>
        <v>3</v>
      </c>
      <c r="AD309">
        <v>6</v>
      </c>
      <c r="AE309">
        <v>10</v>
      </c>
      <c r="AF309" s="11">
        <v>0.18</v>
      </c>
    </row>
    <row r="310" spans="1:32" x14ac:dyDescent="0.3">
      <c r="A310" t="s">
        <v>62</v>
      </c>
      <c r="B310" t="s">
        <v>12</v>
      </c>
      <c r="C310">
        <v>-0.02</v>
      </c>
      <c r="D310">
        <v>171.15</v>
      </c>
      <c r="E310">
        <v>1.1200000000000001</v>
      </c>
      <c r="F310">
        <v>1.75</v>
      </c>
      <c r="G310">
        <v>0.31</v>
      </c>
      <c r="H310">
        <v>0.86</v>
      </c>
      <c r="I310">
        <v>1.1919</v>
      </c>
      <c r="J310">
        <v>83.9</v>
      </c>
      <c r="K310" t="s">
        <v>55</v>
      </c>
      <c r="L310" t="s">
        <v>51</v>
      </c>
      <c r="M310">
        <v>2</v>
      </c>
      <c r="N310">
        <v>25.196000000000002</v>
      </c>
      <c r="O310">
        <v>0</v>
      </c>
      <c r="P310">
        <v>1.41</v>
      </c>
      <c r="Q310" t="s">
        <v>63</v>
      </c>
      <c r="R310">
        <v>150</v>
      </c>
      <c r="S310">
        <v>24</v>
      </c>
      <c r="T310" t="s">
        <v>164</v>
      </c>
      <c r="U310" t="s">
        <v>164</v>
      </c>
      <c r="V310" s="7">
        <v>0.88382013131394899</v>
      </c>
      <c r="W310">
        <v>109</v>
      </c>
      <c r="X310" t="s">
        <v>164</v>
      </c>
      <c r="Y310" t="s">
        <v>164</v>
      </c>
      <c r="Z310">
        <v>5.5</v>
      </c>
      <c r="AA310">
        <v>9</v>
      </c>
      <c r="AB310">
        <v>25</v>
      </c>
      <c r="AC310" s="17">
        <f>210/60</f>
        <v>3.5</v>
      </c>
      <c r="AD310">
        <v>6</v>
      </c>
      <c r="AE310">
        <v>10</v>
      </c>
      <c r="AF310" s="11">
        <v>0.18</v>
      </c>
    </row>
    <row r="311" spans="1:32" x14ac:dyDescent="0.3">
      <c r="A311" t="s">
        <v>62</v>
      </c>
      <c r="B311" t="s">
        <v>12</v>
      </c>
      <c r="C311">
        <v>-0.02</v>
      </c>
      <c r="D311">
        <v>171.15</v>
      </c>
      <c r="E311">
        <v>1.1200000000000001</v>
      </c>
      <c r="F311">
        <v>1.75</v>
      </c>
      <c r="G311">
        <v>0.31</v>
      </c>
      <c r="H311">
        <v>0.86</v>
      </c>
      <c r="I311">
        <v>1.1919</v>
      </c>
      <c r="J311">
        <v>83.9</v>
      </c>
      <c r="K311" t="s">
        <v>55</v>
      </c>
      <c r="L311" t="s">
        <v>51</v>
      </c>
      <c r="M311">
        <v>2</v>
      </c>
      <c r="N311">
        <v>25.196000000000002</v>
      </c>
      <c r="O311">
        <v>0</v>
      </c>
      <c r="P311">
        <v>1.41</v>
      </c>
      <c r="Q311" t="s">
        <v>63</v>
      </c>
      <c r="R311">
        <v>150</v>
      </c>
      <c r="S311">
        <v>24</v>
      </c>
      <c r="T311" t="s">
        <v>164</v>
      </c>
      <c r="U311" t="s">
        <v>164</v>
      </c>
      <c r="V311" s="7">
        <v>0.88382013131394899</v>
      </c>
      <c r="W311">
        <v>109</v>
      </c>
      <c r="X311" t="s">
        <v>164</v>
      </c>
      <c r="Y311" t="s">
        <v>164</v>
      </c>
      <c r="Z311">
        <v>5.5</v>
      </c>
      <c r="AA311">
        <v>9</v>
      </c>
      <c r="AB311">
        <v>25</v>
      </c>
      <c r="AC311" s="21">
        <f>20/60</f>
        <v>0.33333333333333331</v>
      </c>
      <c r="AD311">
        <v>6</v>
      </c>
      <c r="AE311">
        <v>20</v>
      </c>
      <c r="AF311" s="11">
        <v>0.05</v>
      </c>
    </row>
    <row r="312" spans="1:32" x14ac:dyDescent="0.3">
      <c r="A312" t="s">
        <v>62</v>
      </c>
      <c r="B312" t="s">
        <v>12</v>
      </c>
      <c r="C312">
        <v>-0.02</v>
      </c>
      <c r="D312">
        <v>171.15</v>
      </c>
      <c r="E312">
        <v>1.1200000000000001</v>
      </c>
      <c r="F312">
        <v>1.75</v>
      </c>
      <c r="G312">
        <v>0.31</v>
      </c>
      <c r="H312">
        <v>0.86</v>
      </c>
      <c r="I312">
        <v>1.1919</v>
      </c>
      <c r="J312">
        <v>83.9</v>
      </c>
      <c r="K312" t="s">
        <v>55</v>
      </c>
      <c r="L312" t="s">
        <v>51</v>
      </c>
      <c r="M312">
        <v>2</v>
      </c>
      <c r="N312">
        <v>25.196000000000002</v>
      </c>
      <c r="O312">
        <v>0</v>
      </c>
      <c r="P312">
        <v>1.41</v>
      </c>
      <c r="Q312" t="s">
        <v>63</v>
      </c>
      <c r="R312">
        <v>150</v>
      </c>
      <c r="S312">
        <v>24</v>
      </c>
      <c r="T312" t="s">
        <v>164</v>
      </c>
      <c r="U312" t="s">
        <v>164</v>
      </c>
      <c r="V312" s="7">
        <v>0.88382013131394899</v>
      </c>
      <c r="W312">
        <v>109</v>
      </c>
      <c r="X312" t="s">
        <v>164</v>
      </c>
      <c r="Y312" t="s">
        <v>164</v>
      </c>
      <c r="Z312">
        <v>5.5</v>
      </c>
      <c r="AA312">
        <v>9</v>
      </c>
      <c r="AB312">
        <v>25</v>
      </c>
      <c r="AC312" s="17">
        <f>30/60</f>
        <v>0.5</v>
      </c>
      <c r="AD312">
        <v>6</v>
      </c>
      <c r="AE312">
        <v>20</v>
      </c>
      <c r="AF312" s="11">
        <v>0.09</v>
      </c>
    </row>
    <row r="313" spans="1:32" x14ac:dyDescent="0.3">
      <c r="A313" t="s">
        <v>62</v>
      </c>
      <c r="B313" t="s">
        <v>12</v>
      </c>
      <c r="C313">
        <v>-0.02</v>
      </c>
      <c r="D313">
        <v>171.15</v>
      </c>
      <c r="E313">
        <v>1.1200000000000001</v>
      </c>
      <c r="F313">
        <v>1.75</v>
      </c>
      <c r="G313">
        <v>0.31</v>
      </c>
      <c r="H313">
        <v>0.86</v>
      </c>
      <c r="I313">
        <v>1.1919</v>
      </c>
      <c r="J313">
        <v>83.9</v>
      </c>
      <c r="K313" t="s">
        <v>55</v>
      </c>
      <c r="L313" t="s">
        <v>51</v>
      </c>
      <c r="M313">
        <v>2</v>
      </c>
      <c r="N313">
        <v>25.196000000000002</v>
      </c>
      <c r="O313">
        <v>0</v>
      </c>
      <c r="P313">
        <v>1.41</v>
      </c>
      <c r="Q313" t="s">
        <v>63</v>
      </c>
      <c r="R313">
        <v>150</v>
      </c>
      <c r="S313">
        <v>24</v>
      </c>
      <c r="T313" t="s">
        <v>164</v>
      </c>
      <c r="U313" t="s">
        <v>164</v>
      </c>
      <c r="V313" s="7">
        <v>0.88382013131394899</v>
      </c>
      <c r="W313">
        <v>109</v>
      </c>
      <c r="X313" t="s">
        <v>164</v>
      </c>
      <c r="Y313" t="s">
        <v>164</v>
      </c>
      <c r="Z313">
        <v>5.5</v>
      </c>
      <c r="AA313">
        <v>9</v>
      </c>
      <c r="AB313">
        <v>25</v>
      </c>
      <c r="AC313" s="21">
        <f>40/60</f>
        <v>0.66666666666666663</v>
      </c>
      <c r="AD313">
        <v>6</v>
      </c>
      <c r="AE313">
        <v>20</v>
      </c>
      <c r="AF313" s="11">
        <v>0.14000000000000001</v>
      </c>
    </row>
    <row r="314" spans="1:32" x14ac:dyDescent="0.3">
      <c r="A314" t="s">
        <v>62</v>
      </c>
      <c r="B314" t="s">
        <v>12</v>
      </c>
      <c r="C314">
        <v>-0.02</v>
      </c>
      <c r="D314">
        <v>171.15</v>
      </c>
      <c r="E314">
        <v>1.1200000000000001</v>
      </c>
      <c r="F314">
        <v>1.75</v>
      </c>
      <c r="G314">
        <v>0.31</v>
      </c>
      <c r="H314">
        <v>0.86</v>
      </c>
      <c r="I314">
        <v>1.1919</v>
      </c>
      <c r="J314">
        <v>83.9</v>
      </c>
      <c r="K314" t="s">
        <v>55</v>
      </c>
      <c r="L314" t="s">
        <v>51</v>
      </c>
      <c r="M314">
        <v>2</v>
      </c>
      <c r="N314">
        <v>25.196000000000002</v>
      </c>
      <c r="O314">
        <v>0</v>
      </c>
      <c r="P314">
        <v>1.41</v>
      </c>
      <c r="Q314" t="s">
        <v>63</v>
      </c>
      <c r="R314">
        <v>150</v>
      </c>
      <c r="S314">
        <v>24</v>
      </c>
      <c r="T314" t="s">
        <v>164</v>
      </c>
      <c r="U314" t="s">
        <v>164</v>
      </c>
      <c r="V314" s="7">
        <v>0.88382013131394899</v>
      </c>
      <c r="W314">
        <v>109</v>
      </c>
      <c r="X314" t="s">
        <v>164</v>
      </c>
      <c r="Y314" t="s">
        <v>164</v>
      </c>
      <c r="Z314">
        <v>5.5</v>
      </c>
      <c r="AA314">
        <v>9</v>
      </c>
      <c r="AB314">
        <v>25</v>
      </c>
      <c r="AC314" s="17">
        <v>1</v>
      </c>
      <c r="AD314">
        <v>6</v>
      </c>
      <c r="AE314">
        <v>20</v>
      </c>
      <c r="AF314" s="11">
        <v>0.16</v>
      </c>
    </row>
    <row r="315" spans="1:32" x14ac:dyDescent="0.3">
      <c r="A315" t="s">
        <v>62</v>
      </c>
      <c r="B315" t="s">
        <v>12</v>
      </c>
      <c r="C315">
        <v>-0.02</v>
      </c>
      <c r="D315">
        <v>171.15</v>
      </c>
      <c r="E315">
        <v>1.1200000000000001</v>
      </c>
      <c r="F315">
        <v>1.75</v>
      </c>
      <c r="G315">
        <v>0.31</v>
      </c>
      <c r="H315">
        <v>0.86</v>
      </c>
      <c r="I315">
        <v>1.1919</v>
      </c>
      <c r="J315">
        <v>83.9</v>
      </c>
      <c r="K315" t="s">
        <v>55</v>
      </c>
      <c r="L315" t="s">
        <v>51</v>
      </c>
      <c r="M315">
        <v>2</v>
      </c>
      <c r="N315">
        <v>25.196000000000002</v>
      </c>
      <c r="O315">
        <v>0</v>
      </c>
      <c r="P315">
        <v>1.41</v>
      </c>
      <c r="Q315" t="s">
        <v>63</v>
      </c>
      <c r="R315">
        <v>150</v>
      </c>
      <c r="S315">
        <v>24</v>
      </c>
      <c r="T315" t="s">
        <v>164</v>
      </c>
      <c r="U315" t="s">
        <v>164</v>
      </c>
      <c r="V315" s="7">
        <v>0.88382013131394899</v>
      </c>
      <c r="W315">
        <v>109</v>
      </c>
      <c r="X315" t="s">
        <v>164</v>
      </c>
      <c r="Y315" t="s">
        <v>164</v>
      </c>
      <c r="Z315">
        <v>5.5</v>
      </c>
      <c r="AA315">
        <v>9</v>
      </c>
      <c r="AB315">
        <v>25</v>
      </c>
      <c r="AC315" s="21">
        <f>70/60</f>
        <v>1.1666666666666667</v>
      </c>
      <c r="AD315">
        <v>6</v>
      </c>
      <c r="AE315">
        <v>20</v>
      </c>
      <c r="AF315" s="11">
        <v>0.19</v>
      </c>
    </row>
    <row r="316" spans="1:32" x14ac:dyDescent="0.3">
      <c r="A316" t="s">
        <v>62</v>
      </c>
      <c r="B316" t="s">
        <v>12</v>
      </c>
      <c r="C316">
        <v>-0.02</v>
      </c>
      <c r="D316">
        <v>171.15</v>
      </c>
      <c r="E316">
        <v>1.1200000000000001</v>
      </c>
      <c r="F316">
        <v>1.75</v>
      </c>
      <c r="G316">
        <v>0.31</v>
      </c>
      <c r="H316">
        <v>0.86</v>
      </c>
      <c r="I316">
        <v>1.1919</v>
      </c>
      <c r="J316">
        <v>83.9</v>
      </c>
      <c r="K316" t="s">
        <v>55</v>
      </c>
      <c r="L316" t="s">
        <v>51</v>
      </c>
      <c r="M316">
        <v>2</v>
      </c>
      <c r="N316">
        <v>25.196000000000002</v>
      </c>
      <c r="O316">
        <v>0</v>
      </c>
      <c r="P316">
        <v>1.41</v>
      </c>
      <c r="Q316" t="s">
        <v>63</v>
      </c>
      <c r="R316">
        <v>150</v>
      </c>
      <c r="S316">
        <v>24</v>
      </c>
      <c r="T316" t="s">
        <v>164</v>
      </c>
      <c r="U316" t="s">
        <v>164</v>
      </c>
      <c r="V316" s="7">
        <v>0.88382013131394899</v>
      </c>
      <c r="W316">
        <v>109</v>
      </c>
      <c r="X316" t="s">
        <v>164</v>
      </c>
      <c r="Y316" t="s">
        <v>164</v>
      </c>
      <c r="Z316">
        <v>5.5</v>
      </c>
      <c r="AA316">
        <v>9</v>
      </c>
      <c r="AB316">
        <v>25</v>
      </c>
      <c r="AC316" s="21">
        <f>80/60</f>
        <v>1.3333333333333333</v>
      </c>
      <c r="AD316">
        <v>6</v>
      </c>
      <c r="AE316">
        <v>20</v>
      </c>
      <c r="AF316" s="11">
        <v>0.245</v>
      </c>
    </row>
    <row r="317" spans="1:32" x14ac:dyDescent="0.3">
      <c r="A317" t="s">
        <v>62</v>
      </c>
      <c r="B317" t="s">
        <v>12</v>
      </c>
      <c r="C317">
        <v>-0.02</v>
      </c>
      <c r="D317">
        <v>171.15</v>
      </c>
      <c r="E317">
        <v>1.1200000000000001</v>
      </c>
      <c r="F317">
        <v>1.75</v>
      </c>
      <c r="G317">
        <v>0.31</v>
      </c>
      <c r="H317">
        <v>0.86</v>
      </c>
      <c r="I317">
        <v>1.1919</v>
      </c>
      <c r="J317">
        <v>83.9</v>
      </c>
      <c r="K317" t="s">
        <v>55</v>
      </c>
      <c r="L317" t="s">
        <v>51</v>
      </c>
      <c r="M317">
        <v>2</v>
      </c>
      <c r="N317">
        <v>25.196000000000002</v>
      </c>
      <c r="O317">
        <v>0</v>
      </c>
      <c r="P317">
        <v>1.41</v>
      </c>
      <c r="Q317" t="s">
        <v>63</v>
      </c>
      <c r="R317">
        <v>150</v>
      </c>
      <c r="S317">
        <v>24</v>
      </c>
      <c r="T317" t="s">
        <v>164</v>
      </c>
      <c r="U317" t="s">
        <v>164</v>
      </c>
      <c r="V317" s="7">
        <v>0.88382013131394899</v>
      </c>
      <c r="W317">
        <v>109</v>
      </c>
      <c r="X317" t="s">
        <v>164</v>
      </c>
      <c r="Y317" t="s">
        <v>164</v>
      </c>
      <c r="Z317">
        <v>5.5</v>
      </c>
      <c r="AA317">
        <v>9</v>
      </c>
      <c r="AB317">
        <v>25</v>
      </c>
      <c r="AC317" s="17">
        <f>90/60</f>
        <v>1.5</v>
      </c>
      <c r="AD317">
        <v>6</v>
      </c>
      <c r="AE317">
        <v>20</v>
      </c>
      <c r="AF317" s="11">
        <v>0.27</v>
      </c>
    </row>
    <row r="318" spans="1:32" x14ac:dyDescent="0.3">
      <c r="A318" t="s">
        <v>62</v>
      </c>
      <c r="B318" t="s">
        <v>12</v>
      </c>
      <c r="C318">
        <v>-0.02</v>
      </c>
      <c r="D318">
        <v>171.15</v>
      </c>
      <c r="E318">
        <v>1.1200000000000001</v>
      </c>
      <c r="F318">
        <v>1.75</v>
      </c>
      <c r="G318">
        <v>0.31</v>
      </c>
      <c r="H318">
        <v>0.86</v>
      </c>
      <c r="I318">
        <v>1.1919</v>
      </c>
      <c r="J318">
        <v>83.9</v>
      </c>
      <c r="K318" t="s">
        <v>55</v>
      </c>
      <c r="L318" t="s">
        <v>51</v>
      </c>
      <c r="M318">
        <v>2</v>
      </c>
      <c r="N318">
        <v>25.196000000000002</v>
      </c>
      <c r="O318">
        <v>0</v>
      </c>
      <c r="P318">
        <v>1.41</v>
      </c>
      <c r="Q318" t="s">
        <v>63</v>
      </c>
      <c r="R318">
        <v>150</v>
      </c>
      <c r="S318">
        <v>24</v>
      </c>
      <c r="T318" t="s">
        <v>164</v>
      </c>
      <c r="U318" t="s">
        <v>164</v>
      </c>
      <c r="V318" s="7">
        <v>0.88382013131394899</v>
      </c>
      <c r="W318">
        <v>109</v>
      </c>
      <c r="X318" t="s">
        <v>164</v>
      </c>
      <c r="Y318" t="s">
        <v>164</v>
      </c>
      <c r="Z318">
        <v>5.5</v>
      </c>
      <c r="AA318">
        <v>9</v>
      </c>
      <c r="AB318">
        <v>25</v>
      </c>
      <c r="AC318" s="21">
        <f>100/60</f>
        <v>1.6666666666666667</v>
      </c>
      <c r="AD318">
        <v>6</v>
      </c>
      <c r="AE318">
        <v>20</v>
      </c>
      <c r="AF318" s="11">
        <v>0.28000000000000003</v>
      </c>
    </row>
    <row r="319" spans="1:32" x14ac:dyDescent="0.3">
      <c r="A319" t="s">
        <v>62</v>
      </c>
      <c r="B319" t="s">
        <v>12</v>
      </c>
      <c r="C319">
        <v>-0.02</v>
      </c>
      <c r="D319">
        <v>171.15</v>
      </c>
      <c r="E319">
        <v>1.1200000000000001</v>
      </c>
      <c r="F319">
        <v>1.75</v>
      </c>
      <c r="G319">
        <v>0.31</v>
      </c>
      <c r="H319">
        <v>0.86</v>
      </c>
      <c r="I319">
        <v>1.1919</v>
      </c>
      <c r="J319">
        <v>83.9</v>
      </c>
      <c r="K319" t="s">
        <v>55</v>
      </c>
      <c r="L319" t="s">
        <v>51</v>
      </c>
      <c r="M319">
        <v>2</v>
      </c>
      <c r="N319">
        <v>25.196000000000002</v>
      </c>
      <c r="O319">
        <v>0</v>
      </c>
      <c r="P319">
        <v>1.41</v>
      </c>
      <c r="Q319" t="s">
        <v>63</v>
      </c>
      <c r="R319">
        <v>150</v>
      </c>
      <c r="S319">
        <v>24</v>
      </c>
      <c r="T319" t="s">
        <v>164</v>
      </c>
      <c r="U319" t="s">
        <v>164</v>
      </c>
      <c r="V319" s="7">
        <v>0.88382013131394899</v>
      </c>
      <c r="W319">
        <v>109</v>
      </c>
      <c r="X319" t="s">
        <v>164</v>
      </c>
      <c r="Y319" t="s">
        <v>164</v>
      </c>
      <c r="Z319">
        <v>5.5</v>
      </c>
      <c r="AA319">
        <v>9</v>
      </c>
      <c r="AB319">
        <v>25</v>
      </c>
      <c r="AC319" s="21">
        <f>110/60</f>
        <v>1.8333333333333333</v>
      </c>
      <c r="AD319">
        <v>6</v>
      </c>
      <c r="AE319">
        <v>20</v>
      </c>
      <c r="AF319" s="11">
        <v>0.28000000000000003</v>
      </c>
    </row>
    <row r="320" spans="1:32" x14ac:dyDescent="0.3">
      <c r="A320" t="s">
        <v>62</v>
      </c>
      <c r="B320" t="s">
        <v>12</v>
      </c>
      <c r="C320">
        <v>-0.02</v>
      </c>
      <c r="D320">
        <v>171.15</v>
      </c>
      <c r="E320">
        <v>1.1200000000000001</v>
      </c>
      <c r="F320">
        <v>1.75</v>
      </c>
      <c r="G320">
        <v>0.31</v>
      </c>
      <c r="H320">
        <v>0.86</v>
      </c>
      <c r="I320">
        <v>1.1919</v>
      </c>
      <c r="J320">
        <v>83.9</v>
      </c>
      <c r="K320" t="s">
        <v>55</v>
      </c>
      <c r="L320" t="s">
        <v>51</v>
      </c>
      <c r="M320">
        <v>2</v>
      </c>
      <c r="N320">
        <v>25.196000000000002</v>
      </c>
      <c r="O320">
        <v>0</v>
      </c>
      <c r="P320">
        <v>1.41</v>
      </c>
      <c r="Q320" t="s">
        <v>63</v>
      </c>
      <c r="R320">
        <v>150</v>
      </c>
      <c r="S320">
        <v>24</v>
      </c>
      <c r="T320" t="s">
        <v>164</v>
      </c>
      <c r="U320" t="s">
        <v>164</v>
      </c>
      <c r="V320" s="7">
        <v>0.88382013131394899</v>
      </c>
      <c r="W320">
        <v>109</v>
      </c>
      <c r="X320" t="s">
        <v>164</v>
      </c>
      <c r="Y320" t="s">
        <v>164</v>
      </c>
      <c r="Z320">
        <v>5.5</v>
      </c>
      <c r="AA320">
        <v>9</v>
      </c>
      <c r="AB320">
        <v>25</v>
      </c>
      <c r="AC320" s="17">
        <f>120/60</f>
        <v>2</v>
      </c>
      <c r="AD320">
        <v>6</v>
      </c>
      <c r="AE320">
        <v>20</v>
      </c>
      <c r="AF320" s="11">
        <v>0.3</v>
      </c>
    </row>
    <row r="321" spans="1:32" x14ac:dyDescent="0.3">
      <c r="A321" t="s">
        <v>62</v>
      </c>
      <c r="B321" t="s">
        <v>12</v>
      </c>
      <c r="C321">
        <v>-0.02</v>
      </c>
      <c r="D321">
        <v>171.15</v>
      </c>
      <c r="E321">
        <v>1.1200000000000001</v>
      </c>
      <c r="F321">
        <v>1.75</v>
      </c>
      <c r="G321">
        <v>0.31</v>
      </c>
      <c r="H321">
        <v>0.86</v>
      </c>
      <c r="I321">
        <v>1.1919</v>
      </c>
      <c r="J321">
        <v>83.9</v>
      </c>
      <c r="K321" t="s">
        <v>55</v>
      </c>
      <c r="L321" t="s">
        <v>51</v>
      </c>
      <c r="M321">
        <v>2</v>
      </c>
      <c r="N321">
        <v>25.196000000000002</v>
      </c>
      <c r="O321">
        <v>0</v>
      </c>
      <c r="P321">
        <v>1.41</v>
      </c>
      <c r="Q321" t="s">
        <v>63</v>
      </c>
      <c r="R321">
        <v>150</v>
      </c>
      <c r="S321">
        <v>24</v>
      </c>
      <c r="T321" t="s">
        <v>164</v>
      </c>
      <c r="U321" t="s">
        <v>164</v>
      </c>
      <c r="V321" s="7">
        <v>0.88382013131394899</v>
      </c>
      <c r="W321">
        <v>109</v>
      </c>
      <c r="X321" t="s">
        <v>164</v>
      </c>
      <c r="Y321" t="s">
        <v>164</v>
      </c>
      <c r="Z321">
        <v>5.5</v>
      </c>
      <c r="AA321">
        <v>9</v>
      </c>
      <c r="AB321">
        <v>25</v>
      </c>
      <c r="AC321" s="21">
        <f>130/60</f>
        <v>2.1666666666666665</v>
      </c>
      <c r="AD321">
        <v>6</v>
      </c>
      <c r="AE321">
        <v>20</v>
      </c>
      <c r="AF321" s="11">
        <v>0.3</v>
      </c>
    </row>
    <row r="322" spans="1:32" x14ac:dyDescent="0.3">
      <c r="A322" t="s">
        <v>62</v>
      </c>
      <c r="B322" t="s">
        <v>12</v>
      </c>
      <c r="C322">
        <v>-0.02</v>
      </c>
      <c r="D322">
        <v>171.15</v>
      </c>
      <c r="E322">
        <v>1.1200000000000001</v>
      </c>
      <c r="F322">
        <v>1.75</v>
      </c>
      <c r="G322">
        <v>0.31</v>
      </c>
      <c r="H322">
        <v>0.86</v>
      </c>
      <c r="I322">
        <v>1.1919</v>
      </c>
      <c r="J322">
        <v>83.9</v>
      </c>
      <c r="K322" t="s">
        <v>55</v>
      </c>
      <c r="L322" t="s">
        <v>51</v>
      </c>
      <c r="M322">
        <v>2</v>
      </c>
      <c r="N322">
        <v>25.196000000000002</v>
      </c>
      <c r="O322">
        <v>0</v>
      </c>
      <c r="P322">
        <v>1.41</v>
      </c>
      <c r="Q322" t="s">
        <v>63</v>
      </c>
      <c r="R322">
        <v>150</v>
      </c>
      <c r="S322">
        <v>24</v>
      </c>
      <c r="T322" t="s">
        <v>164</v>
      </c>
      <c r="U322" t="s">
        <v>164</v>
      </c>
      <c r="V322" s="7">
        <v>0.88382013131394899</v>
      </c>
      <c r="W322">
        <v>109</v>
      </c>
      <c r="X322" t="s">
        <v>164</v>
      </c>
      <c r="Y322" t="s">
        <v>164</v>
      </c>
      <c r="Z322">
        <v>5.5</v>
      </c>
      <c r="AA322">
        <v>9</v>
      </c>
      <c r="AB322">
        <v>25</v>
      </c>
      <c r="AC322" s="17">
        <f>150/60</f>
        <v>2.5</v>
      </c>
      <c r="AD322">
        <v>6</v>
      </c>
      <c r="AE322">
        <v>20</v>
      </c>
      <c r="AF322" s="11">
        <v>0.31</v>
      </c>
    </row>
    <row r="323" spans="1:32" x14ac:dyDescent="0.3">
      <c r="A323" t="s">
        <v>62</v>
      </c>
      <c r="B323" t="s">
        <v>12</v>
      </c>
      <c r="C323">
        <v>-0.02</v>
      </c>
      <c r="D323">
        <v>171.15</v>
      </c>
      <c r="E323">
        <v>1.1200000000000001</v>
      </c>
      <c r="F323">
        <v>1.75</v>
      </c>
      <c r="G323">
        <v>0.31</v>
      </c>
      <c r="H323">
        <v>0.86</v>
      </c>
      <c r="I323">
        <v>1.1919</v>
      </c>
      <c r="J323">
        <v>83.9</v>
      </c>
      <c r="K323" t="s">
        <v>55</v>
      </c>
      <c r="L323" t="s">
        <v>51</v>
      </c>
      <c r="M323">
        <v>2</v>
      </c>
      <c r="N323">
        <v>25.196000000000002</v>
      </c>
      <c r="O323">
        <v>0</v>
      </c>
      <c r="P323">
        <v>1.41</v>
      </c>
      <c r="Q323" t="s">
        <v>63</v>
      </c>
      <c r="R323">
        <v>150</v>
      </c>
      <c r="S323">
        <v>24</v>
      </c>
      <c r="T323" t="s">
        <v>164</v>
      </c>
      <c r="U323" t="s">
        <v>164</v>
      </c>
      <c r="V323" s="7">
        <v>0.88382013131394899</v>
      </c>
      <c r="W323">
        <v>109</v>
      </c>
      <c r="X323" t="s">
        <v>164</v>
      </c>
      <c r="Y323" t="s">
        <v>164</v>
      </c>
      <c r="Z323">
        <v>5.5</v>
      </c>
      <c r="AA323">
        <v>9</v>
      </c>
      <c r="AB323">
        <v>25</v>
      </c>
      <c r="AC323" s="17">
        <f>180/60</f>
        <v>3</v>
      </c>
      <c r="AD323">
        <v>6</v>
      </c>
      <c r="AE323">
        <v>20</v>
      </c>
      <c r="AF323" s="11">
        <v>0.31</v>
      </c>
    </row>
    <row r="324" spans="1:32" x14ac:dyDescent="0.3">
      <c r="A324" t="s">
        <v>62</v>
      </c>
      <c r="B324" t="s">
        <v>12</v>
      </c>
      <c r="C324">
        <v>-0.02</v>
      </c>
      <c r="D324">
        <v>171.15</v>
      </c>
      <c r="E324">
        <v>1.1200000000000001</v>
      </c>
      <c r="F324">
        <v>1.75</v>
      </c>
      <c r="G324">
        <v>0.31</v>
      </c>
      <c r="H324">
        <v>0.86</v>
      </c>
      <c r="I324">
        <v>1.1919</v>
      </c>
      <c r="J324">
        <v>83.9</v>
      </c>
      <c r="K324" t="s">
        <v>55</v>
      </c>
      <c r="L324" t="s">
        <v>51</v>
      </c>
      <c r="M324">
        <v>2</v>
      </c>
      <c r="N324">
        <v>25.196000000000002</v>
      </c>
      <c r="O324">
        <v>0</v>
      </c>
      <c r="P324">
        <v>1.41</v>
      </c>
      <c r="Q324" t="s">
        <v>63</v>
      </c>
      <c r="R324">
        <v>150</v>
      </c>
      <c r="S324">
        <v>24</v>
      </c>
      <c r="T324" t="s">
        <v>164</v>
      </c>
      <c r="U324" t="s">
        <v>164</v>
      </c>
      <c r="V324" s="7">
        <v>0.88382013131394899</v>
      </c>
      <c r="W324">
        <v>109</v>
      </c>
      <c r="X324" t="s">
        <v>164</v>
      </c>
      <c r="Y324" t="s">
        <v>164</v>
      </c>
      <c r="Z324">
        <v>5.5</v>
      </c>
      <c r="AA324">
        <v>9</v>
      </c>
      <c r="AB324">
        <v>25</v>
      </c>
      <c r="AC324" s="17">
        <f>210/60</f>
        <v>3.5</v>
      </c>
      <c r="AD324">
        <v>6</v>
      </c>
      <c r="AE324">
        <v>20</v>
      </c>
      <c r="AF324" s="11">
        <v>0.32</v>
      </c>
    </row>
    <row r="325" spans="1:32" x14ac:dyDescent="0.3">
      <c r="A325" t="s">
        <v>62</v>
      </c>
      <c r="B325" t="s">
        <v>12</v>
      </c>
      <c r="C325">
        <v>-0.02</v>
      </c>
      <c r="D325">
        <v>171.15</v>
      </c>
      <c r="E325">
        <v>1.1200000000000001</v>
      </c>
      <c r="F325">
        <v>1.75</v>
      </c>
      <c r="G325">
        <v>0.31</v>
      </c>
      <c r="H325">
        <v>0.86</v>
      </c>
      <c r="I325">
        <v>1.1919</v>
      </c>
      <c r="J325">
        <v>83.9</v>
      </c>
      <c r="K325" t="s">
        <v>55</v>
      </c>
      <c r="L325" t="s">
        <v>51</v>
      </c>
      <c r="M325">
        <v>2</v>
      </c>
      <c r="N325">
        <v>25.196000000000002</v>
      </c>
      <c r="O325">
        <v>0</v>
      </c>
      <c r="P325">
        <v>1.41</v>
      </c>
      <c r="Q325" t="s">
        <v>63</v>
      </c>
      <c r="R325">
        <v>150</v>
      </c>
      <c r="S325">
        <v>24</v>
      </c>
      <c r="T325" t="s">
        <v>164</v>
      </c>
      <c r="U325" t="s">
        <v>164</v>
      </c>
      <c r="V325" s="7">
        <v>0.88382013131394899</v>
      </c>
      <c r="W325">
        <v>109</v>
      </c>
      <c r="X325" t="s">
        <v>164</v>
      </c>
      <c r="Y325" t="s">
        <v>164</v>
      </c>
      <c r="Z325">
        <v>5.5</v>
      </c>
      <c r="AA325">
        <v>9</v>
      </c>
      <c r="AB325">
        <v>25</v>
      </c>
      <c r="AC325" s="21">
        <f>20/60</f>
        <v>0.33333333333333331</v>
      </c>
      <c r="AD325">
        <v>6</v>
      </c>
      <c r="AE325">
        <v>30</v>
      </c>
      <c r="AF325" s="11">
        <v>7.4999999999999997E-2</v>
      </c>
    </row>
    <row r="326" spans="1:32" x14ac:dyDescent="0.3">
      <c r="A326" t="s">
        <v>62</v>
      </c>
      <c r="B326" t="s">
        <v>12</v>
      </c>
      <c r="C326">
        <v>-0.02</v>
      </c>
      <c r="D326">
        <v>171.15</v>
      </c>
      <c r="E326">
        <v>1.1200000000000001</v>
      </c>
      <c r="F326">
        <v>1.75</v>
      </c>
      <c r="G326">
        <v>0.31</v>
      </c>
      <c r="H326">
        <v>0.86</v>
      </c>
      <c r="I326">
        <v>1.1919</v>
      </c>
      <c r="J326">
        <v>83.9</v>
      </c>
      <c r="K326" t="s">
        <v>55</v>
      </c>
      <c r="L326" t="s">
        <v>51</v>
      </c>
      <c r="M326">
        <v>2</v>
      </c>
      <c r="N326">
        <v>25.196000000000002</v>
      </c>
      <c r="O326">
        <v>0</v>
      </c>
      <c r="P326">
        <v>1.41</v>
      </c>
      <c r="Q326" t="s">
        <v>63</v>
      </c>
      <c r="R326">
        <v>150</v>
      </c>
      <c r="S326">
        <v>24</v>
      </c>
      <c r="T326" t="s">
        <v>164</v>
      </c>
      <c r="U326" t="s">
        <v>164</v>
      </c>
      <c r="V326" s="7">
        <v>0.88382013131394899</v>
      </c>
      <c r="W326">
        <v>109</v>
      </c>
      <c r="X326" t="s">
        <v>164</v>
      </c>
      <c r="Y326" t="s">
        <v>164</v>
      </c>
      <c r="Z326">
        <v>5.5</v>
      </c>
      <c r="AA326">
        <v>9</v>
      </c>
      <c r="AB326">
        <v>25</v>
      </c>
      <c r="AC326" s="17">
        <f>30/60</f>
        <v>0.5</v>
      </c>
      <c r="AD326">
        <v>6</v>
      </c>
      <c r="AE326">
        <v>30</v>
      </c>
      <c r="AF326" s="11">
        <v>0.125</v>
      </c>
    </row>
    <row r="327" spans="1:32" x14ac:dyDescent="0.3">
      <c r="A327" t="s">
        <v>62</v>
      </c>
      <c r="B327" t="s">
        <v>12</v>
      </c>
      <c r="C327">
        <v>-0.02</v>
      </c>
      <c r="D327">
        <v>171.15</v>
      </c>
      <c r="E327">
        <v>1.1200000000000001</v>
      </c>
      <c r="F327">
        <v>1.75</v>
      </c>
      <c r="G327">
        <v>0.31</v>
      </c>
      <c r="H327">
        <v>0.86</v>
      </c>
      <c r="I327">
        <v>1.1919</v>
      </c>
      <c r="J327">
        <v>83.9</v>
      </c>
      <c r="K327" t="s">
        <v>55</v>
      </c>
      <c r="L327" t="s">
        <v>51</v>
      </c>
      <c r="M327">
        <v>2</v>
      </c>
      <c r="N327">
        <v>25.196000000000002</v>
      </c>
      <c r="O327">
        <v>0</v>
      </c>
      <c r="P327">
        <v>1.41</v>
      </c>
      <c r="Q327" t="s">
        <v>63</v>
      </c>
      <c r="R327">
        <v>150</v>
      </c>
      <c r="S327">
        <v>24</v>
      </c>
      <c r="T327" t="s">
        <v>164</v>
      </c>
      <c r="U327" t="s">
        <v>164</v>
      </c>
      <c r="V327" s="7">
        <v>0.88382013131394899</v>
      </c>
      <c r="W327">
        <v>109</v>
      </c>
      <c r="X327" t="s">
        <v>164</v>
      </c>
      <c r="Y327" t="s">
        <v>164</v>
      </c>
      <c r="Z327">
        <v>5.5</v>
      </c>
      <c r="AA327">
        <v>9</v>
      </c>
      <c r="AB327">
        <v>25</v>
      </c>
      <c r="AC327" s="21">
        <f>40/60</f>
        <v>0.66666666666666663</v>
      </c>
      <c r="AD327">
        <v>6</v>
      </c>
      <c r="AE327">
        <v>30</v>
      </c>
      <c r="AF327" s="11">
        <v>0.155</v>
      </c>
    </row>
    <row r="328" spans="1:32" x14ac:dyDescent="0.3">
      <c r="A328" t="s">
        <v>62</v>
      </c>
      <c r="B328" t="s">
        <v>12</v>
      </c>
      <c r="C328">
        <v>-0.02</v>
      </c>
      <c r="D328">
        <v>171.15</v>
      </c>
      <c r="E328">
        <v>1.1200000000000001</v>
      </c>
      <c r="F328">
        <v>1.75</v>
      </c>
      <c r="G328">
        <v>0.31</v>
      </c>
      <c r="H328">
        <v>0.86</v>
      </c>
      <c r="I328">
        <v>1.1919</v>
      </c>
      <c r="J328">
        <v>83.9</v>
      </c>
      <c r="K328" t="s">
        <v>55</v>
      </c>
      <c r="L328" t="s">
        <v>51</v>
      </c>
      <c r="M328">
        <v>2</v>
      </c>
      <c r="N328">
        <v>25.196000000000002</v>
      </c>
      <c r="O328">
        <v>0</v>
      </c>
      <c r="P328">
        <v>1.41</v>
      </c>
      <c r="Q328" t="s">
        <v>63</v>
      </c>
      <c r="R328">
        <v>150</v>
      </c>
      <c r="S328">
        <v>24</v>
      </c>
      <c r="T328" t="s">
        <v>164</v>
      </c>
      <c r="U328" t="s">
        <v>164</v>
      </c>
      <c r="V328" s="7">
        <v>0.88382013131394899</v>
      </c>
      <c r="W328">
        <v>109</v>
      </c>
      <c r="X328" t="s">
        <v>164</v>
      </c>
      <c r="Y328" t="s">
        <v>164</v>
      </c>
      <c r="Z328">
        <v>5.5</v>
      </c>
      <c r="AA328">
        <v>9</v>
      </c>
      <c r="AB328">
        <v>25</v>
      </c>
      <c r="AC328" s="17">
        <v>1</v>
      </c>
      <c r="AD328">
        <v>6</v>
      </c>
      <c r="AE328">
        <v>30</v>
      </c>
      <c r="AF328" s="11">
        <v>0.2</v>
      </c>
    </row>
    <row r="329" spans="1:32" x14ac:dyDescent="0.3">
      <c r="A329" t="s">
        <v>62</v>
      </c>
      <c r="B329" t="s">
        <v>12</v>
      </c>
      <c r="C329">
        <v>-0.02</v>
      </c>
      <c r="D329">
        <v>171.15</v>
      </c>
      <c r="E329">
        <v>1.1200000000000001</v>
      </c>
      <c r="F329">
        <v>1.75</v>
      </c>
      <c r="G329">
        <v>0.31</v>
      </c>
      <c r="H329">
        <v>0.86</v>
      </c>
      <c r="I329">
        <v>1.1919</v>
      </c>
      <c r="J329">
        <v>83.9</v>
      </c>
      <c r="K329" t="s">
        <v>55</v>
      </c>
      <c r="L329" t="s">
        <v>51</v>
      </c>
      <c r="M329">
        <v>2</v>
      </c>
      <c r="N329">
        <v>25.196000000000002</v>
      </c>
      <c r="O329">
        <v>0</v>
      </c>
      <c r="P329">
        <v>1.41</v>
      </c>
      <c r="Q329" t="s">
        <v>63</v>
      </c>
      <c r="R329">
        <v>150</v>
      </c>
      <c r="S329">
        <v>24</v>
      </c>
      <c r="T329" t="s">
        <v>164</v>
      </c>
      <c r="U329" t="s">
        <v>164</v>
      </c>
      <c r="V329" s="7">
        <v>0.88382013131394899</v>
      </c>
      <c r="W329">
        <v>109</v>
      </c>
      <c r="X329" t="s">
        <v>164</v>
      </c>
      <c r="Y329" t="s">
        <v>164</v>
      </c>
      <c r="Z329">
        <v>5.5</v>
      </c>
      <c r="AA329">
        <v>9</v>
      </c>
      <c r="AB329">
        <v>25</v>
      </c>
      <c r="AC329" s="21">
        <f>70/60</f>
        <v>1.1666666666666667</v>
      </c>
      <c r="AD329">
        <v>6</v>
      </c>
      <c r="AE329">
        <v>30</v>
      </c>
      <c r="AF329" s="11">
        <v>0.24</v>
      </c>
    </row>
    <row r="330" spans="1:32" x14ac:dyDescent="0.3">
      <c r="A330" t="s">
        <v>62</v>
      </c>
      <c r="B330" t="s">
        <v>12</v>
      </c>
      <c r="C330">
        <v>-0.02</v>
      </c>
      <c r="D330">
        <v>171.15</v>
      </c>
      <c r="E330">
        <v>1.1200000000000001</v>
      </c>
      <c r="F330">
        <v>1.75</v>
      </c>
      <c r="G330">
        <v>0.31</v>
      </c>
      <c r="H330">
        <v>0.86</v>
      </c>
      <c r="I330">
        <v>1.1919</v>
      </c>
      <c r="J330">
        <v>83.9</v>
      </c>
      <c r="K330" t="s">
        <v>55</v>
      </c>
      <c r="L330" t="s">
        <v>51</v>
      </c>
      <c r="M330">
        <v>2</v>
      </c>
      <c r="N330">
        <v>25.196000000000002</v>
      </c>
      <c r="O330">
        <v>0</v>
      </c>
      <c r="P330">
        <v>1.41</v>
      </c>
      <c r="Q330" t="s">
        <v>63</v>
      </c>
      <c r="R330">
        <v>150</v>
      </c>
      <c r="S330">
        <v>24</v>
      </c>
      <c r="T330" t="s">
        <v>164</v>
      </c>
      <c r="U330" t="s">
        <v>164</v>
      </c>
      <c r="V330" s="7">
        <v>0.88382013131394899</v>
      </c>
      <c r="W330">
        <v>109</v>
      </c>
      <c r="X330" t="s">
        <v>164</v>
      </c>
      <c r="Y330" t="s">
        <v>164</v>
      </c>
      <c r="Z330">
        <v>5.5</v>
      </c>
      <c r="AA330">
        <v>9</v>
      </c>
      <c r="AB330">
        <v>25</v>
      </c>
      <c r="AC330" s="21">
        <f>80/60</f>
        <v>1.3333333333333333</v>
      </c>
      <c r="AD330">
        <v>6</v>
      </c>
      <c r="AE330">
        <v>30</v>
      </c>
      <c r="AF330" s="11">
        <v>0.27500000000000002</v>
      </c>
    </row>
    <row r="331" spans="1:32" x14ac:dyDescent="0.3">
      <c r="A331" t="s">
        <v>62</v>
      </c>
      <c r="B331" t="s">
        <v>12</v>
      </c>
      <c r="C331">
        <v>-0.02</v>
      </c>
      <c r="D331">
        <v>171.15</v>
      </c>
      <c r="E331">
        <v>1.1200000000000001</v>
      </c>
      <c r="F331">
        <v>1.75</v>
      </c>
      <c r="G331">
        <v>0.31</v>
      </c>
      <c r="H331">
        <v>0.86</v>
      </c>
      <c r="I331">
        <v>1.1919</v>
      </c>
      <c r="J331">
        <v>83.9</v>
      </c>
      <c r="K331" t="s">
        <v>55</v>
      </c>
      <c r="L331" t="s">
        <v>51</v>
      </c>
      <c r="M331">
        <v>2</v>
      </c>
      <c r="N331">
        <v>25.196000000000002</v>
      </c>
      <c r="O331">
        <v>0</v>
      </c>
      <c r="P331">
        <v>1.41</v>
      </c>
      <c r="Q331" t="s">
        <v>63</v>
      </c>
      <c r="R331">
        <v>150</v>
      </c>
      <c r="S331">
        <v>24</v>
      </c>
      <c r="T331" t="s">
        <v>164</v>
      </c>
      <c r="U331" t="s">
        <v>164</v>
      </c>
      <c r="V331" s="7">
        <v>0.88382013131394899</v>
      </c>
      <c r="W331">
        <v>109</v>
      </c>
      <c r="X331" t="s">
        <v>164</v>
      </c>
      <c r="Y331" t="s">
        <v>164</v>
      </c>
      <c r="Z331">
        <v>5.5</v>
      </c>
      <c r="AA331">
        <v>9</v>
      </c>
      <c r="AB331">
        <v>25</v>
      </c>
      <c r="AC331" s="17">
        <f>90/60</f>
        <v>1.5</v>
      </c>
      <c r="AD331">
        <v>6</v>
      </c>
      <c r="AE331">
        <v>30</v>
      </c>
      <c r="AF331" s="11">
        <v>0.3</v>
      </c>
    </row>
    <row r="332" spans="1:32" x14ac:dyDescent="0.3">
      <c r="A332" t="s">
        <v>62</v>
      </c>
      <c r="B332" t="s">
        <v>12</v>
      </c>
      <c r="C332">
        <v>-0.02</v>
      </c>
      <c r="D332">
        <v>171.15</v>
      </c>
      <c r="E332">
        <v>1.1200000000000001</v>
      </c>
      <c r="F332">
        <v>1.75</v>
      </c>
      <c r="G332">
        <v>0.31</v>
      </c>
      <c r="H332">
        <v>0.86</v>
      </c>
      <c r="I332">
        <v>1.1919</v>
      </c>
      <c r="J332">
        <v>83.9</v>
      </c>
      <c r="K332" t="s">
        <v>55</v>
      </c>
      <c r="L332" t="s">
        <v>51</v>
      </c>
      <c r="M332">
        <v>2</v>
      </c>
      <c r="N332">
        <v>25.196000000000002</v>
      </c>
      <c r="O332">
        <v>0</v>
      </c>
      <c r="P332">
        <v>1.41</v>
      </c>
      <c r="Q332" t="s">
        <v>63</v>
      </c>
      <c r="R332">
        <v>150</v>
      </c>
      <c r="S332">
        <v>24</v>
      </c>
      <c r="T332" t="s">
        <v>164</v>
      </c>
      <c r="U332" t="s">
        <v>164</v>
      </c>
      <c r="V332" s="7">
        <v>0.88382013131394899</v>
      </c>
      <c r="W332">
        <v>109</v>
      </c>
      <c r="X332" t="s">
        <v>164</v>
      </c>
      <c r="Y332" t="s">
        <v>164</v>
      </c>
      <c r="Z332">
        <v>5.5</v>
      </c>
      <c r="AA332">
        <v>9</v>
      </c>
      <c r="AB332">
        <v>25</v>
      </c>
      <c r="AC332" s="21">
        <f>100/60</f>
        <v>1.6666666666666667</v>
      </c>
      <c r="AD332">
        <v>6</v>
      </c>
      <c r="AE332">
        <v>30</v>
      </c>
      <c r="AF332" s="11">
        <v>0.31</v>
      </c>
    </row>
    <row r="333" spans="1:32" x14ac:dyDescent="0.3">
      <c r="A333" t="s">
        <v>62</v>
      </c>
      <c r="B333" t="s">
        <v>12</v>
      </c>
      <c r="C333">
        <v>-0.02</v>
      </c>
      <c r="D333">
        <v>171.15</v>
      </c>
      <c r="E333">
        <v>1.1200000000000001</v>
      </c>
      <c r="F333">
        <v>1.75</v>
      </c>
      <c r="G333">
        <v>0.31</v>
      </c>
      <c r="H333">
        <v>0.86</v>
      </c>
      <c r="I333">
        <v>1.1919</v>
      </c>
      <c r="J333">
        <v>83.9</v>
      </c>
      <c r="K333" t="s">
        <v>55</v>
      </c>
      <c r="L333" t="s">
        <v>51</v>
      </c>
      <c r="M333">
        <v>2</v>
      </c>
      <c r="N333">
        <v>25.196000000000002</v>
      </c>
      <c r="O333">
        <v>0</v>
      </c>
      <c r="P333">
        <v>1.41</v>
      </c>
      <c r="Q333" t="s">
        <v>63</v>
      </c>
      <c r="R333">
        <v>150</v>
      </c>
      <c r="S333">
        <v>24</v>
      </c>
      <c r="T333" t="s">
        <v>164</v>
      </c>
      <c r="U333" t="s">
        <v>164</v>
      </c>
      <c r="V333" s="7">
        <v>0.88382013131394899</v>
      </c>
      <c r="W333">
        <v>109</v>
      </c>
      <c r="X333" t="s">
        <v>164</v>
      </c>
      <c r="Y333" t="s">
        <v>164</v>
      </c>
      <c r="Z333">
        <v>5.5</v>
      </c>
      <c r="AA333">
        <v>9</v>
      </c>
      <c r="AB333">
        <v>25</v>
      </c>
      <c r="AC333" s="21">
        <f>110/60</f>
        <v>1.8333333333333333</v>
      </c>
      <c r="AD333">
        <v>6</v>
      </c>
      <c r="AE333">
        <v>30</v>
      </c>
      <c r="AF333" s="11">
        <v>0.32</v>
      </c>
    </row>
    <row r="334" spans="1:32" x14ac:dyDescent="0.3">
      <c r="A334" t="s">
        <v>62</v>
      </c>
      <c r="B334" t="s">
        <v>12</v>
      </c>
      <c r="C334">
        <v>-0.02</v>
      </c>
      <c r="D334">
        <v>171.15</v>
      </c>
      <c r="E334">
        <v>1.1200000000000001</v>
      </c>
      <c r="F334">
        <v>1.75</v>
      </c>
      <c r="G334">
        <v>0.31</v>
      </c>
      <c r="H334">
        <v>0.86</v>
      </c>
      <c r="I334">
        <v>1.1919</v>
      </c>
      <c r="J334">
        <v>83.9</v>
      </c>
      <c r="K334" t="s">
        <v>55</v>
      </c>
      <c r="L334" t="s">
        <v>51</v>
      </c>
      <c r="M334">
        <v>2</v>
      </c>
      <c r="N334">
        <v>25.196000000000002</v>
      </c>
      <c r="O334">
        <v>0</v>
      </c>
      <c r="P334">
        <v>1.41</v>
      </c>
      <c r="Q334" t="s">
        <v>63</v>
      </c>
      <c r="R334">
        <v>150</v>
      </c>
      <c r="S334">
        <v>24</v>
      </c>
      <c r="T334" t="s">
        <v>164</v>
      </c>
      <c r="U334" t="s">
        <v>164</v>
      </c>
      <c r="V334" s="7">
        <v>0.88382013131394899</v>
      </c>
      <c r="W334">
        <v>109</v>
      </c>
      <c r="X334" t="s">
        <v>164</v>
      </c>
      <c r="Y334" t="s">
        <v>164</v>
      </c>
      <c r="Z334">
        <v>5.5</v>
      </c>
      <c r="AA334">
        <v>9</v>
      </c>
      <c r="AB334">
        <v>25</v>
      </c>
      <c r="AC334" s="17">
        <f>120/60</f>
        <v>2</v>
      </c>
      <c r="AD334">
        <v>6</v>
      </c>
      <c r="AE334">
        <v>30</v>
      </c>
      <c r="AF334" s="11">
        <v>0.33</v>
      </c>
    </row>
    <row r="335" spans="1:32" x14ac:dyDescent="0.3">
      <c r="A335" t="s">
        <v>62</v>
      </c>
      <c r="B335" t="s">
        <v>12</v>
      </c>
      <c r="C335">
        <v>-0.02</v>
      </c>
      <c r="D335">
        <v>171.15</v>
      </c>
      <c r="E335">
        <v>1.1200000000000001</v>
      </c>
      <c r="F335">
        <v>1.75</v>
      </c>
      <c r="G335">
        <v>0.31</v>
      </c>
      <c r="H335">
        <v>0.86</v>
      </c>
      <c r="I335">
        <v>1.1919</v>
      </c>
      <c r="J335">
        <v>83.9</v>
      </c>
      <c r="K335" t="s">
        <v>55</v>
      </c>
      <c r="L335" t="s">
        <v>51</v>
      </c>
      <c r="M335">
        <v>2</v>
      </c>
      <c r="N335">
        <v>25.196000000000002</v>
      </c>
      <c r="O335">
        <v>0</v>
      </c>
      <c r="P335">
        <v>1.41</v>
      </c>
      <c r="Q335" t="s">
        <v>63</v>
      </c>
      <c r="R335">
        <v>150</v>
      </c>
      <c r="S335">
        <v>24</v>
      </c>
      <c r="T335" t="s">
        <v>164</v>
      </c>
      <c r="U335" t="s">
        <v>164</v>
      </c>
      <c r="V335" s="7">
        <v>0.88382013131394899</v>
      </c>
      <c r="W335">
        <v>109</v>
      </c>
      <c r="X335" t="s">
        <v>164</v>
      </c>
      <c r="Y335" t="s">
        <v>164</v>
      </c>
      <c r="Z335">
        <v>5.5</v>
      </c>
      <c r="AA335">
        <v>9</v>
      </c>
      <c r="AB335">
        <v>25</v>
      </c>
      <c r="AC335" s="21">
        <f>130/60</f>
        <v>2.1666666666666665</v>
      </c>
      <c r="AD335">
        <v>6</v>
      </c>
      <c r="AE335">
        <v>30</v>
      </c>
      <c r="AF335" s="11">
        <v>0.34</v>
      </c>
    </row>
    <row r="336" spans="1:32" x14ac:dyDescent="0.3">
      <c r="A336" t="s">
        <v>62</v>
      </c>
      <c r="B336" t="s">
        <v>12</v>
      </c>
      <c r="C336">
        <v>-0.02</v>
      </c>
      <c r="D336">
        <v>171.15</v>
      </c>
      <c r="E336">
        <v>1.1200000000000001</v>
      </c>
      <c r="F336">
        <v>1.75</v>
      </c>
      <c r="G336">
        <v>0.31</v>
      </c>
      <c r="H336">
        <v>0.86</v>
      </c>
      <c r="I336">
        <v>1.1919</v>
      </c>
      <c r="J336">
        <v>83.9</v>
      </c>
      <c r="K336" t="s">
        <v>55</v>
      </c>
      <c r="L336" t="s">
        <v>51</v>
      </c>
      <c r="M336">
        <v>2</v>
      </c>
      <c r="N336">
        <v>25.196000000000002</v>
      </c>
      <c r="O336">
        <v>0</v>
      </c>
      <c r="P336">
        <v>1.41</v>
      </c>
      <c r="Q336" t="s">
        <v>63</v>
      </c>
      <c r="R336">
        <v>150</v>
      </c>
      <c r="S336">
        <v>24</v>
      </c>
      <c r="T336" t="s">
        <v>164</v>
      </c>
      <c r="U336" t="s">
        <v>164</v>
      </c>
      <c r="V336" s="7">
        <v>0.88382013131394899</v>
      </c>
      <c r="W336">
        <v>109</v>
      </c>
      <c r="X336" t="s">
        <v>164</v>
      </c>
      <c r="Y336" t="s">
        <v>164</v>
      </c>
      <c r="Z336">
        <v>5.5</v>
      </c>
      <c r="AA336">
        <v>9</v>
      </c>
      <c r="AB336">
        <v>25</v>
      </c>
      <c r="AC336" s="17">
        <f>150/60</f>
        <v>2.5</v>
      </c>
      <c r="AD336">
        <v>6</v>
      </c>
      <c r="AE336">
        <v>30</v>
      </c>
      <c r="AF336" s="11">
        <v>0.34</v>
      </c>
    </row>
    <row r="337" spans="1:32" x14ac:dyDescent="0.3">
      <c r="A337" t="s">
        <v>62</v>
      </c>
      <c r="B337" t="s">
        <v>12</v>
      </c>
      <c r="C337">
        <v>-0.02</v>
      </c>
      <c r="D337">
        <v>171.15</v>
      </c>
      <c r="E337">
        <v>1.1200000000000001</v>
      </c>
      <c r="F337">
        <v>1.75</v>
      </c>
      <c r="G337">
        <v>0.31</v>
      </c>
      <c r="H337">
        <v>0.86</v>
      </c>
      <c r="I337">
        <v>1.1919</v>
      </c>
      <c r="J337">
        <v>83.9</v>
      </c>
      <c r="K337" t="s">
        <v>55</v>
      </c>
      <c r="L337" t="s">
        <v>51</v>
      </c>
      <c r="M337">
        <v>2</v>
      </c>
      <c r="N337">
        <v>25.196000000000002</v>
      </c>
      <c r="O337">
        <v>0</v>
      </c>
      <c r="P337">
        <v>1.41</v>
      </c>
      <c r="Q337" t="s">
        <v>63</v>
      </c>
      <c r="R337">
        <v>150</v>
      </c>
      <c r="S337">
        <v>24</v>
      </c>
      <c r="T337" t="s">
        <v>164</v>
      </c>
      <c r="U337" t="s">
        <v>164</v>
      </c>
      <c r="V337" s="7">
        <v>0.88382013131394899</v>
      </c>
      <c r="W337">
        <v>109</v>
      </c>
      <c r="X337" t="s">
        <v>164</v>
      </c>
      <c r="Y337" t="s">
        <v>164</v>
      </c>
      <c r="Z337">
        <v>5.5</v>
      </c>
      <c r="AA337">
        <v>9</v>
      </c>
      <c r="AB337">
        <v>25</v>
      </c>
      <c r="AC337" s="17">
        <f>180/60</f>
        <v>3</v>
      </c>
      <c r="AD337">
        <v>6</v>
      </c>
      <c r="AE337">
        <v>30</v>
      </c>
      <c r="AF337" s="11">
        <v>0.34</v>
      </c>
    </row>
    <row r="338" spans="1:32" x14ac:dyDescent="0.3">
      <c r="A338" t="s">
        <v>62</v>
      </c>
      <c r="B338" t="s">
        <v>12</v>
      </c>
      <c r="C338">
        <v>-0.02</v>
      </c>
      <c r="D338">
        <v>171.15</v>
      </c>
      <c r="E338">
        <v>1.1200000000000001</v>
      </c>
      <c r="F338">
        <v>1.75</v>
      </c>
      <c r="G338">
        <v>0.31</v>
      </c>
      <c r="H338">
        <v>0.86</v>
      </c>
      <c r="I338">
        <v>1.1919</v>
      </c>
      <c r="J338">
        <v>83.9</v>
      </c>
      <c r="K338" t="s">
        <v>55</v>
      </c>
      <c r="L338" t="s">
        <v>51</v>
      </c>
      <c r="M338">
        <v>2</v>
      </c>
      <c r="N338">
        <v>25.196000000000002</v>
      </c>
      <c r="O338">
        <v>0</v>
      </c>
      <c r="P338">
        <v>1.41</v>
      </c>
      <c r="Q338" t="s">
        <v>63</v>
      </c>
      <c r="R338">
        <v>150</v>
      </c>
      <c r="S338">
        <v>24</v>
      </c>
      <c r="T338" t="s">
        <v>164</v>
      </c>
      <c r="U338" t="s">
        <v>164</v>
      </c>
      <c r="V338" s="7">
        <v>0.88382013131394899</v>
      </c>
      <c r="W338">
        <v>109</v>
      </c>
      <c r="X338" t="s">
        <v>164</v>
      </c>
      <c r="Y338" t="s">
        <v>164</v>
      </c>
      <c r="Z338">
        <v>5.5</v>
      </c>
      <c r="AA338">
        <v>9</v>
      </c>
      <c r="AB338">
        <v>25</v>
      </c>
      <c r="AC338" s="17">
        <f>210/60</f>
        <v>3.5</v>
      </c>
      <c r="AD338">
        <v>6</v>
      </c>
      <c r="AE338">
        <v>30</v>
      </c>
      <c r="AF338" s="11">
        <v>0.35</v>
      </c>
    </row>
    <row r="339" spans="1:32" x14ac:dyDescent="0.3">
      <c r="A339" t="s">
        <v>62</v>
      </c>
      <c r="B339" t="s">
        <v>12</v>
      </c>
      <c r="C339">
        <v>-0.02</v>
      </c>
      <c r="D339">
        <v>171.15</v>
      </c>
      <c r="E339">
        <v>1.1200000000000001</v>
      </c>
      <c r="F339">
        <v>1.75</v>
      </c>
      <c r="G339">
        <v>0.31</v>
      </c>
      <c r="H339">
        <v>0.86</v>
      </c>
      <c r="I339">
        <v>1.1919</v>
      </c>
      <c r="J339">
        <v>83.9</v>
      </c>
      <c r="K339" t="s">
        <v>55</v>
      </c>
      <c r="L339" t="s">
        <v>51</v>
      </c>
      <c r="M339">
        <v>2</v>
      </c>
      <c r="N339">
        <v>25.196000000000002</v>
      </c>
      <c r="O339">
        <v>0</v>
      </c>
      <c r="P339">
        <v>1.41</v>
      </c>
      <c r="Q339" t="s">
        <v>63</v>
      </c>
      <c r="R339">
        <v>150</v>
      </c>
      <c r="S339">
        <v>24</v>
      </c>
      <c r="T339" t="s">
        <v>164</v>
      </c>
      <c r="U339" t="s">
        <v>164</v>
      </c>
      <c r="V339" s="7">
        <v>0.88382013131394899</v>
      </c>
      <c r="W339">
        <v>109</v>
      </c>
      <c r="X339" t="s">
        <v>164</v>
      </c>
      <c r="Y339" t="s">
        <v>164</v>
      </c>
      <c r="Z339">
        <v>5.5</v>
      </c>
      <c r="AA339">
        <v>9</v>
      </c>
      <c r="AB339">
        <v>25</v>
      </c>
      <c r="AC339" s="21">
        <f>20/60</f>
        <v>0.33333333333333331</v>
      </c>
      <c r="AD339">
        <v>6</v>
      </c>
      <c r="AE339">
        <v>40</v>
      </c>
      <c r="AF339" s="11">
        <v>0.1</v>
      </c>
    </row>
    <row r="340" spans="1:32" x14ac:dyDescent="0.3">
      <c r="A340" t="s">
        <v>62</v>
      </c>
      <c r="B340" t="s">
        <v>12</v>
      </c>
      <c r="C340">
        <v>-0.02</v>
      </c>
      <c r="D340">
        <v>171.15</v>
      </c>
      <c r="E340">
        <v>1.1200000000000001</v>
      </c>
      <c r="F340">
        <v>1.75</v>
      </c>
      <c r="G340">
        <v>0.31</v>
      </c>
      <c r="H340">
        <v>0.86</v>
      </c>
      <c r="I340">
        <v>1.1919</v>
      </c>
      <c r="J340">
        <v>83.9</v>
      </c>
      <c r="K340" t="s">
        <v>55</v>
      </c>
      <c r="L340" t="s">
        <v>51</v>
      </c>
      <c r="M340">
        <v>2</v>
      </c>
      <c r="N340">
        <v>25.196000000000002</v>
      </c>
      <c r="O340">
        <v>0</v>
      </c>
      <c r="P340">
        <v>1.41</v>
      </c>
      <c r="Q340" t="s">
        <v>63</v>
      </c>
      <c r="R340">
        <v>150</v>
      </c>
      <c r="S340">
        <v>24</v>
      </c>
      <c r="T340" t="s">
        <v>164</v>
      </c>
      <c r="U340" t="s">
        <v>164</v>
      </c>
      <c r="V340" s="7">
        <v>0.88382013131394899</v>
      </c>
      <c r="W340">
        <v>109</v>
      </c>
      <c r="X340" t="s">
        <v>164</v>
      </c>
      <c r="Y340" t="s">
        <v>164</v>
      </c>
      <c r="Z340">
        <v>5.5</v>
      </c>
      <c r="AA340">
        <v>9</v>
      </c>
      <c r="AB340">
        <v>25</v>
      </c>
      <c r="AC340" s="17">
        <f>30/60</f>
        <v>0.5</v>
      </c>
      <c r="AD340">
        <v>6</v>
      </c>
      <c r="AE340">
        <v>40</v>
      </c>
      <c r="AF340" s="11">
        <v>0.16</v>
      </c>
    </row>
    <row r="341" spans="1:32" x14ac:dyDescent="0.3">
      <c r="A341" t="s">
        <v>62</v>
      </c>
      <c r="B341" t="s">
        <v>12</v>
      </c>
      <c r="C341">
        <v>-0.02</v>
      </c>
      <c r="D341">
        <v>171.15</v>
      </c>
      <c r="E341">
        <v>1.1200000000000001</v>
      </c>
      <c r="F341">
        <v>1.75</v>
      </c>
      <c r="G341">
        <v>0.31</v>
      </c>
      <c r="H341">
        <v>0.86</v>
      </c>
      <c r="I341">
        <v>1.1919</v>
      </c>
      <c r="J341">
        <v>83.9</v>
      </c>
      <c r="K341" t="s">
        <v>55</v>
      </c>
      <c r="L341" t="s">
        <v>51</v>
      </c>
      <c r="M341">
        <v>2</v>
      </c>
      <c r="N341">
        <v>25.196000000000002</v>
      </c>
      <c r="O341">
        <v>0</v>
      </c>
      <c r="P341">
        <v>1.41</v>
      </c>
      <c r="Q341" t="s">
        <v>63</v>
      </c>
      <c r="R341">
        <v>150</v>
      </c>
      <c r="S341">
        <v>24</v>
      </c>
      <c r="T341" t="s">
        <v>164</v>
      </c>
      <c r="U341" t="s">
        <v>164</v>
      </c>
      <c r="V341" s="7">
        <v>0.88382013131394899</v>
      </c>
      <c r="W341">
        <v>109</v>
      </c>
      <c r="X341" t="s">
        <v>164</v>
      </c>
      <c r="Y341" t="s">
        <v>164</v>
      </c>
      <c r="Z341">
        <v>5.5</v>
      </c>
      <c r="AA341">
        <v>9</v>
      </c>
      <c r="AB341">
        <v>25</v>
      </c>
      <c r="AC341" s="21">
        <f>40/60</f>
        <v>0.66666666666666663</v>
      </c>
      <c r="AD341">
        <v>6</v>
      </c>
      <c r="AE341">
        <v>40</v>
      </c>
      <c r="AF341" s="11">
        <v>0.19500000000000001</v>
      </c>
    </row>
    <row r="342" spans="1:32" x14ac:dyDescent="0.3">
      <c r="A342" t="s">
        <v>62</v>
      </c>
      <c r="B342" t="s">
        <v>12</v>
      </c>
      <c r="C342">
        <v>-0.02</v>
      </c>
      <c r="D342">
        <v>171.15</v>
      </c>
      <c r="E342">
        <v>1.1200000000000001</v>
      </c>
      <c r="F342">
        <v>1.75</v>
      </c>
      <c r="G342">
        <v>0.31</v>
      </c>
      <c r="H342">
        <v>0.86</v>
      </c>
      <c r="I342">
        <v>1.1919</v>
      </c>
      <c r="J342">
        <v>83.9</v>
      </c>
      <c r="K342" t="s">
        <v>55</v>
      </c>
      <c r="L342" t="s">
        <v>51</v>
      </c>
      <c r="M342">
        <v>2</v>
      </c>
      <c r="N342">
        <v>25.196000000000002</v>
      </c>
      <c r="O342">
        <v>0</v>
      </c>
      <c r="P342">
        <v>1.41</v>
      </c>
      <c r="Q342" t="s">
        <v>63</v>
      </c>
      <c r="R342">
        <v>150</v>
      </c>
      <c r="S342">
        <v>24</v>
      </c>
      <c r="T342" t="s">
        <v>164</v>
      </c>
      <c r="U342" t="s">
        <v>164</v>
      </c>
      <c r="V342" s="7">
        <v>0.88382013131394899</v>
      </c>
      <c r="W342">
        <v>109</v>
      </c>
      <c r="X342" t="s">
        <v>164</v>
      </c>
      <c r="Y342" t="s">
        <v>164</v>
      </c>
      <c r="Z342">
        <v>5.5</v>
      </c>
      <c r="AA342">
        <v>9</v>
      </c>
      <c r="AB342">
        <v>25</v>
      </c>
      <c r="AC342" s="17">
        <v>1</v>
      </c>
      <c r="AD342">
        <v>6</v>
      </c>
      <c r="AE342">
        <v>40</v>
      </c>
      <c r="AF342" s="11">
        <v>0.24</v>
      </c>
    </row>
    <row r="343" spans="1:32" x14ac:dyDescent="0.3">
      <c r="A343" t="s">
        <v>62</v>
      </c>
      <c r="B343" t="s">
        <v>12</v>
      </c>
      <c r="C343">
        <v>-0.02</v>
      </c>
      <c r="D343">
        <v>171.15</v>
      </c>
      <c r="E343">
        <v>1.1200000000000001</v>
      </c>
      <c r="F343">
        <v>1.75</v>
      </c>
      <c r="G343">
        <v>0.31</v>
      </c>
      <c r="H343">
        <v>0.86</v>
      </c>
      <c r="I343">
        <v>1.1919</v>
      </c>
      <c r="J343">
        <v>83.9</v>
      </c>
      <c r="K343" t="s">
        <v>55</v>
      </c>
      <c r="L343" t="s">
        <v>51</v>
      </c>
      <c r="M343">
        <v>2</v>
      </c>
      <c r="N343">
        <v>25.196000000000002</v>
      </c>
      <c r="O343">
        <v>0</v>
      </c>
      <c r="P343">
        <v>1.41</v>
      </c>
      <c r="Q343" t="s">
        <v>63</v>
      </c>
      <c r="R343">
        <v>150</v>
      </c>
      <c r="S343">
        <v>24</v>
      </c>
      <c r="T343" t="s">
        <v>164</v>
      </c>
      <c r="U343" t="s">
        <v>164</v>
      </c>
      <c r="V343" s="7">
        <v>0.88382013131394899</v>
      </c>
      <c r="W343">
        <v>109</v>
      </c>
      <c r="X343" t="s">
        <v>164</v>
      </c>
      <c r="Y343" t="s">
        <v>164</v>
      </c>
      <c r="Z343">
        <v>5.5</v>
      </c>
      <c r="AA343">
        <v>9</v>
      </c>
      <c r="AB343">
        <v>25</v>
      </c>
      <c r="AC343" s="21">
        <f>70/60</f>
        <v>1.1666666666666667</v>
      </c>
      <c r="AD343">
        <v>6</v>
      </c>
      <c r="AE343">
        <v>40</v>
      </c>
      <c r="AF343" s="11">
        <v>0.26</v>
      </c>
    </row>
    <row r="344" spans="1:32" x14ac:dyDescent="0.3">
      <c r="A344" t="s">
        <v>62</v>
      </c>
      <c r="B344" t="s">
        <v>12</v>
      </c>
      <c r="C344">
        <v>-0.02</v>
      </c>
      <c r="D344">
        <v>171.15</v>
      </c>
      <c r="E344">
        <v>1.1200000000000001</v>
      </c>
      <c r="F344">
        <v>1.75</v>
      </c>
      <c r="G344">
        <v>0.31</v>
      </c>
      <c r="H344">
        <v>0.86</v>
      </c>
      <c r="I344">
        <v>1.1919</v>
      </c>
      <c r="J344">
        <v>83.9</v>
      </c>
      <c r="K344" t="s">
        <v>55</v>
      </c>
      <c r="L344" t="s">
        <v>51</v>
      </c>
      <c r="M344">
        <v>2</v>
      </c>
      <c r="N344">
        <v>25.196000000000002</v>
      </c>
      <c r="O344">
        <v>0</v>
      </c>
      <c r="P344">
        <v>1.41</v>
      </c>
      <c r="Q344" t="s">
        <v>63</v>
      </c>
      <c r="R344">
        <v>150</v>
      </c>
      <c r="S344">
        <v>24</v>
      </c>
      <c r="T344" t="s">
        <v>164</v>
      </c>
      <c r="U344" t="s">
        <v>164</v>
      </c>
      <c r="V344" s="7">
        <v>0.88382013131394899</v>
      </c>
      <c r="W344">
        <v>109</v>
      </c>
      <c r="X344" t="s">
        <v>164</v>
      </c>
      <c r="Y344" t="s">
        <v>164</v>
      </c>
      <c r="Z344">
        <v>5.5</v>
      </c>
      <c r="AA344">
        <v>9</v>
      </c>
      <c r="AB344">
        <v>25</v>
      </c>
      <c r="AC344" s="21">
        <f>80/60</f>
        <v>1.3333333333333333</v>
      </c>
      <c r="AD344">
        <v>6</v>
      </c>
      <c r="AE344">
        <v>40</v>
      </c>
      <c r="AF344" s="11">
        <v>0.28999999999999998</v>
      </c>
    </row>
    <row r="345" spans="1:32" x14ac:dyDescent="0.3">
      <c r="A345" t="s">
        <v>62</v>
      </c>
      <c r="B345" t="s">
        <v>12</v>
      </c>
      <c r="C345">
        <v>-0.02</v>
      </c>
      <c r="D345">
        <v>171.15</v>
      </c>
      <c r="E345">
        <v>1.1200000000000001</v>
      </c>
      <c r="F345">
        <v>1.75</v>
      </c>
      <c r="G345">
        <v>0.31</v>
      </c>
      <c r="H345">
        <v>0.86</v>
      </c>
      <c r="I345">
        <v>1.1919</v>
      </c>
      <c r="J345">
        <v>83.9</v>
      </c>
      <c r="K345" t="s">
        <v>55</v>
      </c>
      <c r="L345" t="s">
        <v>51</v>
      </c>
      <c r="M345">
        <v>2</v>
      </c>
      <c r="N345">
        <v>25.196000000000002</v>
      </c>
      <c r="O345">
        <v>0</v>
      </c>
      <c r="P345">
        <v>1.41</v>
      </c>
      <c r="Q345" t="s">
        <v>63</v>
      </c>
      <c r="R345">
        <v>150</v>
      </c>
      <c r="S345">
        <v>24</v>
      </c>
      <c r="T345" t="s">
        <v>164</v>
      </c>
      <c r="U345" t="s">
        <v>164</v>
      </c>
      <c r="V345" s="7">
        <v>0.88382013131394899</v>
      </c>
      <c r="W345">
        <v>109</v>
      </c>
      <c r="X345" t="s">
        <v>164</v>
      </c>
      <c r="Y345" t="s">
        <v>164</v>
      </c>
      <c r="Z345">
        <v>5.5</v>
      </c>
      <c r="AA345">
        <v>9</v>
      </c>
      <c r="AB345">
        <v>25</v>
      </c>
      <c r="AC345" s="17">
        <f>90/60</f>
        <v>1.5</v>
      </c>
      <c r="AD345">
        <v>6</v>
      </c>
      <c r="AE345">
        <v>40</v>
      </c>
      <c r="AF345" s="11">
        <v>0.31</v>
      </c>
    </row>
    <row r="346" spans="1:32" x14ac:dyDescent="0.3">
      <c r="A346" t="s">
        <v>62</v>
      </c>
      <c r="B346" t="s">
        <v>12</v>
      </c>
      <c r="C346">
        <v>-0.02</v>
      </c>
      <c r="D346">
        <v>171.15</v>
      </c>
      <c r="E346">
        <v>1.1200000000000001</v>
      </c>
      <c r="F346">
        <v>1.75</v>
      </c>
      <c r="G346">
        <v>0.31</v>
      </c>
      <c r="H346">
        <v>0.86</v>
      </c>
      <c r="I346">
        <v>1.1919</v>
      </c>
      <c r="J346">
        <v>83.9</v>
      </c>
      <c r="K346" t="s">
        <v>55</v>
      </c>
      <c r="L346" t="s">
        <v>51</v>
      </c>
      <c r="M346">
        <v>2</v>
      </c>
      <c r="N346">
        <v>25.196000000000002</v>
      </c>
      <c r="O346">
        <v>0</v>
      </c>
      <c r="P346">
        <v>1.41</v>
      </c>
      <c r="Q346" t="s">
        <v>63</v>
      </c>
      <c r="R346">
        <v>150</v>
      </c>
      <c r="S346">
        <v>24</v>
      </c>
      <c r="T346" t="s">
        <v>164</v>
      </c>
      <c r="U346" t="s">
        <v>164</v>
      </c>
      <c r="V346" s="7">
        <v>0.88382013131394899</v>
      </c>
      <c r="W346">
        <v>109</v>
      </c>
      <c r="X346" t="s">
        <v>164</v>
      </c>
      <c r="Y346" t="s">
        <v>164</v>
      </c>
      <c r="Z346">
        <v>5.5</v>
      </c>
      <c r="AA346">
        <v>9</v>
      </c>
      <c r="AB346">
        <v>25</v>
      </c>
      <c r="AC346" s="21">
        <f>100/60</f>
        <v>1.6666666666666667</v>
      </c>
      <c r="AD346">
        <v>6</v>
      </c>
      <c r="AE346">
        <v>40</v>
      </c>
      <c r="AF346" s="11">
        <v>0.34</v>
      </c>
    </row>
    <row r="347" spans="1:32" x14ac:dyDescent="0.3">
      <c r="A347" t="s">
        <v>62</v>
      </c>
      <c r="B347" t="s">
        <v>12</v>
      </c>
      <c r="C347">
        <v>-0.02</v>
      </c>
      <c r="D347">
        <v>171.15</v>
      </c>
      <c r="E347">
        <v>1.1200000000000001</v>
      </c>
      <c r="F347">
        <v>1.75</v>
      </c>
      <c r="G347">
        <v>0.31</v>
      </c>
      <c r="H347">
        <v>0.86</v>
      </c>
      <c r="I347">
        <v>1.1919</v>
      </c>
      <c r="J347">
        <v>83.9</v>
      </c>
      <c r="K347" t="s">
        <v>55</v>
      </c>
      <c r="L347" t="s">
        <v>51</v>
      </c>
      <c r="M347">
        <v>2</v>
      </c>
      <c r="N347">
        <v>25.196000000000002</v>
      </c>
      <c r="O347">
        <v>0</v>
      </c>
      <c r="P347">
        <v>1.41</v>
      </c>
      <c r="Q347" t="s">
        <v>63</v>
      </c>
      <c r="R347">
        <v>150</v>
      </c>
      <c r="S347">
        <v>24</v>
      </c>
      <c r="T347" t="s">
        <v>164</v>
      </c>
      <c r="U347" t="s">
        <v>164</v>
      </c>
      <c r="V347" s="7">
        <v>0.88382013131394899</v>
      </c>
      <c r="W347">
        <v>109</v>
      </c>
      <c r="X347" t="s">
        <v>164</v>
      </c>
      <c r="Y347" t="s">
        <v>164</v>
      </c>
      <c r="Z347">
        <v>5.5</v>
      </c>
      <c r="AA347">
        <v>9</v>
      </c>
      <c r="AB347">
        <v>25</v>
      </c>
      <c r="AC347" s="21">
        <f>110/60</f>
        <v>1.8333333333333333</v>
      </c>
      <c r="AD347">
        <v>6</v>
      </c>
      <c r="AE347">
        <v>40</v>
      </c>
      <c r="AF347" s="11">
        <v>0.34</v>
      </c>
    </row>
    <row r="348" spans="1:32" x14ac:dyDescent="0.3">
      <c r="A348" t="s">
        <v>62</v>
      </c>
      <c r="B348" t="s">
        <v>12</v>
      </c>
      <c r="C348">
        <v>-0.02</v>
      </c>
      <c r="D348">
        <v>171.15</v>
      </c>
      <c r="E348">
        <v>1.1200000000000001</v>
      </c>
      <c r="F348">
        <v>1.75</v>
      </c>
      <c r="G348">
        <v>0.31</v>
      </c>
      <c r="H348">
        <v>0.86</v>
      </c>
      <c r="I348">
        <v>1.1919</v>
      </c>
      <c r="J348">
        <v>83.9</v>
      </c>
      <c r="K348" t="s">
        <v>55</v>
      </c>
      <c r="L348" t="s">
        <v>51</v>
      </c>
      <c r="M348">
        <v>2</v>
      </c>
      <c r="N348">
        <v>25.196000000000002</v>
      </c>
      <c r="O348">
        <v>0</v>
      </c>
      <c r="P348">
        <v>1.41</v>
      </c>
      <c r="Q348" t="s">
        <v>63</v>
      </c>
      <c r="R348">
        <v>150</v>
      </c>
      <c r="S348">
        <v>24</v>
      </c>
      <c r="T348" t="s">
        <v>164</v>
      </c>
      <c r="U348" t="s">
        <v>164</v>
      </c>
      <c r="V348" s="7">
        <v>0.88382013131394899</v>
      </c>
      <c r="W348">
        <v>109</v>
      </c>
      <c r="X348" t="s">
        <v>164</v>
      </c>
      <c r="Y348" t="s">
        <v>164</v>
      </c>
      <c r="Z348">
        <v>5.5</v>
      </c>
      <c r="AA348">
        <v>9</v>
      </c>
      <c r="AB348">
        <v>25</v>
      </c>
      <c r="AC348" s="17">
        <f>120/60</f>
        <v>2</v>
      </c>
      <c r="AD348">
        <v>6</v>
      </c>
      <c r="AE348">
        <v>40</v>
      </c>
      <c r="AF348" s="11">
        <v>0.36</v>
      </c>
    </row>
    <row r="349" spans="1:32" x14ac:dyDescent="0.3">
      <c r="A349" t="s">
        <v>62</v>
      </c>
      <c r="B349" t="s">
        <v>12</v>
      </c>
      <c r="C349">
        <v>-0.02</v>
      </c>
      <c r="D349">
        <v>171.15</v>
      </c>
      <c r="E349">
        <v>1.1200000000000001</v>
      </c>
      <c r="F349">
        <v>1.75</v>
      </c>
      <c r="G349">
        <v>0.31</v>
      </c>
      <c r="H349">
        <v>0.86</v>
      </c>
      <c r="I349">
        <v>1.1919</v>
      </c>
      <c r="J349">
        <v>83.9</v>
      </c>
      <c r="K349" t="s">
        <v>55</v>
      </c>
      <c r="L349" t="s">
        <v>51</v>
      </c>
      <c r="M349">
        <v>2</v>
      </c>
      <c r="N349">
        <v>25.196000000000002</v>
      </c>
      <c r="O349">
        <v>0</v>
      </c>
      <c r="P349">
        <v>1.41</v>
      </c>
      <c r="Q349" t="s">
        <v>63</v>
      </c>
      <c r="R349">
        <v>150</v>
      </c>
      <c r="S349">
        <v>24</v>
      </c>
      <c r="T349" t="s">
        <v>164</v>
      </c>
      <c r="U349" t="s">
        <v>164</v>
      </c>
      <c r="V349" s="7">
        <v>0.88382013131394899</v>
      </c>
      <c r="W349">
        <v>109</v>
      </c>
      <c r="X349" t="s">
        <v>164</v>
      </c>
      <c r="Y349" t="s">
        <v>164</v>
      </c>
      <c r="Z349">
        <v>5.5</v>
      </c>
      <c r="AA349">
        <v>9</v>
      </c>
      <c r="AB349">
        <v>25</v>
      </c>
      <c r="AC349" s="21">
        <f>130/60</f>
        <v>2.1666666666666665</v>
      </c>
      <c r="AD349">
        <v>6</v>
      </c>
      <c r="AE349">
        <v>40</v>
      </c>
      <c r="AF349" s="11">
        <v>0.36</v>
      </c>
    </row>
    <row r="350" spans="1:32" x14ac:dyDescent="0.3">
      <c r="A350" t="s">
        <v>62</v>
      </c>
      <c r="B350" t="s">
        <v>12</v>
      </c>
      <c r="C350">
        <v>-0.02</v>
      </c>
      <c r="D350">
        <v>171.15</v>
      </c>
      <c r="E350">
        <v>1.1200000000000001</v>
      </c>
      <c r="F350">
        <v>1.75</v>
      </c>
      <c r="G350">
        <v>0.31</v>
      </c>
      <c r="H350">
        <v>0.86</v>
      </c>
      <c r="I350">
        <v>1.1919</v>
      </c>
      <c r="J350">
        <v>83.9</v>
      </c>
      <c r="K350" t="s">
        <v>55</v>
      </c>
      <c r="L350" t="s">
        <v>51</v>
      </c>
      <c r="M350">
        <v>2</v>
      </c>
      <c r="N350">
        <v>25.196000000000002</v>
      </c>
      <c r="O350">
        <v>0</v>
      </c>
      <c r="P350">
        <v>1.41</v>
      </c>
      <c r="Q350" t="s">
        <v>63</v>
      </c>
      <c r="R350">
        <v>150</v>
      </c>
      <c r="S350">
        <v>24</v>
      </c>
      <c r="T350" t="s">
        <v>164</v>
      </c>
      <c r="U350" t="s">
        <v>164</v>
      </c>
      <c r="V350" s="7">
        <v>0.88382013131394899</v>
      </c>
      <c r="W350">
        <v>109</v>
      </c>
      <c r="X350" t="s">
        <v>164</v>
      </c>
      <c r="Y350" t="s">
        <v>164</v>
      </c>
      <c r="Z350">
        <v>5.5</v>
      </c>
      <c r="AA350">
        <v>9</v>
      </c>
      <c r="AB350">
        <v>25</v>
      </c>
      <c r="AC350" s="17">
        <f>150/60</f>
        <v>2.5</v>
      </c>
      <c r="AD350">
        <v>6</v>
      </c>
      <c r="AE350">
        <v>40</v>
      </c>
      <c r="AF350" s="11">
        <v>0.36</v>
      </c>
    </row>
    <row r="351" spans="1:32" x14ac:dyDescent="0.3">
      <c r="A351" t="s">
        <v>62</v>
      </c>
      <c r="B351" t="s">
        <v>12</v>
      </c>
      <c r="C351">
        <v>-0.02</v>
      </c>
      <c r="D351">
        <v>171.15</v>
      </c>
      <c r="E351">
        <v>1.1200000000000001</v>
      </c>
      <c r="F351">
        <v>1.75</v>
      </c>
      <c r="G351">
        <v>0.31</v>
      </c>
      <c r="H351">
        <v>0.86</v>
      </c>
      <c r="I351">
        <v>1.1919</v>
      </c>
      <c r="J351">
        <v>83.9</v>
      </c>
      <c r="K351" t="s">
        <v>55</v>
      </c>
      <c r="L351" t="s">
        <v>51</v>
      </c>
      <c r="M351">
        <v>2</v>
      </c>
      <c r="N351">
        <v>25.196000000000002</v>
      </c>
      <c r="O351">
        <v>0</v>
      </c>
      <c r="P351">
        <v>1.41</v>
      </c>
      <c r="Q351" t="s">
        <v>63</v>
      </c>
      <c r="R351">
        <v>150</v>
      </c>
      <c r="S351">
        <v>24</v>
      </c>
      <c r="T351" t="s">
        <v>164</v>
      </c>
      <c r="U351" t="s">
        <v>164</v>
      </c>
      <c r="V351" s="7">
        <v>0.88382013131394899</v>
      </c>
      <c r="W351">
        <v>109</v>
      </c>
      <c r="X351" t="s">
        <v>164</v>
      </c>
      <c r="Y351" t="s">
        <v>164</v>
      </c>
      <c r="Z351">
        <v>5.5</v>
      </c>
      <c r="AA351">
        <v>9</v>
      </c>
      <c r="AB351">
        <v>25</v>
      </c>
      <c r="AC351" s="17">
        <f>180/60</f>
        <v>3</v>
      </c>
      <c r="AD351">
        <v>6</v>
      </c>
      <c r="AE351">
        <v>40</v>
      </c>
      <c r="AF351" s="11">
        <v>0.36</v>
      </c>
    </row>
    <row r="352" spans="1:32" x14ac:dyDescent="0.3">
      <c r="A352" t="s">
        <v>62</v>
      </c>
      <c r="B352" t="s">
        <v>12</v>
      </c>
      <c r="C352">
        <v>-0.02</v>
      </c>
      <c r="D352">
        <v>171.15</v>
      </c>
      <c r="E352">
        <v>1.1200000000000001</v>
      </c>
      <c r="F352">
        <v>1.75</v>
      </c>
      <c r="G352">
        <v>0.31</v>
      </c>
      <c r="H352">
        <v>0.86</v>
      </c>
      <c r="I352">
        <v>1.1919</v>
      </c>
      <c r="J352">
        <v>83.9</v>
      </c>
      <c r="K352" t="s">
        <v>55</v>
      </c>
      <c r="L352" t="s">
        <v>51</v>
      </c>
      <c r="M352">
        <v>2</v>
      </c>
      <c r="N352">
        <v>25.196000000000002</v>
      </c>
      <c r="O352">
        <v>0</v>
      </c>
      <c r="P352">
        <v>1.41</v>
      </c>
      <c r="Q352" t="s">
        <v>63</v>
      </c>
      <c r="R352">
        <v>150</v>
      </c>
      <c r="S352">
        <v>24</v>
      </c>
      <c r="T352" t="s">
        <v>164</v>
      </c>
      <c r="U352" t="s">
        <v>164</v>
      </c>
      <c r="V352" s="7">
        <v>0.88382013131394899</v>
      </c>
      <c r="W352">
        <v>109</v>
      </c>
      <c r="X352" t="s">
        <v>164</v>
      </c>
      <c r="Y352" t="s">
        <v>164</v>
      </c>
      <c r="Z352">
        <v>5.5</v>
      </c>
      <c r="AA352">
        <v>9</v>
      </c>
      <c r="AB352">
        <v>25</v>
      </c>
      <c r="AC352" s="17">
        <f>210/60</f>
        <v>3.5</v>
      </c>
      <c r="AD352">
        <v>6</v>
      </c>
      <c r="AE352">
        <v>40</v>
      </c>
      <c r="AF352" s="11">
        <v>0.36</v>
      </c>
    </row>
    <row r="353" spans="1:32" x14ac:dyDescent="0.3">
      <c r="A353" t="s">
        <v>62</v>
      </c>
      <c r="B353" t="s">
        <v>12</v>
      </c>
      <c r="C353">
        <v>-0.02</v>
      </c>
      <c r="D353">
        <v>171.15</v>
      </c>
      <c r="E353">
        <v>1.1200000000000001</v>
      </c>
      <c r="F353">
        <v>1.75</v>
      </c>
      <c r="G353">
        <v>0.31</v>
      </c>
      <c r="H353">
        <v>0.86</v>
      </c>
      <c r="I353">
        <v>1.1919</v>
      </c>
      <c r="J353">
        <v>83.9</v>
      </c>
      <c r="K353" t="s">
        <v>55</v>
      </c>
      <c r="L353" t="s">
        <v>51</v>
      </c>
      <c r="M353">
        <v>2</v>
      </c>
      <c r="N353">
        <v>25.196000000000002</v>
      </c>
      <c r="O353">
        <v>0</v>
      </c>
      <c r="P353">
        <v>1.41</v>
      </c>
      <c r="Q353" t="s">
        <v>63</v>
      </c>
      <c r="R353">
        <v>150</v>
      </c>
      <c r="S353">
        <v>24</v>
      </c>
      <c r="T353" t="s">
        <v>164</v>
      </c>
      <c r="U353" t="s">
        <v>164</v>
      </c>
      <c r="V353" s="7">
        <v>0.88382013131394899</v>
      </c>
      <c r="W353">
        <v>109</v>
      </c>
      <c r="X353" t="s">
        <v>164</v>
      </c>
      <c r="Y353" t="s">
        <v>164</v>
      </c>
      <c r="Z353">
        <v>5.5</v>
      </c>
      <c r="AA353">
        <v>9</v>
      </c>
      <c r="AB353">
        <v>10</v>
      </c>
      <c r="AC353">
        <v>2</v>
      </c>
      <c r="AD353">
        <v>6</v>
      </c>
      <c r="AE353">
        <v>40</v>
      </c>
      <c r="AF353" s="11">
        <v>0.38</v>
      </c>
    </row>
    <row r="354" spans="1:32" x14ac:dyDescent="0.3">
      <c r="A354" t="s">
        <v>62</v>
      </c>
      <c r="B354" t="s">
        <v>12</v>
      </c>
      <c r="C354">
        <v>-0.02</v>
      </c>
      <c r="D354">
        <v>171.15</v>
      </c>
      <c r="E354">
        <v>1.1200000000000001</v>
      </c>
      <c r="F354">
        <v>1.75</v>
      </c>
      <c r="G354">
        <v>0.31</v>
      </c>
      <c r="H354">
        <v>0.86</v>
      </c>
      <c r="I354">
        <v>1.1919</v>
      </c>
      <c r="J354">
        <v>83.9</v>
      </c>
      <c r="K354" t="s">
        <v>55</v>
      </c>
      <c r="L354" t="s">
        <v>51</v>
      </c>
      <c r="M354">
        <v>2</v>
      </c>
      <c r="N354">
        <v>25.196000000000002</v>
      </c>
      <c r="O354">
        <v>0</v>
      </c>
      <c r="P354">
        <v>1.41</v>
      </c>
      <c r="Q354" t="s">
        <v>63</v>
      </c>
      <c r="R354">
        <v>150</v>
      </c>
      <c r="S354">
        <v>24</v>
      </c>
      <c r="T354" t="s">
        <v>164</v>
      </c>
      <c r="U354" t="s">
        <v>164</v>
      </c>
      <c r="V354" s="7">
        <v>0.88382013131394899</v>
      </c>
      <c r="W354">
        <v>109</v>
      </c>
      <c r="X354" t="s">
        <v>164</v>
      </c>
      <c r="Y354" t="s">
        <v>164</v>
      </c>
      <c r="Z354">
        <v>5.5</v>
      </c>
      <c r="AA354">
        <v>9</v>
      </c>
      <c r="AB354">
        <v>15</v>
      </c>
      <c r="AC354">
        <v>2</v>
      </c>
      <c r="AD354">
        <v>6</v>
      </c>
      <c r="AE354">
        <v>40</v>
      </c>
      <c r="AF354" s="11">
        <v>0.36</v>
      </c>
    </row>
    <row r="355" spans="1:32" x14ac:dyDescent="0.3">
      <c r="A355" t="s">
        <v>62</v>
      </c>
      <c r="B355" t="s">
        <v>12</v>
      </c>
      <c r="C355">
        <v>-0.02</v>
      </c>
      <c r="D355">
        <v>171.15</v>
      </c>
      <c r="E355">
        <v>1.1200000000000001</v>
      </c>
      <c r="F355">
        <v>1.75</v>
      </c>
      <c r="G355">
        <v>0.31</v>
      </c>
      <c r="H355">
        <v>0.86</v>
      </c>
      <c r="I355">
        <v>1.1919</v>
      </c>
      <c r="J355">
        <v>83.9</v>
      </c>
      <c r="K355" t="s">
        <v>55</v>
      </c>
      <c r="L355" t="s">
        <v>51</v>
      </c>
      <c r="M355">
        <v>2</v>
      </c>
      <c r="N355">
        <v>25.196000000000002</v>
      </c>
      <c r="O355">
        <v>0</v>
      </c>
      <c r="P355">
        <v>1.41</v>
      </c>
      <c r="Q355" t="s">
        <v>63</v>
      </c>
      <c r="R355">
        <v>150</v>
      </c>
      <c r="S355">
        <v>24</v>
      </c>
      <c r="T355" t="s">
        <v>164</v>
      </c>
      <c r="U355" t="s">
        <v>164</v>
      </c>
      <c r="V355" s="7">
        <v>0.88382013131394899</v>
      </c>
      <c r="W355">
        <v>109</v>
      </c>
      <c r="X355" t="s">
        <v>164</v>
      </c>
      <c r="Y355" t="s">
        <v>164</v>
      </c>
      <c r="Z355">
        <v>5.5</v>
      </c>
      <c r="AA355">
        <v>9</v>
      </c>
      <c r="AB355">
        <v>20</v>
      </c>
      <c r="AC355">
        <v>2</v>
      </c>
      <c r="AD355">
        <v>6</v>
      </c>
      <c r="AE355">
        <v>40</v>
      </c>
      <c r="AF355" s="11">
        <v>0.35</v>
      </c>
    </row>
    <row r="356" spans="1:32" x14ac:dyDescent="0.3">
      <c r="A356" t="s">
        <v>62</v>
      </c>
      <c r="B356" t="s">
        <v>12</v>
      </c>
      <c r="C356">
        <v>-0.02</v>
      </c>
      <c r="D356">
        <v>171.15</v>
      </c>
      <c r="E356">
        <v>1.1200000000000001</v>
      </c>
      <c r="F356">
        <v>1.75</v>
      </c>
      <c r="G356">
        <v>0.31</v>
      </c>
      <c r="H356">
        <v>0.86</v>
      </c>
      <c r="I356">
        <v>1.1919</v>
      </c>
      <c r="J356">
        <v>83.9</v>
      </c>
      <c r="K356" t="s">
        <v>55</v>
      </c>
      <c r="L356" t="s">
        <v>51</v>
      </c>
      <c r="M356">
        <v>2</v>
      </c>
      <c r="N356">
        <v>25.196000000000002</v>
      </c>
      <c r="O356">
        <v>0</v>
      </c>
      <c r="P356">
        <v>1.41</v>
      </c>
      <c r="Q356" t="s">
        <v>63</v>
      </c>
      <c r="R356">
        <v>150</v>
      </c>
      <c r="S356">
        <v>24</v>
      </c>
      <c r="T356" t="s">
        <v>164</v>
      </c>
      <c r="U356" t="s">
        <v>164</v>
      </c>
      <c r="V356" s="7">
        <v>0.88382013131394899</v>
      </c>
      <c r="W356">
        <v>109</v>
      </c>
      <c r="X356" t="s">
        <v>164</v>
      </c>
      <c r="Y356" t="s">
        <v>164</v>
      </c>
      <c r="Z356">
        <v>5.5</v>
      </c>
      <c r="AA356">
        <v>9</v>
      </c>
      <c r="AB356">
        <v>25</v>
      </c>
      <c r="AC356">
        <v>2</v>
      </c>
      <c r="AD356">
        <v>6</v>
      </c>
      <c r="AE356">
        <v>40</v>
      </c>
      <c r="AF356" s="11">
        <v>0.35</v>
      </c>
    </row>
    <row r="357" spans="1:32" x14ac:dyDescent="0.3">
      <c r="A357" t="s">
        <v>62</v>
      </c>
      <c r="B357" t="s">
        <v>12</v>
      </c>
      <c r="C357">
        <v>-0.02</v>
      </c>
      <c r="D357">
        <v>171.15</v>
      </c>
      <c r="E357">
        <v>1.1200000000000001</v>
      </c>
      <c r="F357">
        <v>1.75</v>
      </c>
      <c r="G357">
        <v>0.31</v>
      </c>
      <c r="H357">
        <v>0.86</v>
      </c>
      <c r="I357">
        <v>1.1919</v>
      </c>
      <c r="J357">
        <v>83.9</v>
      </c>
      <c r="K357" t="s">
        <v>55</v>
      </c>
      <c r="L357" t="s">
        <v>51</v>
      </c>
      <c r="M357">
        <v>2</v>
      </c>
      <c r="N357">
        <v>25.196000000000002</v>
      </c>
      <c r="O357">
        <v>0</v>
      </c>
      <c r="P357">
        <v>1.41</v>
      </c>
      <c r="Q357" t="s">
        <v>63</v>
      </c>
      <c r="R357">
        <v>150</v>
      </c>
      <c r="S357">
        <v>24</v>
      </c>
      <c r="T357" t="s">
        <v>164</v>
      </c>
      <c r="U357" t="s">
        <v>164</v>
      </c>
      <c r="V357" s="7">
        <v>0.88382013131394899</v>
      </c>
      <c r="W357">
        <v>109</v>
      </c>
      <c r="X357" t="s">
        <v>164</v>
      </c>
      <c r="Y357" t="s">
        <v>164</v>
      </c>
      <c r="Z357">
        <v>5.5</v>
      </c>
      <c r="AA357">
        <v>9</v>
      </c>
      <c r="AB357">
        <v>30</v>
      </c>
      <c r="AC357">
        <v>2</v>
      </c>
      <c r="AD357">
        <v>6</v>
      </c>
      <c r="AE357">
        <v>40</v>
      </c>
      <c r="AF357" s="11">
        <v>0.35</v>
      </c>
    </row>
    <row r="358" spans="1:32" ht="15" customHeight="1" x14ac:dyDescent="0.3">
      <c r="A358" t="s">
        <v>62</v>
      </c>
      <c r="B358" t="s">
        <v>12</v>
      </c>
      <c r="C358">
        <v>-0.02</v>
      </c>
      <c r="D358">
        <v>171.15</v>
      </c>
      <c r="E358">
        <v>1.1200000000000001</v>
      </c>
      <c r="F358">
        <v>1.75</v>
      </c>
      <c r="G358">
        <v>0.31</v>
      </c>
      <c r="H358">
        <v>0.86</v>
      </c>
      <c r="I358">
        <v>1.1919</v>
      </c>
      <c r="J358">
        <v>83.9</v>
      </c>
      <c r="K358" t="s">
        <v>55</v>
      </c>
      <c r="L358" t="s">
        <v>51</v>
      </c>
      <c r="M358">
        <v>2</v>
      </c>
      <c r="N358">
        <v>25.196000000000002</v>
      </c>
      <c r="O358">
        <v>0</v>
      </c>
      <c r="P358">
        <v>1.41</v>
      </c>
      <c r="Q358" t="s">
        <v>63</v>
      </c>
      <c r="R358">
        <v>150</v>
      </c>
      <c r="S358">
        <v>24</v>
      </c>
      <c r="T358" t="s">
        <v>164</v>
      </c>
      <c r="U358" t="s">
        <v>164</v>
      </c>
      <c r="V358" s="7">
        <v>0.88382013131394899</v>
      </c>
      <c r="W358">
        <v>109</v>
      </c>
      <c r="X358" t="s">
        <v>164</v>
      </c>
      <c r="Y358" t="s">
        <v>164</v>
      </c>
      <c r="Z358">
        <v>5.5</v>
      </c>
      <c r="AA358">
        <v>3</v>
      </c>
      <c r="AB358">
        <v>28</v>
      </c>
      <c r="AC358" s="17">
        <f t="shared" ref="AC358:AC363" si="2">120/60</f>
        <v>2</v>
      </c>
      <c r="AD358">
        <v>4</v>
      </c>
      <c r="AE358">
        <v>40</v>
      </c>
      <c r="AF358" s="11">
        <v>0.8</v>
      </c>
    </row>
    <row r="359" spans="1:32" ht="15" customHeight="1" x14ac:dyDescent="0.3">
      <c r="A359" t="s">
        <v>62</v>
      </c>
      <c r="B359" t="s">
        <v>12</v>
      </c>
      <c r="C359">
        <v>-0.02</v>
      </c>
      <c r="D359">
        <v>171.15</v>
      </c>
      <c r="E359">
        <v>1.1200000000000001</v>
      </c>
      <c r="F359">
        <v>1.75</v>
      </c>
      <c r="G359">
        <v>0.31</v>
      </c>
      <c r="H359">
        <v>0.86</v>
      </c>
      <c r="I359">
        <v>1.1919</v>
      </c>
      <c r="J359">
        <v>83.9</v>
      </c>
      <c r="K359" t="s">
        <v>55</v>
      </c>
      <c r="L359" t="s">
        <v>51</v>
      </c>
      <c r="M359">
        <v>2</v>
      </c>
      <c r="N359">
        <v>25.196000000000002</v>
      </c>
      <c r="O359">
        <v>0</v>
      </c>
      <c r="P359">
        <v>1.41</v>
      </c>
      <c r="Q359" t="s">
        <v>63</v>
      </c>
      <c r="R359">
        <v>150</v>
      </c>
      <c r="S359">
        <v>24</v>
      </c>
      <c r="T359" t="s">
        <v>164</v>
      </c>
      <c r="U359" t="s">
        <v>164</v>
      </c>
      <c r="V359" s="7">
        <v>0.88382013131394899</v>
      </c>
      <c r="W359">
        <v>109</v>
      </c>
      <c r="X359" t="s">
        <v>164</v>
      </c>
      <c r="Y359" t="s">
        <v>164</v>
      </c>
      <c r="Z359">
        <v>5.5</v>
      </c>
      <c r="AA359">
        <v>5</v>
      </c>
      <c r="AB359">
        <v>28</v>
      </c>
      <c r="AC359" s="17">
        <f t="shared" si="2"/>
        <v>2</v>
      </c>
      <c r="AD359">
        <v>4</v>
      </c>
      <c r="AE359">
        <v>40</v>
      </c>
      <c r="AF359" s="11">
        <v>0.75</v>
      </c>
    </row>
    <row r="360" spans="1:32" x14ac:dyDescent="0.3">
      <c r="A360" t="s">
        <v>62</v>
      </c>
      <c r="B360" t="s">
        <v>12</v>
      </c>
      <c r="C360">
        <v>-0.02</v>
      </c>
      <c r="D360">
        <v>171.15</v>
      </c>
      <c r="E360">
        <v>1.1200000000000001</v>
      </c>
      <c r="F360">
        <v>1.75</v>
      </c>
      <c r="G360">
        <v>0.31</v>
      </c>
      <c r="H360">
        <v>0.86</v>
      </c>
      <c r="I360">
        <v>1.1919</v>
      </c>
      <c r="J360">
        <v>83.9</v>
      </c>
      <c r="K360" t="s">
        <v>55</v>
      </c>
      <c r="L360" t="s">
        <v>51</v>
      </c>
      <c r="M360">
        <v>2</v>
      </c>
      <c r="N360">
        <v>25.196000000000002</v>
      </c>
      <c r="O360">
        <v>0</v>
      </c>
      <c r="P360">
        <v>1.41</v>
      </c>
      <c r="Q360" t="s">
        <v>63</v>
      </c>
      <c r="R360">
        <v>150</v>
      </c>
      <c r="S360">
        <v>24</v>
      </c>
      <c r="T360" t="s">
        <v>164</v>
      </c>
      <c r="U360" t="s">
        <v>164</v>
      </c>
      <c r="V360" s="7">
        <v>0.88382013131394899</v>
      </c>
      <c r="W360">
        <v>109</v>
      </c>
      <c r="X360" t="s">
        <v>164</v>
      </c>
      <c r="Y360" t="s">
        <v>164</v>
      </c>
      <c r="Z360">
        <v>5.5</v>
      </c>
      <c r="AA360">
        <v>7</v>
      </c>
      <c r="AB360">
        <v>28</v>
      </c>
      <c r="AC360" s="17">
        <f t="shared" si="2"/>
        <v>2</v>
      </c>
      <c r="AD360">
        <v>4</v>
      </c>
      <c r="AE360">
        <v>40</v>
      </c>
      <c r="AF360" s="11">
        <v>0.73</v>
      </c>
    </row>
    <row r="361" spans="1:32" x14ac:dyDescent="0.3">
      <c r="A361" t="s">
        <v>62</v>
      </c>
      <c r="B361" t="s">
        <v>12</v>
      </c>
      <c r="C361">
        <v>-0.02</v>
      </c>
      <c r="D361">
        <v>171.15</v>
      </c>
      <c r="E361">
        <v>1.1200000000000001</v>
      </c>
      <c r="F361">
        <v>1.75</v>
      </c>
      <c r="G361">
        <v>0.31</v>
      </c>
      <c r="H361">
        <v>0.86</v>
      </c>
      <c r="I361">
        <v>1.1919</v>
      </c>
      <c r="J361">
        <v>83.9</v>
      </c>
      <c r="K361" t="s">
        <v>55</v>
      </c>
      <c r="L361" t="s">
        <v>51</v>
      </c>
      <c r="M361">
        <v>2</v>
      </c>
      <c r="N361">
        <v>25.196000000000002</v>
      </c>
      <c r="O361">
        <v>0</v>
      </c>
      <c r="P361">
        <v>1.41</v>
      </c>
      <c r="Q361" t="s">
        <v>63</v>
      </c>
      <c r="R361">
        <v>150</v>
      </c>
      <c r="S361">
        <v>24</v>
      </c>
      <c r="T361" t="s">
        <v>164</v>
      </c>
      <c r="U361" t="s">
        <v>164</v>
      </c>
      <c r="V361" s="7">
        <v>0.88382013131394899</v>
      </c>
      <c r="W361">
        <v>109</v>
      </c>
      <c r="X361" t="s">
        <v>164</v>
      </c>
      <c r="Y361" t="s">
        <v>164</v>
      </c>
      <c r="Z361">
        <v>5.5</v>
      </c>
      <c r="AA361">
        <v>9</v>
      </c>
      <c r="AB361">
        <v>28</v>
      </c>
      <c r="AC361" s="17">
        <f t="shared" si="2"/>
        <v>2</v>
      </c>
      <c r="AD361">
        <v>4</v>
      </c>
      <c r="AE361">
        <v>40</v>
      </c>
      <c r="AF361" s="11">
        <v>0.7</v>
      </c>
    </row>
    <row r="362" spans="1:32" x14ac:dyDescent="0.3">
      <c r="A362" t="s">
        <v>62</v>
      </c>
      <c r="B362" t="s">
        <v>12</v>
      </c>
      <c r="C362">
        <v>-0.02</v>
      </c>
      <c r="D362">
        <v>171.15</v>
      </c>
      <c r="E362">
        <v>1.1200000000000001</v>
      </c>
      <c r="F362">
        <v>1.75</v>
      </c>
      <c r="G362">
        <v>0.31</v>
      </c>
      <c r="H362">
        <v>0.86</v>
      </c>
      <c r="I362">
        <v>1.1919</v>
      </c>
      <c r="J362">
        <v>83.9</v>
      </c>
      <c r="K362" t="s">
        <v>55</v>
      </c>
      <c r="L362" t="s">
        <v>51</v>
      </c>
      <c r="M362">
        <v>2</v>
      </c>
      <c r="N362">
        <v>25.196000000000002</v>
      </c>
      <c r="O362">
        <v>0</v>
      </c>
      <c r="P362">
        <v>1.41</v>
      </c>
      <c r="Q362" t="s">
        <v>63</v>
      </c>
      <c r="R362">
        <v>150</v>
      </c>
      <c r="S362">
        <v>24</v>
      </c>
      <c r="T362" t="s">
        <v>164</v>
      </c>
      <c r="U362" t="s">
        <v>164</v>
      </c>
      <c r="V362" s="7">
        <v>0.88382013131394899</v>
      </c>
      <c r="W362">
        <v>109</v>
      </c>
      <c r="X362" t="s">
        <v>164</v>
      </c>
      <c r="Y362" t="s">
        <v>164</v>
      </c>
      <c r="Z362">
        <v>5.5</v>
      </c>
      <c r="AA362">
        <v>11</v>
      </c>
      <c r="AB362">
        <v>28</v>
      </c>
      <c r="AC362" s="17">
        <f t="shared" si="2"/>
        <v>2</v>
      </c>
      <c r="AD362">
        <v>4</v>
      </c>
      <c r="AE362">
        <v>40</v>
      </c>
      <c r="AF362" s="11">
        <v>0.55000000000000004</v>
      </c>
    </row>
    <row r="363" spans="1:32" x14ac:dyDescent="0.3">
      <c r="A363" t="s">
        <v>62</v>
      </c>
      <c r="B363" t="s">
        <v>12</v>
      </c>
      <c r="C363">
        <v>-0.02</v>
      </c>
      <c r="D363">
        <v>171.15</v>
      </c>
      <c r="E363">
        <v>1.1200000000000001</v>
      </c>
      <c r="F363">
        <v>1.75</v>
      </c>
      <c r="G363">
        <v>0.31</v>
      </c>
      <c r="H363">
        <v>0.86</v>
      </c>
      <c r="I363">
        <v>1.1919</v>
      </c>
      <c r="J363">
        <v>83.9</v>
      </c>
      <c r="K363" t="s">
        <v>55</v>
      </c>
      <c r="L363" t="s">
        <v>51</v>
      </c>
      <c r="M363">
        <v>2</v>
      </c>
      <c r="N363">
        <v>25.196000000000002</v>
      </c>
      <c r="O363">
        <v>0</v>
      </c>
      <c r="P363">
        <v>1.41</v>
      </c>
      <c r="Q363" t="s">
        <v>63</v>
      </c>
      <c r="R363">
        <v>150</v>
      </c>
      <c r="S363">
        <v>24</v>
      </c>
      <c r="T363" t="s">
        <v>164</v>
      </c>
      <c r="U363" t="s">
        <v>164</v>
      </c>
      <c r="V363" s="7">
        <v>0.88382013131394899</v>
      </c>
      <c r="W363">
        <v>109</v>
      </c>
      <c r="X363" t="s">
        <v>164</v>
      </c>
      <c r="Y363" t="s">
        <v>164</v>
      </c>
      <c r="Z363">
        <v>5.5</v>
      </c>
      <c r="AA363">
        <v>12</v>
      </c>
      <c r="AB363">
        <v>28</v>
      </c>
      <c r="AC363" s="17">
        <f t="shared" si="2"/>
        <v>2</v>
      </c>
      <c r="AD363">
        <v>4</v>
      </c>
      <c r="AE363">
        <v>40</v>
      </c>
      <c r="AF363" s="11">
        <v>0.3</v>
      </c>
    </row>
    <row r="364" spans="1:32" x14ac:dyDescent="0.3">
      <c r="A364" t="s">
        <v>64</v>
      </c>
      <c r="B364" t="s">
        <v>65</v>
      </c>
      <c r="C364">
        <v>1.96</v>
      </c>
      <c r="D364">
        <v>152.15</v>
      </c>
      <c r="E364">
        <v>0.9</v>
      </c>
      <c r="F364">
        <v>1.37</v>
      </c>
      <c r="G364">
        <v>0.69</v>
      </c>
      <c r="H364">
        <v>0.45</v>
      </c>
      <c r="I364">
        <v>1.1313</v>
      </c>
      <c r="J364">
        <v>46.5</v>
      </c>
      <c r="K364" t="s">
        <v>55</v>
      </c>
      <c r="L364" t="s">
        <v>51</v>
      </c>
      <c r="M364">
        <v>3</v>
      </c>
      <c r="N364">
        <v>24.972999999999999</v>
      </c>
      <c r="O364">
        <v>0</v>
      </c>
      <c r="P364">
        <v>1.385</v>
      </c>
      <c r="Q364" t="s">
        <v>52</v>
      </c>
      <c r="R364">
        <v>65</v>
      </c>
      <c r="S364">
        <v>24</v>
      </c>
      <c r="T364">
        <v>400</v>
      </c>
      <c r="U364">
        <v>1</v>
      </c>
      <c r="V364" s="7">
        <v>0.76686032222096356</v>
      </c>
      <c r="W364">
        <v>75.92</v>
      </c>
      <c r="X364">
        <v>0.63500000000000001</v>
      </c>
      <c r="Y364">
        <v>17.649999999999999</v>
      </c>
      <c r="Z364">
        <v>11.48</v>
      </c>
      <c r="AA364">
        <v>7</v>
      </c>
      <c r="AB364">
        <v>28</v>
      </c>
      <c r="AC364" s="17">
        <f t="shared" ref="AC364:AC369" si="3">120/60</f>
        <v>2</v>
      </c>
      <c r="AD364">
        <v>0.5</v>
      </c>
      <c r="AE364">
        <v>100</v>
      </c>
      <c r="AF364" s="11">
        <v>0.4</v>
      </c>
    </row>
    <row r="365" spans="1:32" x14ac:dyDescent="0.3">
      <c r="A365" t="s">
        <v>64</v>
      </c>
      <c r="B365" t="s">
        <v>65</v>
      </c>
      <c r="C365">
        <v>1.96</v>
      </c>
      <c r="D365">
        <v>152.15</v>
      </c>
      <c r="E365">
        <v>0.9</v>
      </c>
      <c r="F365">
        <v>1.37</v>
      </c>
      <c r="G365">
        <v>0.69</v>
      </c>
      <c r="H365">
        <v>0.45</v>
      </c>
      <c r="I365">
        <v>1.1313</v>
      </c>
      <c r="J365">
        <v>46.5</v>
      </c>
      <c r="K365" t="s">
        <v>55</v>
      </c>
      <c r="L365" t="s">
        <v>51</v>
      </c>
      <c r="M365">
        <v>3</v>
      </c>
      <c r="N365">
        <v>24.972999999999999</v>
      </c>
      <c r="O365">
        <v>0</v>
      </c>
      <c r="P365">
        <v>1.385</v>
      </c>
      <c r="Q365" t="s">
        <v>52</v>
      </c>
      <c r="R365">
        <v>65</v>
      </c>
      <c r="S365">
        <v>24</v>
      </c>
      <c r="T365">
        <v>400</v>
      </c>
      <c r="U365">
        <v>1</v>
      </c>
      <c r="V365" s="7">
        <v>0.76686032222096356</v>
      </c>
      <c r="W365">
        <v>75.92</v>
      </c>
      <c r="X365">
        <v>0.63500000000000001</v>
      </c>
      <c r="Y365">
        <v>17.649999999999999</v>
      </c>
      <c r="Z365">
        <v>11.48</v>
      </c>
      <c r="AA365">
        <v>7</v>
      </c>
      <c r="AB365">
        <v>28</v>
      </c>
      <c r="AC365" s="17">
        <f t="shared" si="3"/>
        <v>2</v>
      </c>
      <c r="AD365">
        <v>2</v>
      </c>
      <c r="AE365">
        <v>100</v>
      </c>
      <c r="AF365" s="11">
        <v>0.5</v>
      </c>
    </row>
    <row r="366" spans="1:32" x14ac:dyDescent="0.3">
      <c r="A366" t="s">
        <v>64</v>
      </c>
      <c r="B366" t="s">
        <v>65</v>
      </c>
      <c r="C366">
        <v>1.96</v>
      </c>
      <c r="D366">
        <v>152.15</v>
      </c>
      <c r="E366">
        <v>0.9</v>
      </c>
      <c r="F366">
        <v>1.37</v>
      </c>
      <c r="G366">
        <v>0.69</v>
      </c>
      <c r="H366">
        <v>0.45</v>
      </c>
      <c r="I366">
        <v>1.1313</v>
      </c>
      <c r="J366">
        <v>46.5</v>
      </c>
      <c r="K366" t="s">
        <v>55</v>
      </c>
      <c r="L366" t="s">
        <v>51</v>
      </c>
      <c r="M366">
        <v>3</v>
      </c>
      <c r="N366">
        <v>24.972999999999999</v>
      </c>
      <c r="O366">
        <v>0</v>
      </c>
      <c r="P366">
        <v>1.385</v>
      </c>
      <c r="Q366" t="s">
        <v>52</v>
      </c>
      <c r="R366">
        <v>65</v>
      </c>
      <c r="S366">
        <v>24</v>
      </c>
      <c r="T366">
        <v>400</v>
      </c>
      <c r="U366">
        <v>1</v>
      </c>
      <c r="V366" s="7">
        <v>0.76686032222096356</v>
      </c>
      <c r="W366">
        <v>75.92</v>
      </c>
      <c r="X366">
        <v>0.63500000000000001</v>
      </c>
      <c r="Y366">
        <v>17.649999999999999</v>
      </c>
      <c r="Z366">
        <v>11.48</v>
      </c>
      <c r="AA366">
        <v>7</v>
      </c>
      <c r="AB366">
        <v>28</v>
      </c>
      <c r="AC366" s="17">
        <f t="shared" si="3"/>
        <v>2</v>
      </c>
      <c r="AD366">
        <v>3</v>
      </c>
      <c r="AE366">
        <v>100</v>
      </c>
      <c r="AF366" s="11">
        <v>0.8</v>
      </c>
    </row>
    <row r="367" spans="1:32" x14ac:dyDescent="0.3">
      <c r="A367" t="s">
        <v>64</v>
      </c>
      <c r="B367" t="s">
        <v>65</v>
      </c>
      <c r="C367">
        <v>1.96</v>
      </c>
      <c r="D367">
        <v>152.15</v>
      </c>
      <c r="E367">
        <v>0.9</v>
      </c>
      <c r="F367">
        <v>1.37</v>
      </c>
      <c r="G367">
        <v>0.69</v>
      </c>
      <c r="H367">
        <v>0.45</v>
      </c>
      <c r="I367">
        <v>1.1313</v>
      </c>
      <c r="J367">
        <v>46.5</v>
      </c>
      <c r="K367" t="s">
        <v>55</v>
      </c>
      <c r="L367" t="s">
        <v>51</v>
      </c>
      <c r="M367">
        <v>3</v>
      </c>
      <c r="N367">
        <v>24.972999999999999</v>
      </c>
      <c r="O367">
        <v>0</v>
      </c>
      <c r="P367">
        <v>1.385</v>
      </c>
      <c r="Q367" t="s">
        <v>52</v>
      </c>
      <c r="R367">
        <v>65</v>
      </c>
      <c r="S367">
        <v>24</v>
      </c>
      <c r="T367">
        <v>400</v>
      </c>
      <c r="U367">
        <v>1</v>
      </c>
      <c r="V367" s="7">
        <v>0.76686032222096356</v>
      </c>
      <c r="W367">
        <v>75.92</v>
      </c>
      <c r="X367">
        <v>0.63500000000000001</v>
      </c>
      <c r="Y367">
        <v>17.649999999999999</v>
      </c>
      <c r="Z367">
        <v>11.48</v>
      </c>
      <c r="AA367">
        <v>7</v>
      </c>
      <c r="AB367">
        <v>28</v>
      </c>
      <c r="AC367" s="17">
        <f t="shared" si="3"/>
        <v>2</v>
      </c>
      <c r="AD367">
        <v>4</v>
      </c>
      <c r="AE367">
        <v>100</v>
      </c>
      <c r="AF367" s="11">
        <v>0.85</v>
      </c>
    </row>
    <row r="368" spans="1:32" x14ac:dyDescent="0.3">
      <c r="A368" t="s">
        <v>64</v>
      </c>
      <c r="B368" t="s">
        <v>65</v>
      </c>
      <c r="C368">
        <v>1.96</v>
      </c>
      <c r="D368">
        <v>152.15</v>
      </c>
      <c r="E368">
        <v>0.9</v>
      </c>
      <c r="F368">
        <v>1.37</v>
      </c>
      <c r="G368">
        <v>0.69</v>
      </c>
      <c r="H368">
        <v>0.45</v>
      </c>
      <c r="I368">
        <v>1.1313</v>
      </c>
      <c r="J368">
        <v>46.5</v>
      </c>
      <c r="K368" t="s">
        <v>55</v>
      </c>
      <c r="L368" t="s">
        <v>51</v>
      </c>
      <c r="M368">
        <v>3</v>
      </c>
      <c r="N368">
        <v>24.972999999999999</v>
      </c>
      <c r="O368">
        <v>0</v>
      </c>
      <c r="P368">
        <v>1.385</v>
      </c>
      <c r="Q368" t="s">
        <v>52</v>
      </c>
      <c r="R368">
        <v>65</v>
      </c>
      <c r="S368">
        <v>24</v>
      </c>
      <c r="T368">
        <v>400</v>
      </c>
      <c r="U368">
        <v>1</v>
      </c>
      <c r="V368" s="7">
        <v>0.76686032222096356</v>
      </c>
      <c r="W368">
        <v>75.92</v>
      </c>
      <c r="X368">
        <v>0.63500000000000001</v>
      </c>
      <c r="Y368">
        <v>17.649999999999999</v>
      </c>
      <c r="Z368">
        <v>11.48</v>
      </c>
      <c r="AA368">
        <v>7</v>
      </c>
      <c r="AB368">
        <v>28</v>
      </c>
      <c r="AC368" s="17">
        <f t="shared" si="3"/>
        <v>2</v>
      </c>
      <c r="AD368">
        <v>5</v>
      </c>
      <c r="AE368">
        <v>100</v>
      </c>
      <c r="AF368" s="11">
        <v>0.85</v>
      </c>
    </row>
    <row r="369" spans="1:32" x14ac:dyDescent="0.3">
      <c r="A369" t="s">
        <v>64</v>
      </c>
      <c r="B369" t="s">
        <v>65</v>
      </c>
      <c r="C369">
        <v>1.96</v>
      </c>
      <c r="D369">
        <v>152.15</v>
      </c>
      <c r="E369">
        <v>0.9</v>
      </c>
      <c r="F369">
        <v>1.37</v>
      </c>
      <c r="G369">
        <v>0.69</v>
      </c>
      <c r="H369">
        <v>0.45</v>
      </c>
      <c r="I369">
        <v>1.1313</v>
      </c>
      <c r="J369">
        <v>46.5</v>
      </c>
      <c r="K369" t="s">
        <v>55</v>
      </c>
      <c r="L369" t="s">
        <v>51</v>
      </c>
      <c r="M369">
        <v>3</v>
      </c>
      <c r="N369">
        <v>24.972999999999999</v>
      </c>
      <c r="O369">
        <v>0</v>
      </c>
      <c r="P369">
        <v>1.385</v>
      </c>
      <c r="Q369" t="s">
        <v>52</v>
      </c>
      <c r="R369">
        <v>65</v>
      </c>
      <c r="S369">
        <v>24</v>
      </c>
      <c r="T369">
        <v>400</v>
      </c>
      <c r="U369">
        <v>1</v>
      </c>
      <c r="V369" s="7">
        <v>0.76686032222096356</v>
      </c>
      <c r="W369">
        <v>75.92</v>
      </c>
      <c r="X369">
        <v>0.63500000000000001</v>
      </c>
      <c r="Y369">
        <v>17.649999999999999</v>
      </c>
      <c r="Z369">
        <v>11.48</v>
      </c>
      <c r="AA369">
        <v>7</v>
      </c>
      <c r="AB369">
        <v>28</v>
      </c>
      <c r="AC369" s="17">
        <f t="shared" si="3"/>
        <v>2</v>
      </c>
      <c r="AD369">
        <v>6</v>
      </c>
      <c r="AE369">
        <v>100</v>
      </c>
      <c r="AF369" s="11">
        <v>0.81</v>
      </c>
    </row>
    <row r="370" spans="1:32" x14ac:dyDescent="0.3">
      <c r="A370" t="s">
        <v>64</v>
      </c>
      <c r="B370" t="s">
        <v>65</v>
      </c>
      <c r="C370">
        <v>1.96</v>
      </c>
      <c r="D370">
        <v>152.15</v>
      </c>
      <c r="E370">
        <v>0.9</v>
      </c>
      <c r="F370">
        <v>1.37</v>
      </c>
      <c r="G370">
        <v>0.69</v>
      </c>
      <c r="H370">
        <v>0.45</v>
      </c>
      <c r="I370">
        <v>1.1313</v>
      </c>
      <c r="J370">
        <v>46.5</v>
      </c>
      <c r="K370" t="s">
        <v>55</v>
      </c>
      <c r="L370" t="s">
        <v>51</v>
      </c>
      <c r="M370">
        <v>3</v>
      </c>
      <c r="N370">
        <v>24.972999999999999</v>
      </c>
      <c r="O370">
        <v>0</v>
      </c>
      <c r="P370">
        <v>1.385</v>
      </c>
      <c r="Q370" t="s">
        <v>52</v>
      </c>
      <c r="R370">
        <v>65</v>
      </c>
      <c r="S370">
        <v>24</v>
      </c>
      <c r="T370">
        <v>400</v>
      </c>
      <c r="U370">
        <v>1</v>
      </c>
      <c r="V370" s="7">
        <v>0.76686032222096356</v>
      </c>
      <c r="W370">
        <v>75.92</v>
      </c>
      <c r="X370">
        <v>0.63500000000000001</v>
      </c>
      <c r="Y370">
        <v>17.649999999999999</v>
      </c>
      <c r="Z370">
        <v>11.48</v>
      </c>
      <c r="AA370">
        <v>7</v>
      </c>
      <c r="AB370">
        <v>28</v>
      </c>
      <c r="AC370" s="21">
        <f>5/60</f>
        <v>8.3333333333333329E-2</v>
      </c>
      <c r="AD370">
        <v>4</v>
      </c>
      <c r="AE370">
        <v>20</v>
      </c>
      <c r="AF370" s="11">
        <v>0.4</v>
      </c>
    </row>
    <row r="371" spans="1:32" x14ac:dyDescent="0.3">
      <c r="A371" t="s">
        <v>64</v>
      </c>
      <c r="B371" t="s">
        <v>65</v>
      </c>
      <c r="C371">
        <v>1.96</v>
      </c>
      <c r="D371">
        <v>152.15</v>
      </c>
      <c r="E371">
        <v>0.9</v>
      </c>
      <c r="F371">
        <v>1.37</v>
      </c>
      <c r="G371">
        <v>0.69</v>
      </c>
      <c r="H371">
        <v>0.45</v>
      </c>
      <c r="I371">
        <v>1.1313</v>
      </c>
      <c r="J371">
        <v>46.5</v>
      </c>
      <c r="K371" t="s">
        <v>55</v>
      </c>
      <c r="L371" t="s">
        <v>51</v>
      </c>
      <c r="M371">
        <v>3</v>
      </c>
      <c r="N371">
        <v>24.972999999999999</v>
      </c>
      <c r="O371">
        <v>0</v>
      </c>
      <c r="P371">
        <v>1.385</v>
      </c>
      <c r="Q371" t="s">
        <v>52</v>
      </c>
      <c r="R371">
        <v>65</v>
      </c>
      <c r="S371">
        <v>24</v>
      </c>
      <c r="T371">
        <v>400</v>
      </c>
      <c r="U371">
        <v>1</v>
      </c>
      <c r="V371" s="7">
        <v>0.76686032222096356</v>
      </c>
      <c r="W371">
        <v>75.92</v>
      </c>
      <c r="X371">
        <v>0.63500000000000001</v>
      </c>
      <c r="Y371">
        <v>17.649999999999999</v>
      </c>
      <c r="Z371">
        <v>11.48</v>
      </c>
      <c r="AA371">
        <v>7</v>
      </c>
      <c r="AB371">
        <v>28</v>
      </c>
      <c r="AC371" s="21">
        <f>10/60</f>
        <v>0.16666666666666666</v>
      </c>
      <c r="AD371">
        <v>4</v>
      </c>
      <c r="AE371">
        <v>20</v>
      </c>
      <c r="AF371" s="11">
        <v>0.60000000000000009</v>
      </c>
    </row>
    <row r="372" spans="1:32" x14ac:dyDescent="0.3">
      <c r="A372" t="s">
        <v>64</v>
      </c>
      <c r="B372" t="s">
        <v>65</v>
      </c>
      <c r="C372">
        <v>1.96</v>
      </c>
      <c r="D372">
        <v>152.15</v>
      </c>
      <c r="E372">
        <v>0.9</v>
      </c>
      <c r="F372">
        <v>1.37</v>
      </c>
      <c r="G372">
        <v>0.69</v>
      </c>
      <c r="H372">
        <v>0.45</v>
      </c>
      <c r="I372">
        <v>1.1313</v>
      </c>
      <c r="J372">
        <v>46.5</v>
      </c>
      <c r="K372" t="s">
        <v>55</v>
      </c>
      <c r="L372" t="s">
        <v>51</v>
      </c>
      <c r="M372">
        <v>3</v>
      </c>
      <c r="N372">
        <v>24.972999999999999</v>
      </c>
      <c r="O372">
        <v>0</v>
      </c>
      <c r="P372">
        <v>1.385</v>
      </c>
      <c r="Q372" t="s">
        <v>52</v>
      </c>
      <c r="R372">
        <v>65</v>
      </c>
      <c r="S372">
        <v>24</v>
      </c>
      <c r="T372">
        <v>400</v>
      </c>
      <c r="U372">
        <v>1</v>
      </c>
      <c r="V372" s="7">
        <v>0.76686032222096356</v>
      </c>
      <c r="W372">
        <v>75.92</v>
      </c>
      <c r="X372">
        <v>0.63500000000000001</v>
      </c>
      <c r="Y372">
        <v>17.649999999999999</v>
      </c>
      <c r="Z372">
        <v>11.48</v>
      </c>
      <c r="AA372">
        <v>7</v>
      </c>
      <c r="AB372">
        <v>28</v>
      </c>
      <c r="AC372" s="21">
        <f>15/60</f>
        <v>0.25</v>
      </c>
      <c r="AD372">
        <v>4</v>
      </c>
      <c r="AE372">
        <v>20</v>
      </c>
      <c r="AF372" s="11">
        <v>0.8</v>
      </c>
    </row>
    <row r="373" spans="1:32" x14ac:dyDescent="0.3">
      <c r="A373" t="s">
        <v>64</v>
      </c>
      <c r="B373" t="s">
        <v>65</v>
      </c>
      <c r="C373">
        <v>1.96</v>
      </c>
      <c r="D373">
        <v>152.15</v>
      </c>
      <c r="E373">
        <v>0.9</v>
      </c>
      <c r="F373">
        <v>1.37</v>
      </c>
      <c r="G373">
        <v>0.69</v>
      </c>
      <c r="H373">
        <v>0.45</v>
      </c>
      <c r="I373">
        <v>1.1313</v>
      </c>
      <c r="J373">
        <v>46.5</v>
      </c>
      <c r="K373" t="s">
        <v>55</v>
      </c>
      <c r="L373" t="s">
        <v>51</v>
      </c>
      <c r="M373">
        <v>3</v>
      </c>
      <c r="N373">
        <v>24.972999999999999</v>
      </c>
      <c r="O373">
        <v>0</v>
      </c>
      <c r="P373">
        <v>1.385</v>
      </c>
      <c r="Q373" t="s">
        <v>52</v>
      </c>
      <c r="R373">
        <v>65</v>
      </c>
      <c r="S373">
        <v>24</v>
      </c>
      <c r="T373">
        <v>400</v>
      </c>
      <c r="U373">
        <v>1</v>
      </c>
      <c r="V373" s="7">
        <v>0.76686032222096356</v>
      </c>
      <c r="W373">
        <v>75.92</v>
      </c>
      <c r="X373">
        <v>0.63500000000000001</v>
      </c>
      <c r="Y373">
        <v>17.649999999999999</v>
      </c>
      <c r="Z373">
        <v>11.48</v>
      </c>
      <c r="AA373">
        <v>7</v>
      </c>
      <c r="AB373">
        <v>28</v>
      </c>
      <c r="AC373" s="21">
        <f>30/60</f>
        <v>0.5</v>
      </c>
      <c r="AD373">
        <v>4</v>
      </c>
      <c r="AE373">
        <v>20</v>
      </c>
      <c r="AF373" s="11">
        <v>0.8</v>
      </c>
    </row>
    <row r="374" spans="1:32" x14ac:dyDescent="0.3">
      <c r="A374" t="s">
        <v>64</v>
      </c>
      <c r="B374" t="s">
        <v>65</v>
      </c>
      <c r="C374">
        <v>1.96</v>
      </c>
      <c r="D374">
        <v>152.15</v>
      </c>
      <c r="E374">
        <v>0.9</v>
      </c>
      <c r="F374">
        <v>1.37</v>
      </c>
      <c r="G374">
        <v>0.69</v>
      </c>
      <c r="H374">
        <v>0.45</v>
      </c>
      <c r="I374">
        <v>1.1313</v>
      </c>
      <c r="J374">
        <v>46.5</v>
      </c>
      <c r="K374" t="s">
        <v>55</v>
      </c>
      <c r="L374" t="s">
        <v>51</v>
      </c>
      <c r="M374">
        <v>3</v>
      </c>
      <c r="N374">
        <v>24.972999999999999</v>
      </c>
      <c r="O374">
        <v>0</v>
      </c>
      <c r="P374">
        <v>1.385</v>
      </c>
      <c r="Q374" t="s">
        <v>52</v>
      </c>
      <c r="R374">
        <v>65</v>
      </c>
      <c r="S374">
        <v>24</v>
      </c>
      <c r="T374">
        <v>400</v>
      </c>
      <c r="U374">
        <v>1</v>
      </c>
      <c r="V374" s="7">
        <v>0.76686032222096356</v>
      </c>
      <c r="W374">
        <v>75.92</v>
      </c>
      <c r="X374">
        <v>0.63500000000000001</v>
      </c>
      <c r="Y374">
        <v>17.649999999999999</v>
      </c>
      <c r="Z374">
        <v>11.48</v>
      </c>
      <c r="AA374">
        <v>7</v>
      </c>
      <c r="AB374">
        <v>28</v>
      </c>
      <c r="AC374" s="21">
        <f>45/60</f>
        <v>0.75</v>
      </c>
      <c r="AD374">
        <v>4</v>
      </c>
      <c r="AE374">
        <v>20</v>
      </c>
      <c r="AF374" s="11">
        <v>0.8</v>
      </c>
    </row>
    <row r="375" spans="1:32" x14ac:dyDescent="0.3">
      <c r="A375" t="s">
        <v>64</v>
      </c>
      <c r="B375" t="s">
        <v>65</v>
      </c>
      <c r="C375">
        <v>1.96</v>
      </c>
      <c r="D375">
        <v>152.15</v>
      </c>
      <c r="E375">
        <v>0.9</v>
      </c>
      <c r="F375">
        <v>1.37</v>
      </c>
      <c r="G375">
        <v>0.69</v>
      </c>
      <c r="H375">
        <v>0.45</v>
      </c>
      <c r="I375">
        <v>1.1313</v>
      </c>
      <c r="J375">
        <v>46.5</v>
      </c>
      <c r="K375" t="s">
        <v>55</v>
      </c>
      <c r="L375" t="s">
        <v>51</v>
      </c>
      <c r="M375">
        <v>3</v>
      </c>
      <c r="N375">
        <v>24.972999999999999</v>
      </c>
      <c r="O375">
        <v>0</v>
      </c>
      <c r="P375">
        <v>1.385</v>
      </c>
      <c r="Q375" t="s">
        <v>52</v>
      </c>
      <c r="R375">
        <v>65</v>
      </c>
      <c r="S375">
        <v>24</v>
      </c>
      <c r="T375">
        <v>400</v>
      </c>
      <c r="U375">
        <v>1</v>
      </c>
      <c r="V375" s="7">
        <v>0.76686032222096356</v>
      </c>
      <c r="W375">
        <v>75.92</v>
      </c>
      <c r="X375">
        <v>0.63500000000000001</v>
      </c>
      <c r="Y375">
        <v>17.649999999999999</v>
      </c>
      <c r="Z375">
        <v>11.48</v>
      </c>
      <c r="AA375">
        <v>7</v>
      </c>
      <c r="AB375">
        <v>28</v>
      </c>
      <c r="AC375" s="18">
        <v>1</v>
      </c>
      <c r="AD375">
        <v>4</v>
      </c>
      <c r="AE375">
        <v>20</v>
      </c>
      <c r="AF375" s="11">
        <v>0.8</v>
      </c>
    </row>
    <row r="376" spans="1:32" x14ac:dyDescent="0.3">
      <c r="A376" t="s">
        <v>64</v>
      </c>
      <c r="B376" t="s">
        <v>65</v>
      </c>
      <c r="C376">
        <v>1.96</v>
      </c>
      <c r="D376">
        <v>152.15</v>
      </c>
      <c r="E376">
        <v>0.9</v>
      </c>
      <c r="F376">
        <v>1.37</v>
      </c>
      <c r="G376">
        <v>0.69</v>
      </c>
      <c r="H376">
        <v>0.45</v>
      </c>
      <c r="I376">
        <v>1.1313</v>
      </c>
      <c r="J376">
        <v>46.5</v>
      </c>
      <c r="K376" t="s">
        <v>55</v>
      </c>
      <c r="L376" t="s">
        <v>51</v>
      </c>
      <c r="M376">
        <v>3</v>
      </c>
      <c r="N376">
        <v>24.972999999999999</v>
      </c>
      <c r="O376">
        <v>0</v>
      </c>
      <c r="P376">
        <v>1.385</v>
      </c>
      <c r="Q376" t="s">
        <v>52</v>
      </c>
      <c r="R376">
        <v>65</v>
      </c>
      <c r="S376">
        <v>24</v>
      </c>
      <c r="T376">
        <v>400</v>
      </c>
      <c r="U376">
        <v>1</v>
      </c>
      <c r="V376" s="7">
        <v>0.76686032222096356</v>
      </c>
      <c r="W376">
        <v>75.92</v>
      </c>
      <c r="X376">
        <v>0.63500000000000001</v>
      </c>
      <c r="Y376">
        <v>17.649999999999999</v>
      </c>
      <c r="Z376">
        <v>11.48</v>
      </c>
      <c r="AA376">
        <v>7</v>
      </c>
      <c r="AB376">
        <v>28</v>
      </c>
      <c r="AC376" s="21">
        <f>75/60</f>
        <v>1.25</v>
      </c>
      <c r="AD376">
        <v>4</v>
      </c>
      <c r="AE376">
        <v>20</v>
      </c>
      <c r="AF376" s="11">
        <v>0.8</v>
      </c>
    </row>
    <row r="377" spans="1:32" x14ac:dyDescent="0.3">
      <c r="A377" t="s">
        <v>64</v>
      </c>
      <c r="B377" t="s">
        <v>65</v>
      </c>
      <c r="C377">
        <v>1.96</v>
      </c>
      <c r="D377">
        <v>152.15</v>
      </c>
      <c r="E377">
        <v>0.9</v>
      </c>
      <c r="F377">
        <v>1.37</v>
      </c>
      <c r="G377">
        <v>0.69</v>
      </c>
      <c r="H377">
        <v>0.45</v>
      </c>
      <c r="I377">
        <v>1.1313</v>
      </c>
      <c r="J377">
        <v>46.5</v>
      </c>
      <c r="K377" t="s">
        <v>55</v>
      </c>
      <c r="L377" t="s">
        <v>51</v>
      </c>
      <c r="M377">
        <v>3</v>
      </c>
      <c r="N377">
        <v>24.972999999999999</v>
      </c>
      <c r="O377">
        <v>0</v>
      </c>
      <c r="P377">
        <v>1.385</v>
      </c>
      <c r="Q377" t="s">
        <v>52</v>
      </c>
      <c r="R377">
        <v>65</v>
      </c>
      <c r="S377">
        <v>24</v>
      </c>
      <c r="T377">
        <v>400</v>
      </c>
      <c r="U377">
        <v>1</v>
      </c>
      <c r="V377" s="7">
        <v>0.76686032222096356</v>
      </c>
      <c r="W377">
        <v>75.92</v>
      </c>
      <c r="X377">
        <v>0.63500000000000001</v>
      </c>
      <c r="Y377">
        <v>17.649999999999999</v>
      </c>
      <c r="Z377">
        <v>11.48</v>
      </c>
      <c r="AA377">
        <v>7</v>
      </c>
      <c r="AB377">
        <v>28</v>
      </c>
      <c r="AC377" s="21">
        <f>90/60</f>
        <v>1.5</v>
      </c>
      <c r="AD377">
        <v>4</v>
      </c>
      <c r="AE377">
        <v>20</v>
      </c>
      <c r="AF377" s="11">
        <v>0.8</v>
      </c>
    </row>
    <row r="378" spans="1:32" x14ac:dyDescent="0.3">
      <c r="A378" t="s">
        <v>64</v>
      </c>
      <c r="B378" t="s">
        <v>65</v>
      </c>
      <c r="C378">
        <v>1.96</v>
      </c>
      <c r="D378">
        <v>152.15</v>
      </c>
      <c r="E378">
        <v>0.9</v>
      </c>
      <c r="F378">
        <v>1.37</v>
      </c>
      <c r="G378">
        <v>0.69</v>
      </c>
      <c r="H378">
        <v>0.45</v>
      </c>
      <c r="I378">
        <v>1.1313</v>
      </c>
      <c r="J378">
        <v>46.5</v>
      </c>
      <c r="K378" t="s">
        <v>55</v>
      </c>
      <c r="L378" t="s">
        <v>51</v>
      </c>
      <c r="M378">
        <v>3</v>
      </c>
      <c r="N378">
        <v>24.972999999999999</v>
      </c>
      <c r="O378">
        <v>0</v>
      </c>
      <c r="P378">
        <v>1.385</v>
      </c>
      <c r="Q378" t="s">
        <v>52</v>
      </c>
      <c r="R378">
        <v>65</v>
      </c>
      <c r="S378">
        <v>24</v>
      </c>
      <c r="T378">
        <v>400</v>
      </c>
      <c r="U378">
        <v>1</v>
      </c>
      <c r="V378" s="7">
        <v>0.76686032222096356</v>
      </c>
      <c r="W378">
        <v>75.92</v>
      </c>
      <c r="X378">
        <v>0.63500000000000001</v>
      </c>
      <c r="Y378">
        <v>17.649999999999999</v>
      </c>
      <c r="Z378">
        <v>11.48</v>
      </c>
      <c r="AA378">
        <v>7</v>
      </c>
      <c r="AB378">
        <v>28</v>
      </c>
      <c r="AC378" s="21">
        <f>105/60</f>
        <v>1.75</v>
      </c>
      <c r="AD378">
        <v>4</v>
      </c>
      <c r="AE378">
        <v>20</v>
      </c>
      <c r="AF378" s="11">
        <v>0.8</v>
      </c>
    </row>
    <row r="379" spans="1:32" x14ac:dyDescent="0.3">
      <c r="A379" t="s">
        <v>64</v>
      </c>
      <c r="B379" t="s">
        <v>65</v>
      </c>
      <c r="C379">
        <v>1.96</v>
      </c>
      <c r="D379">
        <v>152.15</v>
      </c>
      <c r="E379">
        <v>0.9</v>
      </c>
      <c r="F379">
        <v>1.37</v>
      </c>
      <c r="G379">
        <v>0.69</v>
      </c>
      <c r="H379">
        <v>0.45</v>
      </c>
      <c r="I379">
        <v>1.1313</v>
      </c>
      <c r="J379">
        <v>46.5</v>
      </c>
      <c r="K379" t="s">
        <v>55</v>
      </c>
      <c r="L379" t="s">
        <v>51</v>
      </c>
      <c r="M379">
        <v>3</v>
      </c>
      <c r="N379">
        <v>24.972999999999999</v>
      </c>
      <c r="O379">
        <v>0</v>
      </c>
      <c r="P379">
        <v>1.385</v>
      </c>
      <c r="Q379" t="s">
        <v>52</v>
      </c>
      <c r="R379">
        <v>65</v>
      </c>
      <c r="S379">
        <v>24</v>
      </c>
      <c r="T379">
        <v>400</v>
      </c>
      <c r="U379">
        <v>1</v>
      </c>
      <c r="V379" s="7">
        <v>0.76686032222096356</v>
      </c>
      <c r="W379">
        <v>75.92</v>
      </c>
      <c r="X379">
        <v>0.63500000000000001</v>
      </c>
      <c r="Y379">
        <v>17.649999999999999</v>
      </c>
      <c r="Z379">
        <v>11.48</v>
      </c>
      <c r="AA379">
        <v>7</v>
      </c>
      <c r="AB379">
        <v>28</v>
      </c>
      <c r="AC379" s="18">
        <f>120/60</f>
        <v>2</v>
      </c>
      <c r="AD379">
        <v>4</v>
      </c>
      <c r="AE379">
        <v>20</v>
      </c>
      <c r="AF379" s="11">
        <v>0.8</v>
      </c>
    </row>
    <row r="380" spans="1:32" x14ac:dyDescent="0.3">
      <c r="A380" t="s">
        <v>64</v>
      </c>
      <c r="B380" t="s">
        <v>65</v>
      </c>
      <c r="C380">
        <v>1.96</v>
      </c>
      <c r="D380">
        <v>152.15</v>
      </c>
      <c r="E380">
        <v>0.9</v>
      </c>
      <c r="F380">
        <v>1.37</v>
      </c>
      <c r="G380">
        <v>0.69</v>
      </c>
      <c r="H380">
        <v>0.45</v>
      </c>
      <c r="I380">
        <v>1.1313</v>
      </c>
      <c r="J380">
        <v>46.5</v>
      </c>
      <c r="K380" t="s">
        <v>55</v>
      </c>
      <c r="L380" t="s">
        <v>51</v>
      </c>
      <c r="M380">
        <v>3</v>
      </c>
      <c r="N380">
        <v>24.972999999999999</v>
      </c>
      <c r="O380">
        <v>0</v>
      </c>
      <c r="P380">
        <v>1.385</v>
      </c>
      <c r="Q380" t="s">
        <v>52</v>
      </c>
      <c r="R380">
        <v>65</v>
      </c>
      <c r="S380">
        <v>24</v>
      </c>
      <c r="T380">
        <v>400</v>
      </c>
      <c r="U380">
        <v>1</v>
      </c>
      <c r="V380" s="7">
        <v>0.76686032222096356</v>
      </c>
      <c r="W380">
        <v>75.92</v>
      </c>
      <c r="X380">
        <v>0.63500000000000001</v>
      </c>
      <c r="Y380">
        <v>17.649999999999999</v>
      </c>
      <c r="Z380">
        <v>11.48</v>
      </c>
      <c r="AA380">
        <v>7</v>
      </c>
      <c r="AB380">
        <v>28</v>
      </c>
      <c r="AC380" s="21">
        <f>5/60</f>
        <v>8.3333333333333329E-2</v>
      </c>
      <c r="AD380">
        <v>4</v>
      </c>
      <c r="AE380">
        <v>50</v>
      </c>
      <c r="AF380" s="11">
        <v>0.6</v>
      </c>
    </row>
    <row r="381" spans="1:32" x14ac:dyDescent="0.3">
      <c r="A381" t="s">
        <v>64</v>
      </c>
      <c r="B381" t="s">
        <v>65</v>
      </c>
      <c r="C381">
        <v>1.96</v>
      </c>
      <c r="D381">
        <v>152.15</v>
      </c>
      <c r="E381">
        <v>0.9</v>
      </c>
      <c r="F381">
        <v>1.37</v>
      </c>
      <c r="G381">
        <v>0.69</v>
      </c>
      <c r="H381">
        <v>0.45</v>
      </c>
      <c r="I381">
        <v>1.1313</v>
      </c>
      <c r="J381">
        <v>46.5</v>
      </c>
      <c r="K381" t="s">
        <v>55</v>
      </c>
      <c r="L381" t="s">
        <v>51</v>
      </c>
      <c r="M381">
        <v>3</v>
      </c>
      <c r="N381">
        <v>24.972999999999999</v>
      </c>
      <c r="O381">
        <v>0</v>
      </c>
      <c r="P381">
        <v>1.385</v>
      </c>
      <c r="Q381" t="s">
        <v>52</v>
      </c>
      <c r="R381">
        <v>65</v>
      </c>
      <c r="S381">
        <v>24</v>
      </c>
      <c r="T381">
        <v>400</v>
      </c>
      <c r="U381">
        <v>1</v>
      </c>
      <c r="V381" s="7">
        <v>0.76686032222096356</v>
      </c>
      <c r="W381">
        <v>75.92</v>
      </c>
      <c r="X381">
        <v>0.63500000000000001</v>
      </c>
      <c r="Y381">
        <v>17.649999999999999</v>
      </c>
      <c r="Z381">
        <v>11.48</v>
      </c>
      <c r="AA381">
        <v>7</v>
      </c>
      <c r="AB381">
        <v>28</v>
      </c>
      <c r="AC381" s="21">
        <f>10/60</f>
        <v>0.16666666666666666</v>
      </c>
      <c r="AD381">
        <v>4</v>
      </c>
      <c r="AE381">
        <v>50</v>
      </c>
      <c r="AF381" s="11">
        <v>0.68</v>
      </c>
    </row>
    <row r="382" spans="1:32" x14ac:dyDescent="0.3">
      <c r="A382" t="s">
        <v>64</v>
      </c>
      <c r="B382" t="s">
        <v>65</v>
      </c>
      <c r="C382">
        <v>1.96</v>
      </c>
      <c r="D382">
        <v>152.15</v>
      </c>
      <c r="E382">
        <v>0.9</v>
      </c>
      <c r="F382">
        <v>1.37</v>
      </c>
      <c r="G382">
        <v>0.69</v>
      </c>
      <c r="H382">
        <v>0.45</v>
      </c>
      <c r="I382">
        <v>1.1313</v>
      </c>
      <c r="J382">
        <v>46.5</v>
      </c>
      <c r="K382" t="s">
        <v>55</v>
      </c>
      <c r="L382" t="s">
        <v>51</v>
      </c>
      <c r="M382">
        <v>3</v>
      </c>
      <c r="N382">
        <v>24.972999999999999</v>
      </c>
      <c r="O382">
        <v>0</v>
      </c>
      <c r="P382">
        <v>1.385</v>
      </c>
      <c r="Q382" t="s">
        <v>52</v>
      </c>
      <c r="R382">
        <v>65</v>
      </c>
      <c r="S382">
        <v>24</v>
      </c>
      <c r="T382">
        <v>400</v>
      </c>
      <c r="U382">
        <v>1</v>
      </c>
      <c r="V382" s="7">
        <v>0.76686032222096356</v>
      </c>
      <c r="W382">
        <v>75.92</v>
      </c>
      <c r="X382">
        <v>0.63500000000000001</v>
      </c>
      <c r="Y382">
        <v>17.649999999999999</v>
      </c>
      <c r="Z382">
        <v>11.48</v>
      </c>
      <c r="AA382">
        <v>7</v>
      </c>
      <c r="AB382">
        <v>28</v>
      </c>
      <c r="AC382" s="21">
        <f>15/60</f>
        <v>0.25</v>
      </c>
      <c r="AD382">
        <v>4</v>
      </c>
      <c r="AE382">
        <v>50</v>
      </c>
      <c r="AF382" s="11">
        <v>0.68799999999999994</v>
      </c>
    </row>
    <row r="383" spans="1:32" x14ac:dyDescent="0.3">
      <c r="A383" t="s">
        <v>64</v>
      </c>
      <c r="B383" t="s">
        <v>65</v>
      </c>
      <c r="C383">
        <v>1.96</v>
      </c>
      <c r="D383">
        <v>152.15</v>
      </c>
      <c r="E383">
        <v>0.9</v>
      </c>
      <c r="F383">
        <v>1.37</v>
      </c>
      <c r="G383">
        <v>0.69</v>
      </c>
      <c r="H383">
        <v>0.45</v>
      </c>
      <c r="I383">
        <v>1.1313</v>
      </c>
      <c r="J383">
        <v>46.5</v>
      </c>
      <c r="K383" t="s">
        <v>55</v>
      </c>
      <c r="L383" t="s">
        <v>51</v>
      </c>
      <c r="M383">
        <v>3</v>
      </c>
      <c r="N383">
        <v>24.972999999999999</v>
      </c>
      <c r="O383">
        <v>0</v>
      </c>
      <c r="P383">
        <v>1.385</v>
      </c>
      <c r="Q383" t="s">
        <v>52</v>
      </c>
      <c r="R383">
        <v>65</v>
      </c>
      <c r="S383">
        <v>24</v>
      </c>
      <c r="T383">
        <v>400</v>
      </c>
      <c r="U383">
        <v>1</v>
      </c>
      <c r="V383" s="7">
        <v>0.76686032222096356</v>
      </c>
      <c r="W383">
        <v>75.92</v>
      </c>
      <c r="X383">
        <v>0.63500000000000001</v>
      </c>
      <c r="Y383">
        <v>17.649999999999999</v>
      </c>
      <c r="Z383">
        <v>11.48</v>
      </c>
      <c r="AA383">
        <v>7</v>
      </c>
      <c r="AB383">
        <v>28</v>
      </c>
      <c r="AC383" s="21">
        <f>30/60</f>
        <v>0.5</v>
      </c>
      <c r="AD383">
        <v>4</v>
      </c>
      <c r="AE383">
        <v>50</v>
      </c>
      <c r="AF383" s="11">
        <v>0.68799999999999994</v>
      </c>
    </row>
    <row r="384" spans="1:32" x14ac:dyDescent="0.3">
      <c r="A384" t="s">
        <v>64</v>
      </c>
      <c r="B384" t="s">
        <v>65</v>
      </c>
      <c r="C384">
        <v>1.96</v>
      </c>
      <c r="D384">
        <v>152.15</v>
      </c>
      <c r="E384">
        <v>0.9</v>
      </c>
      <c r="F384">
        <v>1.37</v>
      </c>
      <c r="G384">
        <v>0.69</v>
      </c>
      <c r="H384">
        <v>0.45</v>
      </c>
      <c r="I384">
        <v>1.1313</v>
      </c>
      <c r="J384">
        <v>46.5</v>
      </c>
      <c r="K384" t="s">
        <v>55</v>
      </c>
      <c r="L384" t="s">
        <v>51</v>
      </c>
      <c r="M384">
        <v>3</v>
      </c>
      <c r="N384">
        <v>24.972999999999999</v>
      </c>
      <c r="O384">
        <v>0</v>
      </c>
      <c r="P384">
        <v>1.385</v>
      </c>
      <c r="Q384" t="s">
        <v>52</v>
      </c>
      <c r="R384">
        <v>65</v>
      </c>
      <c r="S384">
        <v>24</v>
      </c>
      <c r="T384">
        <v>400</v>
      </c>
      <c r="U384">
        <v>1</v>
      </c>
      <c r="V384" s="7">
        <v>0.76686032222096356</v>
      </c>
      <c r="W384">
        <v>75.92</v>
      </c>
      <c r="X384">
        <v>0.63500000000000001</v>
      </c>
      <c r="Y384">
        <v>17.649999999999999</v>
      </c>
      <c r="Z384">
        <v>11.48</v>
      </c>
      <c r="AA384">
        <v>7</v>
      </c>
      <c r="AB384">
        <v>28</v>
      </c>
      <c r="AC384" s="21">
        <f>45/60</f>
        <v>0.75</v>
      </c>
      <c r="AD384">
        <v>4</v>
      </c>
      <c r="AE384">
        <v>50</v>
      </c>
      <c r="AF384" s="11">
        <v>0.68799999999999994</v>
      </c>
    </row>
    <row r="385" spans="1:32" x14ac:dyDescent="0.3">
      <c r="A385" t="s">
        <v>64</v>
      </c>
      <c r="B385" t="s">
        <v>65</v>
      </c>
      <c r="C385">
        <v>1.96</v>
      </c>
      <c r="D385">
        <v>152.15</v>
      </c>
      <c r="E385">
        <v>0.9</v>
      </c>
      <c r="F385">
        <v>1.37</v>
      </c>
      <c r="G385">
        <v>0.69</v>
      </c>
      <c r="H385">
        <v>0.45</v>
      </c>
      <c r="I385">
        <v>1.1313</v>
      </c>
      <c r="J385">
        <v>46.5</v>
      </c>
      <c r="K385" t="s">
        <v>55</v>
      </c>
      <c r="L385" t="s">
        <v>51</v>
      </c>
      <c r="M385">
        <v>3</v>
      </c>
      <c r="N385">
        <v>24.972999999999999</v>
      </c>
      <c r="O385">
        <v>0</v>
      </c>
      <c r="P385">
        <v>1.385</v>
      </c>
      <c r="Q385" t="s">
        <v>52</v>
      </c>
      <c r="R385">
        <v>65</v>
      </c>
      <c r="S385">
        <v>24</v>
      </c>
      <c r="T385">
        <v>400</v>
      </c>
      <c r="U385">
        <v>1</v>
      </c>
      <c r="V385" s="7">
        <v>0.76686032222096356</v>
      </c>
      <c r="W385">
        <v>75.92</v>
      </c>
      <c r="X385">
        <v>0.63500000000000001</v>
      </c>
      <c r="Y385">
        <v>17.649999999999999</v>
      </c>
      <c r="Z385">
        <v>11.48</v>
      </c>
      <c r="AA385">
        <v>7</v>
      </c>
      <c r="AB385">
        <v>28</v>
      </c>
      <c r="AC385" s="18">
        <v>1</v>
      </c>
      <c r="AD385">
        <v>4</v>
      </c>
      <c r="AE385">
        <v>50</v>
      </c>
      <c r="AF385" s="11">
        <v>0.68799999999999994</v>
      </c>
    </row>
    <row r="386" spans="1:32" x14ac:dyDescent="0.3">
      <c r="A386" t="s">
        <v>64</v>
      </c>
      <c r="B386" t="s">
        <v>65</v>
      </c>
      <c r="C386">
        <v>1.96</v>
      </c>
      <c r="D386">
        <v>152.15</v>
      </c>
      <c r="E386">
        <v>0.9</v>
      </c>
      <c r="F386">
        <v>1.37</v>
      </c>
      <c r="G386">
        <v>0.69</v>
      </c>
      <c r="H386">
        <v>0.45</v>
      </c>
      <c r="I386">
        <v>1.1313</v>
      </c>
      <c r="J386">
        <v>46.5</v>
      </c>
      <c r="K386" t="s">
        <v>55</v>
      </c>
      <c r="L386" t="s">
        <v>51</v>
      </c>
      <c r="M386">
        <v>3</v>
      </c>
      <c r="N386">
        <v>24.972999999999999</v>
      </c>
      <c r="O386">
        <v>0</v>
      </c>
      <c r="P386">
        <v>1.385</v>
      </c>
      <c r="Q386" t="s">
        <v>52</v>
      </c>
      <c r="R386">
        <v>65</v>
      </c>
      <c r="S386">
        <v>24</v>
      </c>
      <c r="T386">
        <v>400</v>
      </c>
      <c r="U386">
        <v>1</v>
      </c>
      <c r="V386" s="7">
        <v>0.76686032222096356</v>
      </c>
      <c r="W386">
        <v>75.92</v>
      </c>
      <c r="X386">
        <v>0.63500000000000001</v>
      </c>
      <c r="Y386">
        <v>17.649999999999999</v>
      </c>
      <c r="Z386">
        <v>11.48</v>
      </c>
      <c r="AA386">
        <v>7</v>
      </c>
      <c r="AB386">
        <v>28</v>
      </c>
      <c r="AC386" s="21">
        <f>75/60</f>
        <v>1.25</v>
      </c>
      <c r="AD386">
        <v>4</v>
      </c>
      <c r="AE386">
        <v>50</v>
      </c>
      <c r="AF386" s="11">
        <v>0.68799999999999994</v>
      </c>
    </row>
    <row r="387" spans="1:32" x14ac:dyDescent="0.3">
      <c r="A387" t="s">
        <v>64</v>
      </c>
      <c r="B387" t="s">
        <v>65</v>
      </c>
      <c r="C387">
        <v>1.96</v>
      </c>
      <c r="D387">
        <v>152.15</v>
      </c>
      <c r="E387">
        <v>0.9</v>
      </c>
      <c r="F387">
        <v>1.37</v>
      </c>
      <c r="G387">
        <v>0.69</v>
      </c>
      <c r="H387">
        <v>0.45</v>
      </c>
      <c r="I387">
        <v>1.1313</v>
      </c>
      <c r="J387">
        <v>46.5</v>
      </c>
      <c r="K387" t="s">
        <v>55</v>
      </c>
      <c r="L387" t="s">
        <v>51</v>
      </c>
      <c r="M387">
        <v>3</v>
      </c>
      <c r="N387">
        <v>24.972999999999999</v>
      </c>
      <c r="O387">
        <v>0</v>
      </c>
      <c r="P387">
        <v>1.385</v>
      </c>
      <c r="Q387" t="s">
        <v>52</v>
      </c>
      <c r="R387">
        <v>65</v>
      </c>
      <c r="S387">
        <v>24</v>
      </c>
      <c r="T387">
        <v>400</v>
      </c>
      <c r="U387">
        <v>1</v>
      </c>
      <c r="V387" s="7">
        <v>0.76686032222096356</v>
      </c>
      <c r="W387">
        <v>75.92</v>
      </c>
      <c r="X387">
        <v>0.63500000000000001</v>
      </c>
      <c r="Y387">
        <v>17.649999999999999</v>
      </c>
      <c r="Z387">
        <v>11.48</v>
      </c>
      <c r="AA387">
        <v>7</v>
      </c>
      <c r="AB387">
        <v>28</v>
      </c>
      <c r="AC387" s="21">
        <f>90/60</f>
        <v>1.5</v>
      </c>
      <c r="AD387">
        <v>4</v>
      </c>
      <c r="AE387">
        <v>50</v>
      </c>
      <c r="AF387" s="11">
        <v>0.68799999999999994</v>
      </c>
    </row>
    <row r="388" spans="1:32" x14ac:dyDescent="0.3">
      <c r="A388" t="s">
        <v>64</v>
      </c>
      <c r="B388" t="s">
        <v>65</v>
      </c>
      <c r="C388">
        <v>1.96</v>
      </c>
      <c r="D388">
        <v>152.15</v>
      </c>
      <c r="E388">
        <v>0.9</v>
      </c>
      <c r="F388">
        <v>1.37</v>
      </c>
      <c r="G388">
        <v>0.69</v>
      </c>
      <c r="H388">
        <v>0.45</v>
      </c>
      <c r="I388">
        <v>1.1313</v>
      </c>
      <c r="J388">
        <v>46.5</v>
      </c>
      <c r="K388" t="s">
        <v>55</v>
      </c>
      <c r="L388" t="s">
        <v>51</v>
      </c>
      <c r="M388">
        <v>3</v>
      </c>
      <c r="N388">
        <v>24.972999999999999</v>
      </c>
      <c r="O388">
        <v>0</v>
      </c>
      <c r="P388">
        <v>1.385</v>
      </c>
      <c r="Q388" t="s">
        <v>52</v>
      </c>
      <c r="R388">
        <v>65</v>
      </c>
      <c r="S388">
        <v>24</v>
      </c>
      <c r="T388">
        <v>400</v>
      </c>
      <c r="U388">
        <v>1</v>
      </c>
      <c r="V388" s="7">
        <v>0.76686032222096356</v>
      </c>
      <c r="W388">
        <v>75.92</v>
      </c>
      <c r="X388">
        <v>0.63500000000000001</v>
      </c>
      <c r="Y388">
        <v>17.649999999999999</v>
      </c>
      <c r="Z388">
        <v>11.48</v>
      </c>
      <c r="AA388">
        <v>7</v>
      </c>
      <c r="AB388">
        <v>28</v>
      </c>
      <c r="AC388" s="21">
        <f>105/60</f>
        <v>1.75</v>
      </c>
      <c r="AD388">
        <v>4</v>
      </c>
      <c r="AE388">
        <v>50</v>
      </c>
      <c r="AF388" s="11">
        <v>0.68799999999999994</v>
      </c>
    </row>
    <row r="389" spans="1:32" x14ac:dyDescent="0.3">
      <c r="A389" t="s">
        <v>64</v>
      </c>
      <c r="B389" t="s">
        <v>65</v>
      </c>
      <c r="C389">
        <v>1.96</v>
      </c>
      <c r="D389">
        <v>152.15</v>
      </c>
      <c r="E389">
        <v>0.9</v>
      </c>
      <c r="F389">
        <v>1.37</v>
      </c>
      <c r="G389">
        <v>0.69</v>
      </c>
      <c r="H389">
        <v>0.45</v>
      </c>
      <c r="I389">
        <v>1.1313</v>
      </c>
      <c r="J389">
        <v>46.5</v>
      </c>
      <c r="K389" t="s">
        <v>55</v>
      </c>
      <c r="L389" t="s">
        <v>51</v>
      </c>
      <c r="M389">
        <v>3</v>
      </c>
      <c r="N389">
        <v>24.972999999999999</v>
      </c>
      <c r="O389">
        <v>0</v>
      </c>
      <c r="P389">
        <v>1.385</v>
      </c>
      <c r="Q389" t="s">
        <v>52</v>
      </c>
      <c r="R389">
        <v>65</v>
      </c>
      <c r="S389">
        <v>24</v>
      </c>
      <c r="T389">
        <v>400</v>
      </c>
      <c r="U389">
        <v>1</v>
      </c>
      <c r="V389" s="7">
        <v>0.76686032222096356</v>
      </c>
      <c r="W389">
        <v>75.92</v>
      </c>
      <c r="X389">
        <v>0.63500000000000001</v>
      </c>
      <c r="Y389">
        <v>17.649999999999999</v>
      </c>
      <c r="Z389">
        <v>11.48</v>
      </c>
      <c r="AA389">
        <v>7</v>
      </c>
      <c r="AB389">
        <v>28</v>
      </c>
      <c r="AC389" s="18">
        <f>120/60</f>
        <v>2</v>
      </c>
      <c r="AD389">
        <v>4</v>
      </c>
      <c r="AE389">
        <v>50</v>
      </c>
      <c r="AF389" s="11">
        <v>0.68799999999999994</v>
      </c>
    </row>
    <row r="390" spans="1:32" x14ac:dyDescent="0.3">
      <c r="A390" t="s">
        <v>64</v>
      </c>
      <c r="B390" t="s">
        <v>65</v>
      </c>
      <c r="C390">
        <v>1.96</v>
      </c>
      <c r="D390">
        <v>152.15</v>
      </c>
      <c r="E390">
        <v>0.9</v>
      </c>
      <c r="F390">
        <v>1.37</v>
      </c>
      <c r="G390">
        <v>0.69</v>
      </c>
      <c r="H390">
        <v>0.45</v>
      </c>
      <c r="I390">
        <v>1.1313</v>
      </c>
      <c r="J390">
        <v>46.5</v>
      </c>
      <c r="K390" t="s">
        <v>55</v>
      </c>
      <c r="L390" t="s">
        <v>51</v>
      </c>
      <c r="M390">
        <v>3</v>
      </c>
      <c r="N390">
        <v>24.972999999999999</v>
      </c>
      <c r="O390">
        <v>0</v>
      </c>
      <c r="P390">
        <v>1.385</v>
      </c>
      <c r="Q390" t="s">
        <v>52</v>
      </c>
      <c r="R390">
        <v>65</v>
      </c>
      <c r="S390">
        <v>24</v>
      </c>
      <c r="T390">
        <v>400</v>
      </c>
      <c r="U390">
        <v>1</v>
      </c>
      <c r="V390" s="7">
        <v>0.76686032222096356</v>
      </c>
      <c r="W390">
        <v>75.92</v>
      </c>
      <c r="X390">
        <v>0.63500000000000001</v>
      </c>
      <c r="Y390">
        <v>17.649999999999999</v>
      </c>
      <c r="Z390">
        <v>11.48</v>
      </c>
      <c r="AA390">
        <v>7</v>
      </c>
      <c r="AB390">
        <v>28</v>
      </c>
      <c r="AC390" s="21">
        <f>5/60</f>
        <v>8.3333333333333329E-2</v>
      </c>
      <c r="AD390">
        <v>4</v>
      </c>
      <c r="AE390">
        <v>100</v>
      </c>
      <c r="AF390" s="11">
        <v>0.36</v>
      </c>
    </row>
    <row r="391" spans="1:32" x14ac:dyDescent="0.3">
      <c r="A391" t="s">
        <v>64</v>
      </c>
      <c r="B391" t="s">
        <v>65</v>
      </c>
      <c r="C391">
        <v>1.96</v>
      </c>
      <c r="D391">
        <v>152.15</v>
      </c>
      <c r="E391">
        <v>0.9</v>
      </c>
      <c r="F391">
        <v>1.37</v>
      </c>
      <c r="G391">
        <v>0.69</v>
      </c>
      <c r="H391">
        <v>0.45</v>
      </c>
      <c r="I391">
        <v>1.1313</v>
      </c>
      <c r="J391">
        <v>46.5</v>
      </c>
      <c r="K391" t="s">
        <v>55</v>
      </c>
      <c r="L391" t="s">
        <v>51</v>
      </c>
      <c r="M391">
        <v>3</v>
      </c>
      <c r="N391">
        <v>24.972999999999999</v>
      </c>
      <c r="O391">
        <v>0</v>
      </c>
      <c r="P391">
        <v>1.385</v>
      </c>
      <c r="Q391" t="s">
        <v>52</v>
      </c>
      <c r="R391">
        <v>65</v>
      </c>
      <c r="S391">
        <v>24</v>
      </c>
      <c r="T391">
        <v>400</v>
      </c>
      <c r="U391">
        <v>1</v>
      </c>
      <c r="V391" s="7">
        <v>0.76686032222096356</v>
      </c>
      <c r="W391">
        <v>75.92</v>
      </c>
      <c r="X391">
        <v>0.63500000000000001</v>
      </c>
      <c r="Y391">
        <v>17.649999999999999</v>
      </c>
      <c r="Z391">
        <v>11.48</v>
      </c>
      <c r="AA391">
        <v>7</v>
      </c>
      <c r="AB391">
        <v>28</v>
      </c>
      <c r="AC391" s="21">
        <f>10/60</f>
        <v>0.16666666666666666</v>
      </c>
      <c r="AD391">
        <v>4</v>
      </c>
      <c r="AE391">
        <v>100</v>
      </c>
      <c r="AF391" s="11">
        <v>0.56000000000000005</v>
      </c>
    </row>
    <row r="392" spans="1:32" x14ac:dyDescent="0.3">
      <c r="A392" t="s">
        <v>64</v>
      </c>
      <c r="B392" t="s">
        <v>65</v>
      </c>
      <c r="C392">
        <v>1.96</v>
      </c>
      <c r="D392">
        <v>152.15</v>
      </c>
      <c r="E392">
        <v>0.9</v>
      </c>
      <c r="F392">
        <v>1.37</v>
      </c>
      <c r="G392">
        <v>0.69</v>
      </c>
      <c r="H392">
        <v>0.45</v>
      </c>
      <c r="I392">
        <v>1.1313</v>
      </c>
      <c r="J392">
        <v>46.5</v>
      </c>
      <c r="K392" t="s">
        <v>55</v>
      </c>
      <c r="L392" t="s">
        <v>51</v>
      </c>
      <c r="M392">
        <v>3</v>
      </c>
      <c r="N392">
        <v>24.972999999999999</v>
      </c>
      <c r="O392">
        <v>0</v>
      </c>
      <c r="P392">
        <v>1.385</v>
      </c>
      <c r="Q392" t="s">
        <v>52</v>
      </c>
      <c r="R392">
        <v>65</v>
      </c>
      <c r="S392">
        <v>24</v>
      </c>
      <c r="T392">
        <v>400</v>
      </c>
      <c r="U392">
        <v>1</v>
      </c>
      <c r="V392" s="7">
        <v>0.76686032222096356</v>
      </c>
      <c r="W392">
        <v>75.92</v>
      </c>
      <c r="X392">
        <v>0.63500000000000001</v>
      </c>
      <c r="Y392">
        <v>17.649999999999999</v>
      </c>
      <c r="Z392">
        <v>11.48</v>
      </c>
      <c r="AA392">
        <v>7</v>
      </c>
      <c r="AB392">
        <v>28</v>
      </c>
      <c r="AC392" s="21">
        <f>15/60</f>
        <v>0.25</v>
      </c>
      <c r="AD392">
        <v>4</v>
      </c>
      <c r="AE392">
        <v>100</v>
      </c>
      <c r="AF392" s="11">
        <v>0.6</v>
      </c>
    </row>
    <row r="393" spans="1:32" x14ac:dyDescent="0.3">
      <c r="A393" t="s">
        <v>64</v>
      </c>
      <c r="B393" t="s">
        <v>65</v>
      </c>
      <c r="C393">
        <v>1.96</v>
      </c>
      <c r="D393">
        <v>152.15</v>
      </c>
      <c r="E393">
        <v>0.9</v>
      </c>
      <c r="F393">
        <v>1.37</v>
      </c>
      <c r="G393">
        <v>0.69</v>
      </c>
      <c r="H393">
        <v>0.45</v>
      </c>
      <c r="I393">
        <v>1.1313</v>
      </c>
      <c r="J393">
        <v>46.5</v>
      </c>
      <c r="K393" t="s">
        <v>55</v>
      </c>
      <c r="L393" t="s">
        <v>51</v>
      </c>
      <c r="M393">
        <v>3</v>
      </c>
      <c r="N393">
        <v>24.972999999999999</v>
      </c>
      <c r="O393">
        <v>0</v>
      </c>
      <c r="P393">
        <v>1.385</v>
      </c>
      <c r="Q393" t="s">
        <v>52</v>
      </c>
      <c r="R393">
        <v>65</v>
      </c>
      <c r="S393">
        <v>24</v>
      </c>
      <c r="T393">
        <v>400</v>
      </c>
      <c r="U393">
        <v>1</v>
      </c>
      <c r="V393" s="7">
        <v>0.76686032222096356</v>
      </c>
      <c r="W393">
        <v>75.92</v>
      </c>
      <c r="X393">
        <v>0.63500000000000001</v>
      </c>
      <c r="Y393">
        <v>17.649999999999999</v>
      </c>
      <c r="Z393">
        <v>11.48</v>
      </c>
      <c r="AA393">
        <v>7</v>
      </c>
      <c r="AB393">
        <v>28</v>
      </c>
      <c r="AC393" s="21">
        <f>30/60</f>
        <v>0.5</v>
      </c>
      <c r="AD393">
        <v>4</v>
      </c>
      <c r="AE393">
        <v>100</v>
      </c>
      <c r="AF393" s="11">
        <v>0.62</v>
      </c>
    </row>
    <row r="394" spans="1:32" x14ac:dyDescent="0.3">
      <c r="A394" t="s">
        <v>64</v>
      </c>
      <c r="B394" t="s">
        <v>65</v>
      </c>
      <c r="C394">
        <v>1.96</v>
      </c>
      <c r="D394">
        <v>152.15</v>
      </c>
      <c r="E394">
        <v>0.9</v>
      </c>
      <c r="F394">
        <v>1.37</v>
      </c>
      <c r="G394">
        <v>0.69</v>
      </c>
      <c r="H394">
        <v>0.45</v>
      </c>
      <c r="I394">
        <v>1.1313</v>
      </c>
      <c r="J394">
        <v>46.5</v>
      </c>
      <c r="K394" t="s">
        <v>55</v>
      </c>
      <c r="L394" t="s">
        <v>51</v>
      </c>
      <c r="M394">
        <v>3</v>
      </c>
      <c r="N394">
        <v>24.972999999999999</v>
      </c>
      <c r="O394">
        <v>0</v>
      </c>
      <c r="P394">
        <v>1.385</v>
      </c>
      <c r="Q394" t="s">
        <v>52</v>
      </c>
      <c r="R394">
        <v>65</v>
      </c>
      <c r="S394">
        <v>24</v>
      </c>
      <c r="T394">
        <v>400</v>
      </c>
      <c r="U394">
        <v>1</v>
      </c>
      <c r="V394" s="7">
        <v>0.76686032222096356</v>
      </c>
      <c r="W394">
        <v>75.92</v>
      </c>
      <c r="X394">
        <v>0.63500000000000001</v>
      </c>
      <c r="Y394">
        <v>17.649999999999999</v>
      </c>
      <c r="Z394">
        <v>11.48</v>
      </c>
      <c r="AA394">
        <v>7</v>
      </c>
      <c r="AB394">
        <v>28</v>
      </c>
      <c r="AC394" s="21">
        <f>45/60</f>
        <v>0.75</v>
      </c>
      <c r="AD394">
        <v>4</v>
      </c>
      <c r="AE394">
        <v>100</v>
      </c>
      <c r="AF394" s="11">
        <v>0.64</v>
      </c>
    </row>
    <row r="395" spans="1:32" x14ac:dyDescent="0.3">
      <c r="A395" t="s">
        <v>64</v>
      </c>
      <c r="B395" t="s">
        <v>65</v>
      </c>
      <c r="C395">
        <v>1.96</v>
      </c>
      <c r="D395">
        <v>152.15</v>
      </c>
      <c r="E395">
        <v>0.9</v>
      </c>
      <c r="F395">
        <v>1.37</v>
      </c>
      <c r="G395">
        <v>0.69</v>
      </c>
      <c r="H395">
        <v>0.45</v>
      </c>
      <c r="I395">
        <v>1.1313</v>
      </c>
      <c r="J395">
        <v>46.5</v>
      </c>
      <c r="K395" t="s">
        <v>55</v>
      </c>
      <c r="L395" t="s">
        <v>51</v>
      </c>
      <c r="M395">
        <v>3</v>
      </c>
      <c r="N395">
        <v>24.972999999999999</v>
      </c>
      <c r="O395">
        <v>0</v>
      </c>
      <c r="P395">
        <v>1.385</v>
      </c>
      <c r="Q395" t="s">
        <v>52</v>
      </c>
      <c r="R395">
        <v>65</v>
      </c>
      <c r="S395">
        <v>24</v>
      </c>
      <c r="T395">
        <v>400</v>
      </c>
      <c r="U395">
        <v>1</v>
      </c>
      <c r="V395" s="7">
        <v>0.76686032222096356</v>
      </c>
      <c r="W395">
        <v>75.92</v>
      </c>
      <c r="X395">
        <v>0.63500000000000001</v>
      </c>
      <c r="Y395">
        <v>17.649999999999999</v>
      </c>
      <c r="Z395">
        <v>11.48</v>
      </c>
      <c r="AA395">
        <v>7</v>
      </c>
      <c r="AB395">
        <v>28</v>
      </c>
      <c r="AC395" s="18">
        <v>1</v>
      </c>
      <c r="AD395">
        <v>4</v>
      </c>
      <c r="AE395">
        <v>100</v>
      </c>
      <c r="AF395" s="11">
        <v>0.66</v>
      </c>
    </row>
    <row r="396" spans="1:32" x14ac:dyDescent="0.3">
      <c r="A396" t="s">
        <v>64</v>
      </c>
      <c r="B396" t="s">
        <v>65</v>
      </c>
      <c r="C396">
        <v>1.96</v>
      </c>
      <c r="D396">
        <v>152.15</v>
      </c>
      <c r="E396">
        <v>0.9</v>
      </c>
      <c r="F396">
        <v>1.37</v>
      </c>
      <c r="G396">
        <v>0.69</v>
      </c>
      <c r="H396">
        <v>0.45</v>
      </c>
      <c r="I396">
        <v>1.1313</v>
      </c>
      <c r="J396">
        <v>46.5</v>
      </c>
      <c r="K396" t="s">
        <v>55</v>
      </c>
      <c r="L396" t="s">
        <v>51</v>
      </c>
      <c r="M396">
        <v>3</v>
      </c>
      <c r="N396">
        <v>24.972999999999999</v>
      </c>
      <c r="O396">
        <v>0</v>
      </c>
      <c r="P396">
        <v>1.385</v>
      </c>
      <c r="Q396" t="s">
        <v>52</v>
      </c>
      <c r="R396">
        <v>65</v>
      </c>
      <c r="S396">
        <v>24</v>
      </c>
      <c r="T396">
        <v>400</v>
      </c>
      <c r="U396">
        <v>1</v>
      </c>
      <c r="V396" s="7">
        <v>0.76686032222096356</v>
      </c>
      <c r="W396">
        <v>75.92</v>
      </c>
      <c r="X396">
        <v>0.63500000000000001</v>
      </c>
      <c r="Y396">
        <v>17.649999999999999</v>
      </c>
      <c r="Z396">
        <v>11.48</v>
      </c>
      <c r="AA396">
        <v>7</v>
      </c>
      <c r="AB396">
        <v>28</v>
      </c>
      <c r="AC396" s="21">
        <f>75/60</f>
        <v>1.25</v>
      </c>
      <c r="AD396">
        <v>4</v>
      </c>
      <c r="AE396">
        <v>100</v>
      </c>
      <c r="AF396" s="11">
        <v>0.68</v>
      </c>
    </row>
    <row r="397" spans="1:32" x14ac:dyDescent="0.3">
      <c r="A397" t="s">
        <v>64</v>
      </c>
      <c r="B397" t="s">
        <v>65</v>
      </c>
      <c r="C397">
        <v>1.96</v>
      </c>
      <c r="D397">
        <v>152.15</v>
      </c>
      <c r="E397">
        <v>0.9</v>
      </c>
      <c r="F397">
        <v>1.37</v>
      </c>
      <c r="G397">
        <v>0.69</v>
      </c>
      <c r="H397">
        <v>0.45</v>
      </c>
      <c r="I397">
        <v>1.1313</v>
      </c>
      <c r="J397">
        <v>46.5</v>
      </c>
      <c r="K397" t="s">
        <v>55</v>
      </c>
      <c r="L397" t="s">
        <v>51</v>
      </c>
      <c r="M397">
        <v>3</v>
      </c>
      <c r="N397">
        <v>24.972999999999999</v>
      </c>
      <c r="O397">
        <v>0</v>
      </c>
      <c r="P397">
        <v>1.385</v>
      </c>
      <c r="Q397" t="s">
        <v>52</v>
      </c>
      <c r="R397">
        <v>65</v>
      </c>
      <c r="S397">
        <v>24</v>
      </c>
      <c r="T397">
        <v>400</v>
      </c>
      <c r="U397">
        <v>1</v>
      </c>
      <c r="V397" s="7">
        <v>0.76686032222096356</v>
      </c>
      <c r="W397">
        <v>75.92</v>
      </c>
      <c r="X397">
        <v>0.63500000000000001</v>
      </c>
      <c r="Y397">
        <v>17.649999999999999</v>
      </c>
      <c r="Z397">
        <v>11.48</v>
      </c>
      <c r="AA397">
        <v>7</v>
      </c>
      <c r="AB397">
        <v>28</v>
      </c>
      <c r="AC397" s="21">
        <f>90/60</f>
        <v>1.5</v>
      </c>
      <c r="AD397">
        <v>4</v>
      </c>
      <c r="AE397">
        <v>100</v>
      </c>
      <c r="AF397" s="11">
        <v>0.7</v>
      </c>
    </row>
    <row r="398" spans="1:32" x14ac:dyDescent="0.3">
      <c r="A398" t="s">
        <v>64</v>
      </c>
      <c r="B398" t="s">
        <v>65</v>
      </c>
      <c r="C398">
        <v>1.96</v>
      </c>
      <c r="D398">
        <v>152.15</v>
      </c>
      <c r="E398">
        <v>0.9</v>
      </c>
      <c r="F398">
        <v>1.37</v>
      </c>
      <c r="G398">
        <v>0.69</v>
      </c>
      <c r="H398">
        <v>0.45</v>
      </c>
      <c r="I398">
        <v>1.1313</v>
      </c>
      <c r="J398">
        <v>46.5</v>
      </c>
      <c r="K398" t="s">
        <v>55</v>
      </c>
      <c r="L398" t="s">
        <v>51</v>
      </c>
      <c r="M398">
        <v>3</v>
      </c>
      <c r="N398">
        <v>24.972999999999999</v>
      </c>
      <c r="O398">
        <v>0</v>
      </c>
      <c r="P398">
        <v>1.385</v>
      </c>
      <c r="Q398" t="s">
        <v>52</v>
      </c>
      <c r="R398">
        <v>65</v>
      </c>
      <c r="S398">
        <v>24</v>
      </c>
      <c r="T398">
        <v>400</v>
      </c>
      <c r="U398">
        <v>1</v>
      </c>
      <c r="V398" s="7">
        <v>0.76686032222096356</v>
      </c>
      <c r="W398">
        <v>75.92</v>
      </c>
      <c r="X398">
        <v>0.63500000000000001</v>
      </c>
      <c r="Y398">
        <v>17.649999999999999</v>
      </c>
      <c r="Z398">
        <v>11.48</v>
      </c>
      <c r="AA398">
        <v>7</v>
      </c>
      <c r="AB398">
        <v>28</v>
      </c>
      <c r="AC398" s="21">
        <f>105/60</f>
        <v>1.75</v>
      </c>
      <c r="AD398">
        <v>4</v>
      </c>
      <c r="AE398">
        <v>100</v>
      </c>
      <c r="AF398" s="11">
        <v>0.7</v>
      </c>
    </row>
    <row r="399" spans="1:32" x14ac:dyDescent="0.3">
      <c r="A399" t="s">
        <v>64</v>
      </c>
      <c r="B399" t="s">
        <v>65</v>
      </c>
      <c r="C399">
        <v>1.96</v>
      </c>
      <c r="D399">
        <v>152.15</v>
      </c>
      <c r="E399">
        <v>0.9</v>
      </c>
      <c r="F399">
        <v>1.37</v>
      </c>
      <c r="G399">
        <v>0.69</v>
      </c>
      <c r="H399">
        <v>0.45</v>
      </c>
      <c r="I399">
        <v>1.1313</v>
      </c>
      <c r="J399">
        <v>46.5</v>
      </c>
      <c r="K399" t="s">
        <v>55</v>
      </c>
      <c r="L399" t="s">
        <v>51</v>
      </c>
      <c r="M399">
        <v>3</v>
      </c>
      <c r="N399">
        <v>24.972999999999999</v>
      </c>
      <c r="O399">
        <v>0</v>
      </c>
      <c r="P399">
        <v>1.385</v>
      </c>
      <c r="Q399" t="s">
        <v>52</v>
      </c>
      <c r="R399">
        <v>65</v>
      </c>
      <c r="S399">
        <v>24</v>
      </c>
      <c r="T399">
        <v>400</v>
      </c>
      <c r="U399">
        <v>1</v>
      </c>
      <c r="V399" s="7">
        <v>0.76686032222096356</v>
      </c>
      <c r="W399">
        <v>75.92</v>
      </c>
      <c r="X399">
        <v>0.63500000000000001</v>
      </c>
      <c r="Y399">
        <v>17.649999999999999</v>
      </c>
      <c r="Z399">
        <v>11.48</v>
      </c>
      <c r="AA399">
        <v>7</v>
      </c>
      <c r="AB399">
        <v>28</v>
      </c>
      <c r="AC399" s="18">
        <f>120/60</f>
        <v>2</v>
      </c>
      <c r="AD399">
        <v>4</v>
      </c>
      <c r="AE399">
        <v>100</v>
      </c>
      <c r="AF399" s="11">
        <v>0.7</v>
      </c>
    </row>
    <row r="400" spans="1:32" x14ac:dyDescent="0.3">
      <c r="A400" t="s">
        <v>64</v>
      </c>
      <c r="B400" t="s">
        <v>65</v>
      </c>
      <c r="C400">
        <v>1.96</v>
      </c>
      <c r="D400">
        <v>152.15</v>
      </c>
      <c r="E400">
        <v>0.9</v>
      </c>
      <c r="F400">
        <v>1.37</v>
      </c>
      <c r="G400">
        <v>0.69</v>
      </c>
      <c r="H400">
        <v>0.45</v>
      </c>
      <c r="I400">
        <v>1.1313</v>
      </c>
      <c r="J400">
        <v>46.5</v>
      </c>
      <c r="K400" t="s">
        <v>55</v>
      </c>
      <c r="L400" t="s">
        <v>51</v>
      </c>
      <c r="M400">
        <v>3</v>
      </c>
      <c r="N400">
        <v>24.972999999999999</v>
      </c>
      <c r="O400">
        <v>0</v>
      </c>
      <c r="P400">
        <v>1.385</v>
      </c>
      <c r="Q400" t="s">
        <v>52</v>
      </c>
      <c r="R400">
        <v>65</v>
      </c>
      <c r="S400">
        <v>24</v>
      </c>
      <c r="T400">
        <v>400</v>
      </c>
      <c r="U400">
        <v>1</v>
      </c>
      <c r="V400" s="7">
        <v>0.76686032222096356</v>
      </c>
      <c r="W400">
        <v>75.92</v>
      </c>
      <c r="X400">
        <v>0.63500000000000001</v>
      </c>
      <c r="Y400">
        <v>17.649999999999999</v>
      </c>
      <c r="Z400">
        <v>11.48</v>
      </c>
      <c r="AA400">
        <v>7</v>
      </c>
      <c r="AB400">
        <v>28</v>
      </c>
      <c r="AC400" s="21">
        <f>5/60</f>
        <v>8.3333333333333329E-2</v>
      </c>
      <c r="AD400">
        <v>4</v>
      </c>
      <c r="AE400">
        <v>125</v>
      </c>
      <c r="AF400" s="11">
        <v>0.38400000000000001</v>
      </c>
    </row>
    <row r="401" spans="1:32" x14ac:dyDescent="0.3">
      <c r="A401" t="s">
        <v>64</v>
      </c>
      <c r="B401" t="s">
        <v>65</v>
      </c>
      <c r="C401">
        <v>1.96</v>
      </c>
      <c r="D401">
        <v>152.15</v>
      </c>
      <c r="E401">
        <v>0.9</v>
      </c>
      <c r="F401">
        <v>1.37</v>
      </c>
      <c r="G401">
        <v>0.69</v>
      </c>
      <c r="H401">
        <v>0.45</v>
      </c>
      <c r="I401">
        <v>1.1313</v>
      </c>
      <c r="J401">
        <v>46.5</v>
      </c>
      <c r="K401" t="s">
        <v>55</v>
      </c>
      <c r="L401" t="s">
        <v>51</v>
      </c>
      <c r="M401">
        <v>3</v>
      </c>
      <c r="N401">
        <v>24.972999999999999</v>
      </c>
      <c r="O401">
        <v>0</v>
      </c>
      <c r="P401">
        <v>1.385</v>
      </c>
      <c r="Q401" t="s">
        <v>52</v>
      </c>
      <c r="R401">
        <v>65</v>
      </c>
      <c r="S401">
        <v>24</v>
      </c>
      <c r="T401">
        <v>400</v>
      </c>
      <c r="U401">
        <v>1</v>
      </c>
      <c r="V401" s="7">
        <v>0.76686032222096356</v>
      </c>
      <c r="W401">
        <v>75.92</v>
      </c>
      <c r="X401">
        <v>0.63500000000000001</v>
      </c>
      <c r="Y401">
        <v>17.649999999999999</v>
      </c>
      <c r="Z401">
        <v>11.48</v>
      </c>
      <c r="AA401">
        <v>7</v>
      </c>
      <c r="AB401">
        <v>28</v>
      </c>
      <c r="AC401" s="21">
        <f>10/60</f>
        <v>0.16666666666666666</v>
      </c>
      <c r="AD401">
        <v>4</v>
      </c>
      <c r="AE401">
        <v>125</v>
      </c>
      <c r="AF401" s="11">
        <v>0.48</v>
      </c>
    </row>
    <row r="402" spans="1:32" x14ac:dyDescent="0.3">
      <c r="A402" t="s">
        <v>64</v>
      </c>
      <c r="B402" t="s">
        <v>65</v>
      </c>
      <c r="C402">
        <v>1.96</v>
      </c>
      <c r="D402">
        <v>152.15</v>
      </c>
      <c r="E402">
        <v>0.9</v>
      </c>
      <c r="F402">
        <v>1.37</v>
      </c>
      <c r="G402">
        <v>0.69</v>
      </c>
      <c r="H402">
        <v>0.45</v>
      </c>
      <c r="I402">
        <v>1.1313</v>
      </c>
      <c r="J402">
        <v>46.5</v>
      </c>
      <c r="K402" t="s">
        <v>55</v>
      </c>
      <c r="L402" t="s">
        <v>51</v>
      </c>
      <c r="M402">
        <v>3</v>
      </c>
      <c r="N402">
        <v>24.972999999999999</v>
      </c>
      <c r="O402">
        <v>0</v>
      </c>
      <c r="P402">
        <v>1.385</v>
      </c>
      <c r="Q402" t="s">
        <v>52</v>
      </c>
      <c r="R402">
        <v>65</v>
      </c>
      <c r="S402">
        <v>24</v>
      </c>
      <c r="T402">
        <v>400</v>
      </c>
      <c r="U402">
        <v>1</v>
      </c>
      <c r="V402" s="7">
        <v>0.76686032222096356</v>
      </c>
      <c r="W402">
        <v>75.92</v>
      </c>
      <c r="X402">
        <v>0.63500000000000001</v>
      </c>
      <c r="Y402">
        <v>17.649999999999999</v>
      </c>
      <c r="Z402">
        <v>11.48</v>
      </c>
      <c r="AA402">
        <v>7</v>
      </c>
      <c r="AB402">
        <v>28</v>
      </c>
      <c r="AC402" s="21">
        <f>15/60</f>
        <v>0.25</v>
      </c>
      <c r="AD402">
        <v>4</v>
      </c>
      <c r="AE402">
        <v>125</v>
      </c>
      <c r="AF402" s="11">
        <v>0.52800000000000002</v>
      </c>
    </row>
    <row r="403" spans="1:32" x14ac:dyDescent="0.3">
      <c r="A403" t="s">
        <v>64</v>
      </c>
      <c r="B403" t="s">
        <v>65</v>
      </c>
      <c r="C403">
        <v>1.96</v>
      </c>
      <c r="D403">
        <v>152.15</v>
      </c>
      <c r="E403">
        <v>0.9</v>
      </c>
      <c r="F403">
        <v>1.37</v>
      </c>
      <c r="G403">
        <v>0.69</v>
      </c>
      <c r="H403">
        <v>0.45</v>
      </c>
      <c r="I403">
        <v>1.1313</v>
      </c>
      <c r="J403">
        <v>46.5</v>
      </c>
      <c r="K403" t="s">
        <v>55</v>
      </c>
      <c r="L403" t="s">
        <v>51</v>
      </c>
      <c r="M403">
        <v>3</v>
      </c>
      <c r="N403">
        <v>24.972999999999999</v>
      </c>
      <c r="O403">
        <v>0</v>
      </c>
      <c r="P403">
        <v>1.385</v>
      </c>
      <c r="Q403" t="s">
        <v>52</v>
      </c>
      <c r="R403">
        <v>65</v>
      </c>
      <c r="S403">
        <v>24</v>
      </c>
      <c r="T403">
        <v>400</v>
      </c>
      <c r="U403">
        <v>1</v>
      </c>
      <c r="V403" s="7">
        <v>0.76686032222096356</v>
      </c>
      <c r="W403">
        <v>75.92</v>
      </c>
      <c r="X403">
        <v>0.63500000000000001</v>
      </c>
      <c r="Y403">
        <v>17.649999999999999</v>
      </c>
      <c r="Z403">
        <v>11.48</v>
      </c>
      <c r="AA403">
        <v>7</v>
      </c>
      <c r="AB403">
        <v>28</v>
      </c>
      <c r="AC403" s="21">
        <f>30/60</f>
        <v>0.5</v>
      </c>
      <c r="AD403">
        <v>4</v>
      </c>
      <c r="AE403">
        <v>125</v>
      </c>
      <c r="AF403" s="11">
        <v>0.56000000000000005</v>
      </c>
    </row>
    <row r="404" spans="1:32" x14ac:dyDescent="0.3">
      <c r="A404" t="s">
        <v>64</v>
      </c>
      <c r="B404" t="s">
        <v>65</v>
      </c>
      <c r="C404">
        <v>1.96</v>
      </c>
      <c r="D404">
        <v>152.15</v>
      </c>
      <c r="E404">
        <v>0.9</v>
      </c>
      <c r="F404">
        <v>1.37</v>
      </c>
      <c r="G404">
        <v>0.69</v>
      </c>
      <c r="H404">
        <v>0.45</v>
      </c>
      <c r="I404">
        <v>1.1313</v>
      </c>
      <c r="J404">
        <v>46.5</v>
      </c>
      <c r="K404" t="s">
        <v>55</v>
      </c>
      <c r="L404" t="s">
        <v>51</v>
      </c>
      <c r="M404">
        <v>3</v>
      </c>
      <c r="N404">
        <v>24.972999999999999</v>
      </c>
      <c r="O404">
        <v>0</v>
      </c>
      <c r="P404">
        <v>1.385</v>
      </c>
      <c r="Q404" t="s">
        <v>52</v>
      </c>
      <c r="R404">
        <v>65</v>
      </c>
      <c r="S404">
        <v>24</v>
      </c>
      <c r="T404">
        <v>400</v>
      </c>
      <c r="U404">
        <v>1</v>
      </c>
      <c r="V404" s="7">
        <v>0.76686032222096356</v>
      </c>
      <c r="W404">
        <v>75.92</v>
      </c>
      <c r="X404">
        <v>0.63500000000000001</v>
      </c>
      <c r="Y404">
        <v>17.649999999999999</v>
      </c>
      <c r="Z404">
        <v>11.48</v>
      </c>
      <c r="AA404">
        <v>7</v>
      </c>
      <c r="AB404">
        <v>28</v>
      </c>
      <c r="AC404" s="21">
        <f>45/60</f>
        <v>0.75</v>
      </c>
      <c r="AD404">
        <v>4</v>
      </c>
      <c r="AE404">
        <v>125</v>
      </c>
      <c r="AF404" s="11">
        <v>0.57599999999999996</v>
      </c>
    </row>
    <row r="405" spans="1:32" x14ac:dyDescent="0.3">
      <c r="A405" t="s">
        <v>64</v>
      </c>
      <c r="B405" t="s">
        <v>65</v>
      </c>
      <c r="C405">
        <v>1.96</v>
      </c>
      <c r="D405">
        <v>152.15</v>
      </c>
      <c r="E405">
        <v>0.9</v>
      </c>
      <c r="F405">
        <v>1.37</v>
      </c>
      <c r="G405">
        <v>0.69</v>
      </c>
      <c r="H405">
        <v>0.45</v>
      </c>
      <c r="I405">
        <v>1.1313</v>
      </c>
      <c r="J405">
        <v>46.5</v>
      </c>
      <c r="K405" t="s">
        <v>55</v>
      </c>
      <c r="L405" t="s">
        <v>51</v>
      </c>
      <c r="M405">
        <v>3</v>
      </c>
      <c r="N405">
        <v>24.972999999999999</v>
      </c>
      <c r="O405">
        <v>0</v>
      </c>
      <c r="P405">
        <v>1.385</v>
      </c>
      <c r="Q405" t="s">
        <v>52</v>
      </c>
      <c r="R405">
        <v>65</v>
      </c>
      <c r="S405">
        <v>24</v>
      </c>
      <c r="T405">
        <v>400</v>
      </c>
      <c r="U405">
        <v>1</v>
      </c>
      <c r="V405" s="7">
        <v>0.76686032222096356</v>
      </c>
      <c r="W405">
        <v>75.92</v>
      </c>
      <c r="X405">
        <v>0.63500000000000001</v>
      </c>
      <c r="Y405">
        <v>17.649999999999999</v>
      </c>
      <c r="Z405">
        <v>11.48</v>
      </c>
      <c r="AA405">
        <v>7</v>
      </c>
      <c r="AB405">
        <v>28</v>
      </c>
      <c r="AC405" s="18">
        <v>1</v>
      </c>
      <c r="AD405">
        <v>4</v>
      </c>
      <c r="AE405">
        <v>125</v>
      </c>
      <c r="AF405" s="11">
        <v>0.60799999999999998</v>
      </c>
    </row>
    <row r="406" spans="1:32" x14ac:dyDescent="0.3">
      <c r="A406" t="s">
        <v>64</v>
      </c>
      <c r="B406" t="s">
        <v>65</v>
      </c>
      <c r="C406">
        <v>1.96</v>
      </c>
      <c r="D406">
        <v>152.15</v>
      </c>
      <c r="E406">
        <v>0.9</v>
      </c>
      <c r="F406">
        <v>1.37</v>
      </c>
      <c r="G406">
        <v>0.69</v>
      </c>
      <c r="H406">
        <v>0.45</v>
      </c>
      <c r="I406">
        <v>1.1313</v>
      </c>
      <c r="J406">
        <v>46.5</v>
      </c>
      <c r="K406" t="s">
        <v>55</v>
      </c>
      <c r="L406" t="s">
        <v>51</v>
      </c>
      <c r="M406">
        <v>3</v>
      </c>
      <c r="N406">
        <v>24.972999999999999</v>
      </c>
      <c r="O406">
        <v>0</v>
      </c>
      <c r="P406">
        <v>1.385</v>
      </c>
      <c r="Q406" t="s">
        <v>52</v>
      </c>
      <c r="R406">
        <v>65</v>
      </c>
      <c r="S406">
        <v>24</v>
      </c>
      <c r="T406">
        <v>400</v>
      </c>
      <c r="U406">
        <v>1</v>
      </c>
      <c r="V406" s="7">
        <v>0.76686032222096356</v>
      </c>
      <c r="W406">
        <v>75.92</v>
      </c>
      <c r="X406">
        <v>0.63500000000000001</v>
      </c>
      <c r="Y406">
        <v>17.649999999999999</v>
      </c>
      <c r="Z406">
        <v>11.48</v>
      </c>
      <c r="AA406">
        <v>7</v>
      </c>
      <c r="AB406">
        <v>28</v>
      </c>
      <c r="AC406" s="21">
        <f>75/60</f>
        <v>1.25</v>
      </c>
      <c r="AD406">
        <v>4</v>
      </c>
      <c r="AE406">
        <v>125</v>
      </c>
      <c r="AF406" s="11">
        <v>0.64</v>
      </c>
    </row>
    <row r="407" spans="1:32" x14ac:dyDescent="0.3">
      <c r="A407" t="s">
        <v>64</v>
      </c>
      <c r="B407" t="s">
        <v>65</v>
      </c>
      <c r="C407">
        <v>1.96</v>
      </c>
      <c r="D407">
        <v>152.15</v>
      </c>
      <c r="E407">
        <v>0.9</v>
      </c>
      <c r="F407">
        <v>1.37</v>
      </c>
      <c r="G407">
        <v>0.69</v>
      </c>
      <c r="H407">
        <v>0.45</v>
      </c>
      <c r="I407">
        <v>1.1313</v>
      </c>
      <c r="J407">
        <v>46.5</v>
      </c>
      <c r="K407" t="s">
        <v>55</v>
      </c>
      <c r="L407" t="s">
        <v>51</v>
      </c>
      <c r="M407">
        <v>3</v>
      </c>
      <c r="N407">
        <v>24.972999999999999</v>
      </c>
      <c r="O407">
        <v>0</v>
      </c>
      <c r="P407">
        <v>1.385</v>
      </c>
      <c r="Q407" t="s">
        <v>52</v>
      </c>
      <c r="R407">
        <v>65</v>
      </c>
      <c r="S407">
        <v>24</v>
      </c>
      <c r="T407">
        <v>400</v>
      </c>
      <c r="U407">
        <v>1</v>
      </c>
      <c r="V407" s="7">
        <v>0.76686032222096356</v>
      </c>
      <c r="W407">
        <v>75.92</v>
      </c>
      <c r="X407">
        <v>0.63500000000000001</v>
      </c>
      <c r="Y407">
        <v>17.649999999999999</v>
      </c>
      <c r="Z407">
        <v>11.48</v>
      </c>
      <c r="AA407">
        <v>7</v>
      </c>
      <c r="AB407">
        <v>28</v>
      </c>
      <c r="AC407" s="21">
        <f>90/60</f>
        <v>1.5</v>
      </c>
      <c r="AD407">
        <v>4</v>
      </c>
      <c r="AE407">
        <v>125</v>
      </c>
      <c r="AF407" s="11">
        <v>0.67200000000000004</v>
      </c>
    </row>
    <row r="408" spans="1:32" x14ac:dyDescent="0.3">
      <c r="A408" t="s">
        <v>64</v>
      </c>
      <c r="B408" t="s">
        <v>65</v>
      </c>
      <c r="C408">
        <v>1.96</v>
      </c>
      <c r="D408">
        <v>152.15</v>
      </c>
      <c r="E408">
        <v>0.9</v>
      </c>
      <c r="F408">
        <v>1.37</v>
      </c>
      <c r="G408">
        <v>0.69</v>
      </c>
      <c r="H408">
        <v>0.45</v>
      </c>
      <c r="I408">
        <v>1.1313</v>
      </c>
      <c r="J408">
        <v>46.5</v>
      </c>
      <c r="K408" t="s">
        <v>55</v>
      </c>
      <c r="L408" t="s">
        <v>51</v>
      </c>
      <c r="M408">
        <v>3</v>
      </c>
      <c r="N408">
        <v>24.972999999999999</v>
      </c>
      <c r="O408">
        <v>0</v>
      </c>
      <c r="P408">
        <v>1.385</v>
      </c>
      <c r="Q408" t="s">
        <v>52</v>
      </c>
      <c r="R408">
        <v>65</v>
      </c>
      <c r="S408">
        <v>24</v>
      </c>
      <c r="T408">
        <v>400</v>
      </c>
      <c r="U408">
        <v>1</v>
      </c>
      <c r="V408" s="7">
        <v>0.76686032222096356</v>
      </c>
      <c r="W408">
        <v>75.92</v>
      </c>
      <c r="X408">
        <v>0.63500000000000001</v>
      </c>
      <c r="Y408">
        <v>17.649999999999999</v>
      </c>
      <c r="Z408">
        <v>11.48</v>
      </c>
      <c r="AA408">
        <v>7</v>
      </c>
      <c r="AB408">
        <v>28</v>
      </c>
      <c r="AC408" s="21">
        <f>105/60</f>
        <v>1.75</v>
      </c>
      <c r="AD408">
        <v>4</v>
      </c>
      <c r="AE408">
        <v>125</v>
      </c>
      <c r="AF408" s="11">
        <v>0.70399999999999996</v>
      </c>
    </row>
    <row r="409" spans="1:32" x14ac:dyDescent="0.3">
      <c r="A409" t="s">
        <v>64</v>
      </c>
      <c r="B409" t="s">
        <v>65</v>
      </c>
      <c r="C409">
        <v>1.96</v>
      </c>
      <c r="D409">
        <v>152.15</v>
      </c>
      <c r="E409">
        <v>0.9</v>
      </c>
      <c r="F409">
        <v>1.37</v>
      </c>
      <c r="G409">
        <v>0.69</v>
      </c>
      <c r="H409">
        <v>0.45</v>
      </c>
      <c r="I409">
        <v>1.1313</v>
      </c>
      <c r="J409">
        <v>46.5</v>
      </c>
      <c r="K409" t="s">
        <v>55</v>
      </c>
      <c r="L409" t="s">
        <v>51</v>
      </c>
      <c r="M409">
        <v>3</v>
      </c>
      <c r="N409">
        <v>24.972999999999999</v>
      </c>
      <c r="O409">
        <v>0</v>
      </c>
      <c r="P409">
        <v>1.385</v>
      </c>
      <c r="Q409" t="s">
        <v>52</v>
      </c>
      <c r="R409">
        <v>65</v>
      </c>
      <c r="S409">
        <v>24</v>
      </c>
      <c r="T409">
        <v>400</v>
      </c>
      <c r="U409">
        <v>1</v>
      </c>
      <c r="V409" s="7">
        <v>0.76686032222096356</v>
      </c>
      <c r="W409">
        <v>75.92</v>
      </c>
      <c r="X409">
        <v>0.63500000000000001</v>
      </c>
      <c r="Y409">
        <v>17.649999999999999</v>
      </c>
      <c r="Z409">
        <v>11.48</v>
      </c>
      <c r="AA409">
        <v>7</v>
      </c>
      <c r="AB409">
        <v>28</v>
      </c>
      <c r="AC409" s="18">
        <f>120/60</f>
        <v>2</v>
      </c>
      <c r="AD409">
        <v>4</v>
      </c>
      <c r="AE409">
        <v>125</v>
      </c>
      <c r="AF409" s="11">
        <v>0.72</v>
      </c>
    </row>
    <row r="410" spans="1:32" x14ac:dyDescent="0.3">
      <c r="A410" t="s">
        <v>64</v>
      </c>
      <c r="B410" t="s">
        <v>65</v>
      </c>
      <c r="C410">
        <v>1.96</v>
      </c>
      <c r="D410">
        <v>152.15</v>
      </c>
      <c r="E410">
        <v>0.9</v>
      </c>
      <c r="F410">
        <v>1.37</v>
      </c>
      <c r="G410">
        <v>0.69</v>
      </c>
      <c r="H410">
        <v>0.45</v>
      </c>
      <c r="I410">
        <v>1.1313</v>
      </c>
      <c r="J410">
        <v>46.5</v>
      </c>
      <c r="K410" t="s">
        <v>55</v>
      </c>
      <c r="L410" t="s">
        <v>51</v>
      </c>
      <c r="M410">
        <v>3</v>
      </c>
      <c r="N410">
        <v>24.972999999999999</v>
      </c>
      <c r="O410">
        <v>0</v>
      </c>
      <c r="P410">
        <v>1.385</v>
      </c>
      <c r="Q410" t="s">
        <v>52</v>
      </c>
      <c r="R410">
        <v>65</v>
      </c>
      <c r="S410">
        <v>24</v>
      </c>
      <c r="T410">
        <v>400</v>
      </c>
      <c r="U410">
        <v>1</v>
      </c>
      <c r="V410" s="7">
        <v>0.76686032222096356</v>
      </c>
      <c r="W410">
        <v>75.92</v>
      </c>
      <c r="X410">
        <v>0.63500000000000001</v>
      </c>
      <c r="Y410">
        <v>17.649999999999999</v>
      </c>
      <c r="Z410">
        <v>11.48</v>
      </c>
      <c r="AA410">
        <v>7</v>
      </c>
      <c r="AB410">
        <v>28</v>
      </c>
      <c r="AC410" s="21">
        <f>5/60</f>
        <v>8.3333333333333329E-2</v>
      </c>
      <c r="AD410">
        <v>4</v>
      </c>
      <c r="AE410">
        <v>150</v>
      </c>
      <c r="AF410" s="11">
        <v>0.48</v>
      </c>
    </row>
    <row r="411" spans="1:32" x14ac:dyDescent="0.3">
      <c r="A411" t="s">
        <v>64</v>
      </c>
      <c r="B411" t="s">
        <v>65</v>
      </c>
      <c r="C411">
        <v>1.96</v>
      </c>
      <c r="D411">
        <v>152.15</v>
      </c>
      <c r="E411">
        <v>0.9</v>
      </c>
      <c r="F411">
        <v>1.37</v>
      </c>
      <c r="G411">
        <v>0.69</v>
      </c>
      <c r="H411">
        <v>0.45</v>
      </c>
      <c r="I411">
        <v>1.1313</v>
      </c>
      <c r="J411">
        <v>46.5</v>
      </c>
      <c r="K411" t="s">
        <v>55</v>
      </c>
      <c r="L411" t="s">
        <v>51</v>
      </c>
      <c r="M411">
        <v>3</v>
      </c>
      <c r="N411">
        <v>24.972999999999999</v>
      </c>
      <c r="O411">
        <v>0</v>
      </c>
      <c r="P411">
        <v>1.385</v>
      </c>
      <c r="Q411" t="s">
        <v>52</v>
      </c>
      <c r="R411">
        <v>65</v>
      </c>
      <c r="S411">
        <v>24</v>
      </c>
      <c r="T411">
        <v>400</v>
      </c>
      <c r="U411">
        <v>1</v>
      </c>
      <c r="V411" s="7">
        <v>0.76686032222096356</v>
      </c>
      <c r="W411">
        <v>75.92</v>
      </c>
      <c r="X411">
        <v>0.63500000000000001</v>
      </c>
      <c r="Y411">
        <v>17.649999999999999</v>
      </c>
      <c r="Z411">
        <v>11.48</v>
      </c>
      <c r="AA411">
        <v>7</v>
      </c>
      <c r="AB411">
        <v>28</v>
      </c>
      <c r="AC411" s="21">
        <f>10/60</f>
        <v>0.16666666666666666</v>
      </c>
      <c r="AD411">
        <v>4</v>
      </c>
      <c r="AE411">
        <v>150</v>
      </c>
      <c r="AF411" s="11">
        <v>0.54666666666666663</v>
      </c>
    </row>
    <row r="412" spans="1:32" x14ac:dyDescent="0.3">
      <c r="A412" t="s">
        <v>64</v>
      </c>
      <c r="B412" t="s">
        <v>65</v>
      </c>
      <c r="C412">
        <v>1.96</v>
      </c>
      <c r="D412">
        <v>152.15</v>
      </c>
      <c r="E412">
        <v>0.9</v>
      </c>
      <c r="F412">
        <v>1.37</v>
      </c>
      <c r="G412">
        <v>0.69</v>
      </c>
      <c r="H412">
        <v>0.45</v>
      </c>
      <c r="I412">
        <v>1.1313</v>
      </c>
      <c r="J412">
        <v>46.5</v>
      </c>
      <c r="K412" t="s">
        <v>55</v>
      </c>
      <c r="L412" t="s">
        <v>51</v>
      </c>
      <c r="M412">
        <v>3</v>
      </c>
      <c r="N412">
        <v>24.972999999999999</v>
      </c>
      <c r="O412">
        <v>0</v>
      </c>
      <c r="P412">
        <v>1.385</v>
      </c>
      <c r="Q412" t="s">
        <v>52</v>
      </c>
      <c r="R412">
        <v>65</v>
      </c>
      <c r="S412">
        <v>24</v>
      </c>
      <c r="T412">
        <v>400</v>
      </c>
      <c r="U412">
        <v>1</v>
      </c>
      <c r="V412" s="7">
        <v>0.76686032222096356</v>
      </c>
      <c r="W412">
        <v>75.92</v>
      </c>
      <c r="X412">
        <v>0.63500000000000001</v>
      </c>
      <c r="Y412">
        <v>17.649999999999999</v>
      </c>
      <c r="Z412">
        <v>11.48</v>
      </c>
      <c r="AA412">
        <v>7</v>
      </c>
      <c r="AB412">
        <v>28</v>
      </c>
      <c r="AC412" s="21">
        <f>15/60</f>
        <v>0.25</v>
      </c>
      <c r="AD412">
        <v>4</v>
      </c>
      <c r="AE412">
        <v>150</v>
      </c>
      <c r="AF412" s="11">
        <v>0.66666666666666663</v>
      </c>
    </row>
    <row r="413" spans="1:32" x14ac:dyDescent="0.3">
      <c r="A413" t="s">
        <v>64</v>
      </c>
      <c r="B413" t="s">
        <v>65</v>
      </c>
      <c r="C413">
        <v>1.96</v>
      </c>
      <c r="D413">
        <v>152.15</v>
      </c>
      <c r="E413">
        <v>0.9</v>
      </c>
      <c r="F413">
        <v>1.37</v>
      </c>
      <c r="G413">
        <v>0.69</v>
      </c>
      <c r="H413">
        <v>0.45</v>
      </c>
      <c r="I413">
        <v>1.1313</v>
      </c>
      <c r="J413">
        <v>46.5</v>
      </c>
      <c r="K413" t="s">
        <v>55</v>
      </c>
      <c r="L413" t="s">
        <v>51</v>
      </c>
      <c r="M413">
        <v>3</v>
      </c>
      <c r="N413">
        <v>24.972999999999999</v>
      </c>
      <c r="O413">
        <v>0</v>
      </c>
      <c r="P413">
        <v>1.385</v>
      </c>
      <c r="Q413" t="s">
        <v>52</v>
      </c>
      <c r="R413">
        <v>65</v>
      </c>
      <c r="S413">
        <v>24</v>
      </c>
      <c r="T413">
        <v>400</v>
      </c>
      <c r="U413">
        <v>1</v>
      </c>
      <c r="V413" s="7">
        <v>0.76686032222096356</v>
      </c>
      <c r="W413">
        <v>75.92</v>
      </c>
      <c r="X413">
        <v>0.63500000000000001</v>
      </c>
      <c r="Y413">
        <v>17.649999999999999</v>
      </c>
      <c r="Z413">
        <v>11.48</v>
      </c>
      <c r="AA413">
        <v>7</v>
      </c>
      <c r="AB413">
        <v>28</v>
      </c>
      <c r="AC413" s="21">
        <f>30/60</f>
        <v>0.5</v>
      </c>
      <c r="AD413">
        <v>4</v>
      </c>
      <c r="AE413">
        <v>150</v>
      </c>
      <c r="AF413" s="11">
        <v>0.73333333333333328</v>
      </c>
    </row>
    <row r="414" spans="1:32" x14ac:dyDescent="0.3">
      <c r="A414" t="s">
        <v>64</v>
      </c>
      <c r="B414" t="s">
        <v>65</v>
      </c>
      <c r="C414">
        <v>1.96</v>
      </c>
      <c r="D414">
        <v>152.15</v>
      </c>
      <c r="E414">
        <v>0.9</v>
      </c>
      <c r="F414">
        <v>1.37</v>
      </c>
      <c r="G414">
        <v>0.69</v>
      </c>
      <c r="H414">
        <v>0.45</v>
      </c>
      <c r="I414">
        <v>1.1313</v>
      </c>
      <c r="J414">
        <v>46.5</v>
      </c>
      <c r="K414" t="s">
        <v>55</v>
      </c>
      <c r="L414" t="s">
        <v>51</v>
      </c>
      <c r="M414">
        <v>3</v>
      </c>
      <c r="N414">
        <v>24.972999999999999</v>
      </c>
      <c r="O414">
        <v>0</v>
      </c>
      <c r="P414">
        <v>1.385</v>
      </c>
      <c r="Q414" t="s">
        <v>52</v>
      </c>
      <c r="R414">
        <v>65</v>
      </c>
      <c r="S414">
        <v>24</v>
      </c>
      <c r="T414">
        <v>400</v>
      </c>
      <c r="U414">
        <v>1</v>
      </c>
      <c r="V414" s="7">
        <v>0.76686032222096356</v>
      </c>
      <c r="W414">
        <v>75.92</v>
      </c>
      <c r="X414">
        <v>0.63500000000000001</v>
      </c>
      <c r="Y414">
        <v>17.649999999999999</v>
      </c>
      <c r="Z414">
        <v>11.48</v>
      </c>
      <c r="AA414">
        <v>7</v>
      </c>
      <c r="AB414">
        <v>28</v>
      </c>
      <c r="AC414" s="21">
        <f>45/60</f>
        <v>0.75</v>
      </c>
      <c r="AD414">
        <v>4</v>
      </c>
      <c r="AE414">
        <v>150</v>
      </c>
      <c r="AF414" s="11">
        <v>0.73333333333333328</v>
      </c>
    </row>
    <row r="415" spans="1:32" x14ac:dyDescent="0.3">
      <c r="A415" t="s">
        <v>64</v>
      </c>
      <c r="B415" t="s">
        <v>65</v>
      </c>
      <c r="C415">
        <v>1.96</v>
      </c>
      <c r="D415">
        <v>152.15</v>
      </c>
      <c r="E415">
        <v>0.9</v>
      </c>
      <c r="F415">
        <v>1.37</v>
      </c>
      <c r="G415">
        <v>0.69</v>
      </c>
      <c r="H415">
        <v>0.45</v>
      </c>
      <c r="I415">
        <v>1.1313</v>
      </c>
      <c r="J415">
        <v>46.5</v>
      </c>
      <c r="K415" t="s">
        <v>55</v>
      </c>
      <c r="L415" t="s">
        <v>51</v>
      </c>
      <c r="M415">
        <v>3</v>
      </c>
      <c r="N415">
        <v>24.972999999999999</v>
      </c>
      <c r="O415">
        <v>0</v>
      </c>
      <c r="P415">
        <v>1.385</v>
      </c>
      <c r="Q415" t="s">
        <v>52</v>
      </c>
      <c r="R415">
        <v>65</v>
      </c>
      <c r="S415">
        <v>24</v>
      </c>
      <c r="T415">
        <v>400</v>
      </c>
      <c r="U415">
        <v>1</v>
      </c>
      <c r="V415" s="7">
        <v>0.76686032222096356</v>
      </c>
      <c r="W415">
        <v>75.92</v>
      </c>
      <c r="X415">
        <v>0.63500000000000001</v>
      </c>
      <c r="Y415">
        <v>17.649999999999999</v>
      </c>
      <c r="Z415">
        <v>11.48</v>
      </c>
      <c r="AA415">
        <v>7</v>
      </c>
      <c r="AB415">
        <v>28</v>
      </c>
      <c r="AC415" s="18">
        <v>1</v>
      </c>
      <c r="AD415">
        <v>4</v>
      </c>
      <c r="AE415">
        <v>150</v>
      </c>
      <c r="AF415" s="11">
        <v>0.78666666666666663</v>
      </c>
    </row>
    <row r="416" spans="1:32" x14ac:dyDescent="0.3">
      <c r="A416" t="s">
        <v>64</v>
      </c>
      <c r="B416" t="s">
        <v>65</v>
      </c>
      <c r="C416">
        <v>1.96</v>
      </c>
      <c r="D416">
        <v>152.15</v>
      </c>
      <c r="E416">
        <v>0.9</v>
      </c>
      <c r="F416">
        <v>1.37</v>
      </c>
      <c r="G416">
        <v>0.69</v>
      </c>
      <c r="H416">
        <v>0.45</v>
      </c>
      <c r="I416">
        <v>1.1313</v>
      </c>
      <c r="J416">
        <v>46.5</v>
      </c>
      <c r="K416" t="s">
        <v>55</v>
      </c>
      <c r="L416" t="s">
        <v>51</v>
      </c>
      <c r="M416">
        <v>3</v>
      </c>
      <c r="N416">
        <v>24.972999999999999</v>
      </c>
      <c r="O416">
        <v>0</v>
      </c>
      <c r="P416">
        <v>1.385</v>
      </c>
      <c r="Q416" t="s">
        <v>52</v>
      </c>
      <c r="R416">
        <v>65</v>
      </c>
      <c r="S416">
        <v>24</v>
      </c>
      <c r="T416">
        <v>400</v>
      </c>
      <c r="U416">
        <v>1</v>
      </c>
      <c r="V416" s="7">
        <v>0.76686032222096356</v>
      </c>
      <c r="W416">
        <v>75.92</v>
      </c>
      <c r="X416">
        <v>0.63500000000000001</v>
      </c>
      <c r="Y416">
        <v>17.649999999999999</v>
      </c>
      <c r="Z416">
        <v>11.48</v>
      </c>
      <c r="AA416">
        <v>7</v>
      </c>
      <c r="AB416">
        <v>28</v>
      </c>
      <c r="AC416" s="21">
        <f>75/60</f>
        <v>1.25</v>
      </c>
      <c r="AD416">
        <v>4</v>
      </c>
      <c r="AE416">
        <v>150</v>
      </c>
      <c r="AF416" s="11">
        <v>0.85333333333333339</v>
      </c>
    </row>
    <row r="417" spans="1:32" x14ac:dyDescent="0.3">
      <c r="A417" t="s">
        <v>64</v>
      </c>
      <c r="B417" t="s">
        <v>65</v>
      </c>
      <c r="C417">
        <v>1.96</v>
      </c>
      <c r="D417">
        <v>152.15</v>
      </c>
      <c r="E417">
        <v>0.9</v>
      </c>
      <c r="F417">
        <v>1.37</v>
      </c>
      <c r="G417">
        <v>0.69</v>
      </c>
      <c r="H417">
        <v>0.45</v>
      </c>
      <c r="I417">
        <v>1.1313</v>
      </c>
      <c r="J417">
        <v>46.5</v>
      </c>
      <c r="K417" t="s">
        <v>55</v>
      </c>
      <c r="L417" t="s">
        <v>51</v>
      </c>
      <c r="M417">
        <v>3</v>
      </c>
      <c r="N417">
        <v>24.972999999999999</v>
      </c>
      <c r="O417">
        <v>0</v>
      </c>
      <c r="P417">
        <v>1.385</v>
      </c>
      <c r="Q417" t="s">
        <v>52</v>
      </c>
      <c r="R417">
        <v>65</v>
      </c>
      <c r="S417">
        <v>24</v>
      </c>
      <c r="T417">
        <v>400</v>
      </c>
      <c r="U417">
        <v>1</v>
      </c>
      <c r="V417" s="7">
        <v>0.76686032222096356</v>
      </c>
      <c r="W417">
        <v>75.92</v>
      </c>
      <c r="X417">
        <v>0.63500000000000001</v>
      </c>
      <c r="Y417">
        <v>17.649999999999999</v>
      </c>
      <c r="Z417">
        <v>11.48</v>
      </c>
      <c r="AA417">
        <v>7</v>
      </c>
      <c r="AB417">
        <v>28</v>
      </c>
      <c r="AC417" s="21">
        <f>90/60</f>
        <v>1.5</v>
      </c>
      <c r="AD417">
        <v>4</v>
      </c>
      <c r="AE417">
        <v>150</v>
      </c>
      <c r="AF417" s="11">
        <v>0.8666666666666667</v>
      </c>
    </row>
    <row r="418" spans="1:32" x14ac:dyDescent="0.3">
      <c r="A418" t="s">
        <v>64</v>
      </c>
      <c r="B418" t="s">
        <v>65</v>
      </c>
      <c r="C418">
        <v>1.96</v>
      </c>
      <c r="D418">
        <v>152.15</v>
      </c>
      <c r="E418">
        <v>0.9</v>
      </c>
      <c r="F418">
        <v>1.37</v>
      </c>
      <c r="G418">
        <v>0.69</v>
      </c>
      <c r="H418">
        <v>0.45</v>
      </c>
      <c r="I418">
        <v>1.1313</v>
      </c>
      <c r="J418">
        <v>46.5</v>
      </c>
      <c r="K418" t="s">
        <v>55</v>
      </c>
      <c r="L418" t="s">
        <v>51</v>
      </c>
      <c r="M418">
        <v>3</v>
      </c>
      <c r="N418">
        <v>24.972999999999999</v>
      </c>
      <c r="O418">
        <v>0</v>
      </c>
      <c r="P418">
        <v>1.385</v>
      </c>
      <c r="Q418" t="s">
        <v>52</v>
      </c>
      <c r="R418">
        <v>65</v>
      </c>
      <c r="S418">
        <v>24</v>
      </c>
      <c r="T418">
        <v>400</v>
      </c>
      <c r="U418">
        <v>1</v>
      </c>
      <c r="V418" s="7">
        <v>0.76686032222096356</v>
      </c>
      <c r="W418">
        <v>75.92</v>
      </c>
      <c r="X418">
        <v>0.63500000000000001</v>
      </c>
      <c r="Y418">
        <v>17.649999999999999</v>
      </c>
      <c r="Z418">
        <v>11.48</v>
      </c>
      <c r="AA418">
        <v>7</v>
      </c>
      <c r="AB418">
        <v>28</v>
      </c>
      <c r="AC418" s="21">
        <f>105/60</f>
        <v>1.75</v>
      </c>
      <c r="AD418">
        <v>4</v>
      </c>
      <c r="AE418">
        <v>150</v>
      </c>
      <c r="AF418" s="11">
        <v>0.8693333333333334</v>
      </c>
    </row>
    <row r="419" spans="1:32" x14ac:dyDescent="0.3">
      <c r="A419" t="s">
        <v>64</v>
      </c>
      <c r="B419" t="s">
        <v>65</v>
      </c>
      <c r="C419">
        <v>1.96</v>
      </c>
      <c r="D419">
        <v>152.15</v>
      </c>
      <c r="E419">
        <v>0.9</v>
      </c>
      <c r="F419">
        <v>1.37</v>
      </c>
      <c r="G419">
        <v>0.69</v>
      </c>
      <c r="H419">
        <v>0.45</v>
      </c>
      <c r="I419">
        <v>1.1313</v>
      </c>
      <c r="J419">
        <v>46.5</v>
      </c>
      <c r="K419" t="s">
        <v>55</v>
      </c>
      <c r="L419" t="s">
        <v>51</v>
      </c>
      <c r="M419">
        <v>3</v>
      </c>
      <c r="N419">
        <v>24.972999999999999</v>
      </c>
      <c r="O419">
        <v>0</v>
      </c>
      <c r="P419">
        <v>1.385</v>
      </c>
      <c r="Q419" t="s">
        <v>52</v>
      </c>
      <c r="R419">
        <v>65</v>
      </c>
      <c r="S419">
        <v>24</v>
      </c>
      <c r="T419">
        <v>400</v>
      </c>
      <c r="U419">
        <v>1</v>
      </c>
      <c r="V419" s="7">
        <v>0.76686032222096356</v>
      </c>
      <c r="W419">
        <v>75.92</v>
      </c>
      <c r="X419">
        <v>0.63500000000000001</v>
      </c>
      <c r="Y419">
        <v>17.649999999999999</v>
      </c>
      <c r="Z419">
        <v>11.48</v>
      </c>
      <c r="AA419">
        <v>7</v>
      </c>
      <c r="AB419">
        <v>28</v>
      </c>
      <c r="AC419" s="18">
        <f>120/60</f>
        <v>2</v>
      </c>
      <c r="AD419">
        <v>4</v>
      </c>
      <c r="AE419">
        <v>150</v>
      </c>
      <c r="AF419" s="11">
        <v>0.87200000000000011</v>
      </c>
    </row>
    <row r="420" spans="1:32" x14ac:dyDescent="0.3">
      <c r="A420" t="s">
        <v>66</v>
      </c>
      <c r="B420" t="s">
        <v>13</v>
      </c>
      <c r="C420">
        <v>-1.03</v>
      </c>
      <c r="D420">
        <v>319.33</v>
      </c>
      <c r="E420">
        <v>1.52</v>
      </c>
      <c r="F420">
        <v>1.95</v>
      </c>
      <c r="G420">
        <v>0.6</v>
      </c>
      <c r="H420">
        <v>1.85</v>
      </c>
      <c r="I420">
        <v>2.25</v>
      </c>
      <c r="J420">
        <v>72.900000000000006</v>
      </c>
      <c r="K420" t="s">
        <v>55</v>
      </c>
      <c r="L420" t="s">
        <v>51</v>
      </c>
      <c r="M420">
        <v>2</v>
      </c>
      <c r="N420">
        <v>25.196000000000002</v>
      </c>
      <c r="O420">
        <v>0</v>
      </c>
      <c r="P420">
        <v>1.41</v>
      </c>
      <c r="Q420" t="s">
        <v>52</v>
      </c>
      <c r="R420">
        <v>70</v>
      </c>
      <c r="S420">
        <v>24</v>
      </c>
      <c r="T420" t="s">
        <v>164</v>
      </c>
      <c r="U420" t="s">
        <v>164</v>
      </c>
      <c r="V420" s="7">
        <v>0.76224839171129977</v>
      </c>
      <c r="W420">
        <v>88.3</v>
      </c>
      <c r="X420" t="s">
        <v>166</v>
      </c>
      <c r="Y420">
        <v>25.9</v>
      </c>
      <c r="Z420">
        <v>9.1999999999999993</v>
      </c>
      <c r="AA420">
        <v>6.7</v>
      </c>
      <c r="AB420">
        <v>25</v>
      </c>
      <c r="AC420" s="21">
        <f>1/60</f>
        <v>1.6666666666666666E-2</v>
      </c>
      <c r="AD420">
        <v>2</v>
      </c>
      <c r="AE420">
        <v>20</v>
      </c>
      <c r="AF420" s="11">
        <v>0.45</v>
      </c>
    </row>
    <row r="421" spans="1:32" x14ac:dyDescent="0.3">
      <c r="A421" t="s">
        <v>66</v>
      </c>
      <c r="B421" t="s">
        <v>13</v>
      </c>
      <c r="C421">
        <v>-1.03</v>
      </c>
      <c r="D421">
        <v>319.33</v>
      </c>
      <c r="E421">
        <v>1.52</v>
      </c>
      <c r="F421">
        <v>1.95</v>
      </c>
      <c r="G421">
        <v>0.6</v>
      </c>
      <c r="H421">
        <v>1.85</v>
      </c>
      <c r="I421">
        <v>2.25</v>
      </c>
      <c r="J421">
        <v>72.900000000000006</v>
      </c>
      <c r="K421" t="s">
        <v>55</v>
      </c>
      <c r="L421" t="s">
        <v>51</v>
      </c>
      <c r="M421">
        <v>2</v>
      </c>
      <c r="N421">
        <v>25.196000000000002</v>
      </c>
      <c r="O421">
        <v>0</v>
      </c>
      <c r="P421">
        <v>1.41</v>
      </c>
      <c r="Q421" t="s">
        <v>52</v>
      </c>
      <c r="R421">
        <v>70</v>
      </c>
      <c r="S421">
        <v>24</v>
      </c>
      <c r="T421" t="s">
        <v>164</v>
      </c>
      <c r="U421" t="s">
        <v>164</v>
      </c>
      <c r="V421" s="7">
        <v>0.76224839171129977</v>
      </c>
      <c r="W421">
        <v>88.3</v>
      </c>
      <c r="X421" t="s">
        <v>166</v>
      </c>
      <c r="Y421">
        <v>25.9</v>
      </c>
      <c r="Z421">
        <v>9.1999999999999993</v>
      </c>
      <c r="AA421">
        <v>6.7</v>
      </c>
      <c r="AB421">
        <v>25</v>
      </c>
      <c r="AC421" s="21">
        <f>5/60</f>
        <v>8.3333333333333329E-2</v>
      </c>
      <c r="AD421">
        <v>2</v>
      </c>
      <c r="AE421">
        <v>20</v>
      </c>
      <c r="AF421" s="11">
        <v>0.5</v>
      </c>
    </row>
    <row r="422" spans="1:32" x14ac:dyDescent="0.3">
      <c r="A422" t="s">
        <v>66</v>
      </c>
      <c r="B422" t="s">
        <v>13</v>
      </c>
      <c r="C422">
        <v>-1.03</v>
      </c>
      <c r="D422">
        <v>319.33</v>
      </c>
      <c r="E422">
        <v>1.52</v>
      </c>
      <c r="F422">
        <v>1.95</v>
      </c>
      <c r="G422">
        <v>0.6</v>
      </c>
      <c r="H422">
        <v>1.85</v>
      </c>
      <c r="I422">
        <v>2.25</v>
      </c>
      <c r="J422">
        <v>72.900000000000006</v>
      </c>
      <c r="K422" t="s">
        <v>55</v>
      </c>
      <c r="L422" t="s">
        <v>51</v>
      </c>
      <c r="M422">
        <v>2</v>
      </c>
      <c r="N422">
        <v>25.196000000000002</v>
      </c>
      <c r="O422">
        <v>0</v>
      </c>
      <c r="P422">
        <v>1.41</v>
      </c>
      <c r="Q422" t="s">
        <v>52</v>
      </c>
      <c r="R422">
        <v>70</v>
      </c>
      <c r="S422">
        <v>24</v>
      </c>
      <c r="T422" t="s">
        <v>164</v>
      </c>
      <c r="U422" t="s">
        <v>164</v>
      </c>
      <c r="V422" s="7">
        <v>0.76224839171129977</v>
      </c>
      <c r="W422">
        <v>88.3</v>
      </c>
      <c r="X422" t="s">
        <v>166</v>
      </c>
      <c r="Y422">
        <v>25.9</v>
      </c>
      <c r="Z422">
        <v>9.1999999999999993</v>
      </c>
      <c r="AA422">
        <v>6.7</v>
      </c>
      <c r="AB422">
        <v>25</v>
      </c>
      <c r="AC422" s="21">
        <f>10/60</f>
        <v>0.16666666666666666</v>
      </c>
      <c r="AD422">
        <v>2</v>
      </c>
      <c r="AE422">
        <v>20</v>
      </c>
      <c r="AF422" s="11">
        <v>0.55000000000000004</v>
      </c>
    </row>
    <row r="423" spans="1:32" x14ac:dyDescent="0.3">
      <c r="A423" t="s">
        <v>66</v>
      </c>
      <c r="B423" t="s">
        <v>13</v>
      </c>
      <c r="C423">
        <v>-1.03</v>
      </c>
      <c r="D423">
        <v>319.33</v>
      </c>
      <c r="E423">
        <v>1.52</v>
      </c>
      <c r="F423">
        <v>1.95</v>
      </c>
      <c r="G423">
        <v>0.6</v>
      </c>
      <c r="H423">
        <v>1.85</v>
      </c>
      <c r="I423">
        <v>2.25</v>
      </c>
      <c r="J423">
        <v>72.900000000000006</v>
      </c>
      <c r="K423" t="s">
        <v>55</v>
      </c>
      <c r="L423" t="s">
        <v>51</v>
      </c>
      <c r="M423">
        <v>2</v>
      </c>
      <c r="N423">
        <v>25.196000000000002</v>
      </c>
      <c r="O423">
        <v>0</v>
      </c>
      <c r="P423">
        <v>1.41</v>
      </c>
      <c r="Q423" t="s">
        <v>52</v>
      </c>
      <c r="R423">
        <v>70</v>
      </c>
      <c r="S423">
        <v>24</v>
      </c>
      <c r="T423" t="s">
        <v>164</v>
      </c>
      <c r="U423" t="s">
        <v>164</v>
      </c>
      <c r="V423" s="7">
        <v>0.76224839171129977</v>
      </c>
      <c r="W423">
        <v>88.3</v>
      </c>
      <c r="X423" t="s">
        <v>166</v>
      </c>
      <c r="Y423">
        <v>25.9</v>
      </c>
      <c r="Z423">
        <v>9.1999999999999993</v>
      </c>
      <c r="AA423">
        <v>6.7</v>
      </c>
      <c r="AB423">
        <v>25</v>
      </c>
      <c r="AC423" s="21">
        <f>12.5/60</f>
        <v>0.20833333333333334</v>
      </c>
      <c r="AD423">
        <v>2</v>
      </c>
      <c r="AE423">
        <v>20</v>
      </c>
      <c r="AF423" s="11">
        <v>0.60000000000000009</v>
      </c>
    </row>
    <row r="424" spans="1:32" x14ac:dyDescent="0.3">
      <c r="A424" t="s">
        <v>66</v>
      </c>
      <c r="B424" t="s">
        <v>13</v>
      </c>
      <c r="C424">
        <v>-1.03</v>
      </c>
      <c r="D424">
        <v>319.33</v>
      </c>
      <c r="E424">
        <v>1.52</v>
      </c>
      <c r="F424">
        <v>1.95</v>
      </c>
      <c r="G424">
        <v>0.6</v>
      </c>
      <c r="H424">
        <v>1.85</v>
      </c>
      <c r="I424">
        <v>2.25</v>
      </c>
      <c r="J424">
        <v>72.900000000000006</v>
      </c>
      <c r="K424" t="s">
        <v>55</v>
      </c>
      <c r="L424" t="s">
        <v>51</v>
      </c>
      <c r="M424">
        <v>2</v>
      </c>
      <c r="N424">
        <v>25.196000000000002</v>
      </c>
      <c r="O424">
        <v>0</v>
      </c>
      <c r="P424">
        <v>1.41</v>
      </c>
      <c r="Q424" t="s">
        <v>52</v>
      </c>
      <c r="R424">
        <v>70</v>
      </c>
      <c r="S424">
        <v>24</v>
      </c>
      <c r="T424" t="s">
        <v>164</v>
      </c>
      <c r="U424" t="s">
        <v>164</v>
      </c>
      <c r="V424" s="7">
        <v>0.76224839171129977</v>
      </c>
      <c r="W424">
        <v>88.3</v>
      </c>
      <c r="X424" t="s">
        <v>166</v>
      </c>
      <c r="Y424">
        <v>25.9</v>
      </c>
      <c r="Z424">
        <v>9.1999999999999993</v>
      </c>
      <c r="AA424">
        <v>6.7</v>
      </c>
      <c r="AB424">
        <v>25</v>
      </c>
      <c r="AC424" s="21">
        <f>20/60</f>
        <v>0.33333333333333331</v>
      </c>
      <c r="AD424">
        <v>2</v>
      </c>
      <c r="AE424">
        <v>20</v>
      </c>
      <c r="AF424" s="11">
        <v>0.65</v>
      </c>
    </row>
    <row r="425" spans="1:32" x14ac:dyDescent="0.3">
      <c r="A425" t="s">
        <v>66</v>
      </c>
      <c r="B425" t="s">
        <v>13</v>
      </c>
      <c r="C425">
        <v>-1.03</v>
      </c>
      <c r="D425">
        <v>319.33</v>
      </c>
      <c r="E425">
        <v>1.52</v>
      </c>
      <c r="F425">
        <v>1.95</v>
      </c>
      <c r="G425">
        <v>0.6</v>
      </c>
      <c r="H425">
        <v>1.85</v>
      </c>
      <c r="I425">
        <v>2.25</v>
      </c>
      <c r="J425">
        <v>72.900000000000006</v>
      </c>
      <c r="K425" t="s">
        <v>55</v>
      </c>
      <c r="L425" t="s">
        <v>51</v>
      </c>
      <c r="M425">
        <v>2</v>
      </c>
      <c r="N425">
        <v>25.196000000000002</v>
      </c>
      <c r="O425">
        <v>0</v>
      </c>
      <c r="P425">
        <v>1.41</v>
      </c>
      <c r="Q425" t="s">
        <v>52</v>
      </c>
      <c r="R425">
        <v>70</v>
      </c>
      <c r="S425">
        <v>24</v>
      </c>
      <c r="T425" t="s">
        <v>164</v>
      </c>
      <c r="U425" t="s">
        <v>164</v>
      </c>
      <c r="V425" s="7">
        <v>0.76224839171129977</v>
      </c>
      <c r="W425">
        <v>88.3</v>
      </c>
      <c r="X425" t="s">
        <v>166</v>
      </c>
      <c r="Y425">
        <v>25.9</v>
      </c>
      <c r="Z425">
        <v>9.1999999999999993</v>
      </c>
      <c r="AA425">
        <v>6.7</v>
      </c>
      <c r="AB425">
        <v>25</v>
      </c>
      <c r="AC425" s="21">
        <f>30/60</f>
        <v>0.5</v>
      </c>
      <c r="AD425">
        <v>2</v>
      </c>
      <c r="AE425">
        <v>20</v>
      </c>
      <c r="AF425" s="11">
        <v>0.67999999999999994</v>
      </c>
    </row>
    <row r="426" spans="1:32" x14ac:dyDescent="0.3">
      <c r="A426" t="s">
        <v>66</v>
      </c>
      <c r="B426" t="s">
        <v>13</v>
      </c>
      <c r="C426">
        <v>-1.03</v>
      </c>
      <c r="D426">
        <v>319.33</v>
      </c>
      <c r="E426">
        <v>1.52</v>
      </c>
      <c r="F426">
        <v>1.95</v>
      </c>
      <c r="G426">
        <v>0.6</v>
      </c>
      <c r="H426">
        <v>1.85</v>
      </c>
      <c r="I426">
        <v>2.25</v>
      </c>
      <c r="J426">
        <v>72.900000000000006</v>
      </c>
      <c r="K426" t="s">
        <v>55</v>
      </c>
      <c r="L426" t="s">
        <v>51</v>
      </c>
      <c r="M426">
        <v>2</v>
      </c>
      <c r="N426">
        <v>25.196000000000002</v>
      </c>
      <c r="O426">
        <v>0</v>
      </c>
      <c r="P426">
        <v>1.41</v>
      </c>
      <c r="Q426" t="s">
        <v>52</v>
      </c>
      <c r="R426">
        <v>70</v>
      </c>
      <c r="S426">
        <v>24</v>
      </c>
      <c r="T426" t="s">
        <v>164</v>
      </c>
      <c r="U426" t="s">
        <v>164</v>
      </c>
      <c r="V426" s="7">
        <v>0.76224839171129977</v>
      </c>
      <c r="W426">
        <v>88.3</v>
      </c>
      <c r="X426" t="s">
        <v>166</v>
      </c>
      <c r="Y426">
        <v>25.9</v>
      </c>
      <c r="Z426">
        <v>9.1999999999999993</v>
      </c>
      <c r="AA426">
        <v>6.7</v>
      </c>
      <c r="AB426">
        <v>25</v>
      </c>
      <c r="AC426" s="21">
        <f>40/60</f>
        <v>0.66666666666666663</v>
      </c>
      <c r="AD426">
        <v>2</v>
      </c>
      <c r="AE426">
        <v>20</v>
      </c>
      <c r="AF426" s="11">
        <v>0.69000000000000006</v>
      </c>
    </row>
    <row r="427" spans="1:32" x14ac:dyDescent="0.3">
      <c r="A427" t="s">
        <v>66</v>
      </c>
      <c r="B427" t="s">
        <v>13</v>
      </c>
      <c r="C427">
        <v>-1.03</v>
      </c>
      <c r="D427">
        <v>319.33</v>
      </c>
      <c r="E427">
        <v>1.52</v>
      </c>
      <c r="F427">
        <v>1.95</v>
      </c>
      <c r="G427">
        <v>0.6</v>
      </c>
      <c r="H427">
        <v>1.85</v>
      </c>
      <c r="I427">
        <v>2.25</v>
      </c>
      <c r="J427">
        <v>72.900000000000006</v>
      </c>
      <c r="K427" t="s">
        <v>55</v>
      </c>
      <c r="L427" t="s">
        <v>51</v>
      </c>
      <c r="M427">
        <v>2</v>
      </c>
      <c r="N427">
        <v>25.196000000000002</v>
      </c>
      <c r="O427">
        <v>0</v>
      </c>
      <c r="P427">
        <v>1.41</v>
      </c>
      <c r="Q427" t="s">
        <v>52</v>
      </c>
      <c r="R427">
        <v>70</v>
      </c>
      <c r="S427">
        <v>24</v>
      </c>
      <c r="T427" t="s">
        <v>164</v>
      </c>
      <c r="U427" t="s">
        <v>164</v>
      </c>
      <c r="V427" s="7">
        <v>0.76224839171129977</v>
      </c>
      <c r="W427">
        <v>88.3</v>
      </c>
      <c r="X427" t="s">
        <v>166</v>
      </c>
      <c r="Y427">
        <v>25.9</v>
      </c>
      <c r="Z427">
        <v>9.1999999999999993</v>
      </c>
      <c r="AA427">
        <v>6.7</v>
      </c>
      <c r="AB427">
        <v>25</v>
      </c>
      <c r="AC427" s="18">
        <v>1</v>
      </c>
      <c r="AD427">
        <v>2</v>
      </c>
      <c r="AE427">
        <v>20</v>
      </c>
      <c r="AF427" s="11">
        <v>0.69000000000000006</v>
      </c>
    </row>
    <row r="428" spans="1:32" x14ac:dyDescent="0.3">
      <c r="A428" t="s">
        <v>66</v>
      </c>
      <c r="B428" t="s">
        <v>13</v>
      </c>
      <c r="C428">
        <v>-1.03</v>
      </c>
      <c r="D428">
        <v>319.33</v>
      </c>
      <c r="E428">
        <v>1.52</v>
      </c>
      <c r="F428">
        <v>1.95</v>
      </c>
      <c r="G428">
        <v>0.6</v>
      </c>
      <c r="H428">
        <v>1.85</v>
      </c>
      <c r="I428">
        <v>2.25</v>
      </c>
      <c r="J428">
        <v>72.900000000000006</v>
      </c>
      <c r="K428" t="s">
        <v>55</v>
      </c>
      <c r="L428" t="s">
        <v>51</v>
      </c>
      <c r="M428">
        <v>2</v>
      </c>
      <c r="N428">
        <v>25.196000000000002</v>
      </c>
      <c r="O428">
        <v>0</v>
      </c>
      <c r="P428">
        <v>1.41</v>
      </c>
      <c r="Q428" t="s">
        <v>52</v>
      </c>
      <c r="R428">
        <v>70</v>
      </c>
      <c r="S428">
        <v>24</v>
      </c>
      <c r="T428" t="s">
        <v>164</v>
      </c>
      <c r="U428" t="s">
        <v>164</v>
      </c>
      <c r="V428" s="7">
        <v>0.76224839171129977</v>
      </c>
      <c r="W428">
        <v>88.3</v>
      </c>
      <c r="X428" t="s">
        <v>166</v>
      </c>
      <c r="Y428">
        <v>25.9</v>
      </c>
      <c r="Z428">
        <v>9.1999999999999993</v>
      </c>
      <c r="AA428">
        <v>6.7</v>
      </c>
      <c r="AB428">
        <v>25</v>
      </c>
      <c r="AC428" s="20">
        <v>1.5</v>
      </c>
      <c r="AD428">
        <v>2</v>
      </c>
      <c r="AE428">
        <v>20</v>
      </c>
      <c r="AF428" s="11">
        <v>0.7</v>
      </c>
    </row>
    <row r="429" spans="1:32" x14ac:dyDescent="0.3">
      <c r="A429" t="s">
        <v>66</v>
      </c>
      <c r="B429" t="s">
        <v>13</v>
      </c>
      <c r="C429">
        <v>-1.03</v>
      </c>
      <c r="D429">
        <v>319.33</v>
      </c>
      <c r="E429">
        <v>1.52</v>
      </c>
      <c r="F429">
        <v>1.95</v>
      </c>
      <c r="G429">
        <v>0.6</v>
      </c>
      <c r="H429">
        <v>1.85</v>
      </c>
      <c r="I429">
        <v>2.25</v>
      </c>
      <c r="J429">
        <v>72.900000000000006</v>
      </c>
      <c r="K429" t="s">
        <v>55</v>
      </c>
      <c r="L429" t="s">
        <v>51</v>
      </c>
      <c r="M429">
        <v>2</v>
      </c>
      <c r="N429">
        <v>25.196000000000002</v>
      </c>
      <c r="O429">
        <v>0</v>
      </c>
      <c r="P429">
        <v>1.41</v>
      </c>
      <c r="Q429" t="s">
        <v>52</v>
      </c>
      <c r="R429">
        <v>70</v>
      </c>
      <c r="S429">
        <v>24</v>
      </c>
      <c r="T429" t="s">
        <v>164</v>
      </c>
      <c r="U429" t="s">
        <v>164</v>
      </c>
      <c r="V429" s="7">
        <v>0.76224839171129977</v>
      </c>
      <c r="W429">
        <v>88.3</v>
      </c>
      <c r="X429" t="s">
        <v>166</v>
      </c>
      <c r="Y429">
        <v>25.9</v>
      </c>
      <c r="Z429">
        <v>9.1999999999999993</v>
      </c>
      <c r="AA429">
        <v>6.7</v>
      </c>
      <c r="AB429">
        <v>25</v>
      </c>
      <c r="AC429" s="18">
        <f>120/60</f>
        <v>2</v>
      </c>
      <c r="AD429">
        <v>2</v>
      </c>
      <c r="AE429">
        <v>20</v>
      </c>
      <c r="AF429" s="11">
        <v>0.7</v>
      </c>
    </row>
    <row r="430" spans="1:32" x14ac:dyDescent="0.3">
      <c r="A430" t="s">
        <v>66</v>
      </c>
      <c r="B430" t="s">
        <v>13</v>
      </c>
      <c r="C430">
        <v>-1.03</v>
      </c>
      <c r="D430">
        <v>319.33</v>
      </c>
      <c r="E430">
        <v>1.52</v>
      </c>
      <c r="F430">
        <v>1.95</v>
      </c>
      <c r="G430">
        <v>0.6</v>
      </c>
      <c r="H430">
        <v>1.85</v>
      </c>
      <c r="I430">
        <v>2.25</v>
      </c>
      <c r="J430">
        <v>72.900000000000006</v>
      </c>
      <c r="K430" t="s">
        <v>55</v>
      </c>
      <c r="L430" t="s">
        <v>51</v>
      </c>
      <c r="M430">
        <v>2</v>
      </c>
      <c r="N430">
        <v>25.196000000000002</v>
      </c>
      <c r="O430">
        <v>0</v>
      </c>
      <c r="P430">
        <v>1.41</v>
      </c>
      <c r="Q430" t="s">
        <v>52</v>
      </c>
      <c r="R430">
        <v>70</v>
      </c>
      <c r="S430">
        <v>24</v>
      </c>
      <c r="T430" t="s">
        <v>164</v>
      </c>
      <c r="U430" t="s">
        <v>164</v>
      </c>
      <c r="V430" s="7">
        <v>0.76224839171129977</v>
      </c>
      <c r="W430">
        <v>88.3</v>
      </c>
      <c r="X430" t="s">
        <v>166</v>
      </c>
      <c r="Y430">
        <v>25.9</v>
      </c>
      <c r="Z430">
        <v>9.1999999999999993</v>
      </c>
      <c r="AA430">
        <v>6.7</v>
      </c>
      <c r="AB430">
        <v>25</v>
      </c>
      <c r="AC430" s="20">
        <f>150/60</f>
        <v>2.5</v>
      </c>
      <c r="AD430">
        <v>2</v>
      </c>
      <c r="AE430">
        <v>20</v>
      </c>
      <c r="AF430" s="11">
        <v>0.7</v>
      </c>
    </row>
    <row r="431" spans="1:32" x14ac:dyDescent="0.3">
      <c r="A431" t="s">
        <v>66</v>
      </c>
      <c r="B431" t="s">
        <v>13</v>
      </c>
      <c r="C431">
        <v>-1.03</v>
      </c>
      <c r="D431">
        <v>319.33</v>
      </c>
      <c r="E431">
        <v>1.52</v>
      </c>
      <c r="F431">
        <v>1.95</v>
      </c>
      <c r="G431">
        <v>0.6</v>
      </c>
      <c r="H431">
        <v>1.85</v>
      </c>
      <c r="I431">
        <v>2.25</v>
      </c>
      <c r="J431">
        <v>72.900000000000006</v>
      </c>
      <c r="K431" t="s">
        <v>55</v>
      </c>
      <c r="L431" t="s">
        <v>51</v>
      </c>
      <c r="M431">
        <v>2</v>
      </c>
      <c r="N431">
        <v>25.196000000000002</v>
      </c>
      <c r="O431">
        <v>0</v>
      </c>
      <c r="P431">
        <v>1.41</v>
      </c>
      <c r="Q431" t="s">
        <v>52</v>
      </c>
      <c r="R431">
        <v>70</v>
      </c>
      <c r="S431">
        <v>24</v>
      </c>
      <c r="T431" t="s">
        <v>164</v>
      </c>
      <c r="U431" t="s">
        <v>164</v>
      </c>
      <c r="V431" s="7">
        <v>0.76224839171129977</v>
      </c>
      <c r="W431">
        <v>88.3</v>
      </c>
      <c r="X431" t="s">
        <v>166</v>
      </c>
      <c r="Y431">
        <v>25.9</v>
      </c>
      <c r="Z431">
        <v>9.1999999999999993</v>
      </c>
      <c r="AA431">
        <v>6.7</v>
      </c>
      <c r="AB431">
        <v>25</v>
      </c>
      <c r="AC431" s="18">
        <f>180/60</f>
        <v>3</v>
      </c>
      <c r="AD431">
        <v>2</v>
      </c>
      <c r="AE431">
        <v>20</v>
      </c>
      <c r="AF431" s="11">
        <v>0.7</v>
      </c>
    </row>
    <row r="432" spans="1:32" x14ac:dyDescent="0.3">
      <c r="A432" t="s">
        <v>66</v>
      </c>
      <c r="B432" t="s">
        <v>13</v>
      </c>
      <c r="C432">
        <v>-1.03</v>
      </c>
      <c r="D432">
        <v>319.33</v>
      </c>
      <c r="E432">
        <v>1.52</v>
      </c>
      <c r="F432">
        <v>1.95</v>
      </c>
      <c r="G432">
        <v>0.6</v>
      </c>
      <c r="H432">
        <v>1.85</v>
      </c>
      <c r="I432">
        <v>2.25</v>
      </c>
      <c r="J432">
        <v>72.900000000000006</v>
      </c>
      <c r="K432" t="s">
        <v>55</v>
      </c>
      <c r="L432" t="s">
        <v>51</v>
      </c>
      <c r="M432">
        <v>3</v>
      </c>
      <c r="N432">
        <v>27.222000000000001</v>
      </c>
      <c r="O432">
        <v>0</v>
      </c>
      <c r="P432" s="13">
        <v>1.5189999999999999</v>
      </c>
      <c r="Q432" t="s">
        <v>52</v>
      </c>
      <c r="R432">
        <v>70</v>
      </c>
      <c r="S432">
        <v>24</v>
      </c>
      <c r="T432" t="s">
        <v>164</v>
      </c>
      <c r="U432" t="s">
        <v>164</v>
      </c>
      <c r="V432" s="7">
        <v>0.77693441175088462</v>
      </c>
      <c r="W432">
        <v>122</v>
      </c>
      <c r="X432" t="s">
        <v>166</v>
      </c>
      <c r="Y432">
        <v>23.7</v>
      </c>
      <c r="Z432">
        <v>9.4</v>
      </c>
      <c r="AA432">
        <v>6.7</v>
      </c>
      <c r="AB432">
        <v>25</v>
      </c>
      <c r="AC432" s="21">
        <f>1/60</f>
        <v>1.6666666666666666E-2</v>
      </c>
      <c r="AD432">
        <v>2</v>
      </c>
      <c r="AE432">
        <v>20</v>
      </c>
      <c r="AF432" s="11">
        <v>0.3</v>
      </c>
    </row>
    <row r="433" spans="1:32" x14ac:dyDescent="0.3">
      <c r="A433" t="s">
        <v>66</v>
      </c>
      <c r="B433" t="s">
        <v>13</v>
      </c>
      <c r="C433">
        <v>-1.03</v>
      </c>
      <c r="D433">
        <v>319.33</v>
      </c>
      <c r="E433">
        <v>1.52</v>
      </c>
      <c r="F433">
        <v>1.95</v>
      </c>
      <c r="G433">
        <v>0.6</v>
      </c>
      <c r="H433">
        <v>1.85</v>
      </c>
      <c r="I433">
        <v>2.25</v>
      </c>
      <c r="J433">
        <v>72.900000000000006</v>
      </c>
      <c r="K433" t="s">
        <v>55</v>
      </c>
      <c r="L433" t="s">
        <v>51</v>
      </c>
      <c r="M433">
        <v>3</v>
      </c>
      <c r="N433">
        <v>27.222000000000001</v>
      </c>
      <c r="O433">
        <v>0</v>
      </c>
      <c r="P433" s="13">
        <v>1.5189999999999999</v>
      </c>
      <c r="Q433" t="s">
        <v>52</v>
      </c>
      <c r="R433">
        <v>70</v>
      </c>
      <c r="S433">
        <v>24</v>
      </c>
      <c r="T433" t="s">
        <v>164</v>
      </c>
      <c r="U433" t="s">
        <v>164</v>
      </c>
      <c r="V433" s="7">
        <v>0.77693441175088462</v>
      </c>
      <c r="W433">
        <v>122</v>
      </c>
      <c r="X433" t="s">
        <v>166</v>
      </c>
      <c r="Y433">
        <v>23.7</v>
      </c>
      <c r="Z433">
        <v>9.4</v>
      </c>
      <c r="AA433">
        <v>6.7</v>
      </c>
      <c r="AB433">
        <v>25</v>
      </c>
      <c r="AC433" s="21">
        <f>5/60</f>
        <v>8.3333333333333329E-2</v>
      </c>
      <c r="AD433">
        <v>2</v>
      </c>
      <c r="AE433">
        <v>20</v>
      </c>
      <c r="AF433" s="11">
        <v>0.35</v>
      </c>
    </row>
    <row r="434" spans="1:32" x14ac:dyDescent="0.3">
      <c r="A434" t="s">
        <v>66</v>
      </c>
      <c r="B434" t="s">
        <v>13</v>
      </c>
      <c r="C434">
        <v>-1.03</v>
      </c>
      <c r="D434">
        <v>319.33</v>
      </c>
      <c r="E434">
        <v>1.52</v>
      </c>
      <c r="F434">
        <v>1.95</v>
      </c>
      <c r="G434">
        <v>0.6</v>
      </c>
      <c r="H434">
        <v>1.85</v>
      </c>
      <c r="I434">
        <v>2.25</v>
      </c>
      <c r="J434">
        <v>72.900000000000006</v>
      </c>
      <c r="K434" t="s">
        <v>55</v>
      </c>
      <c r="L434" t="s">
        <v>51</v>
      </c>
      <c r="M434">
        <v>3</v>
      </c>
      <c r="N434">
        <v>27.222000000000001</v>
      </c>
      <c r="O434">
        <v>0</v>
      </c>
      <c r="P434" s="13">
        <v>1.5189999999999999</v>
      </c>
      <c r="Q434" t="s">
        <v>52</v>
      </c>
      <c r="R434">
        <v>70</v>
      </c>
      <c r="S434">
        <v>24</v>
      </c>
      <c r="T434" t="s">
        <v>164</v>
      </c>
      <c r="U434" t="s">
        <v>164</v>
      </c>
      <c r="V434" s="7">
        <v>0.77693441175088462</v>
      </c>
      <c r="W434">
        <v>122</v>
      </c>
      <c r="X434" t="s">
        <v>166</v>
      </c>
      <c r="Y434">
        <v>23.7</v>
      </c>
      <c r="Z434">
        <v>9.4</v>
      </c>
      <c r="AA434">
        <v>6.7</v>
      </c>
      <c r="AB434">
        <v>25</v>
      </c>
      <c r="AC434" s="21">
        <f>10/60</f>
        <v>0.16666666666666666</v>
      </c>
      <c r="AD434">
        <v>2</v>
      </c>
      <c r="AE434">
        <v>20</v>
      </c>
      <c r="AF434" s="11">
        <v>0.39</v>
      </c>
    </row>
    <row r="435" spans="1:32" x14ac:dyDescent="0.3">
      <c r="A435" t="s">
        <v>66</v>
      </c>
      <c r="B435" t="s">
        <v>13</v>
      </c>
      <c r="C435">
        <v>-1.03</v>
      </c>
      <c r="D435">
        <v>319.33</v>
      </c>
      <c r="E435">
        <v>1.52</v>
      </c>
      <c r="F435">
        <v>1.95</v>
      </c>
      <c r="G435">
        <v>0.6</v>
      </c>
      <c r="H435">
        <v>1.85</v>
      </c>
      <c r="I435">
        <v>2.25</v>
      </c>
      <c r="J435">
        <v>72.900000000000006</v>
      </c>
      <c r="K435" t="s">
        <v>55</v>
      </c>
      <c r="L435" t="s">
        <v>51</v>
      </c>
      <c r="M435">
        <v>3</v>
      </c>
      <c r="N435">
        <v>27.222000000000001</v>
      </c>
      <c r="O435">
        <v>0</v>
      </c>
      <c r="P435" s="13">
        <v>1.5189999999999999</v>
      </c>
      <c r="Q435" t="s">
        <v>52</v>
      </c>
      <c r="R435">
        <v>70</v>
      </c>
      <c r="S435">
        <v>24</v>
      </c>
      <c r="T435" t="s">
        <v>164</v>
      </c>
      <c r="U435" t="s">
        <v>164</v>
      </c>
      <c r="V435" s="7">
        <v>0.77693441175088462</v>
      </c>
      <c r="W435">
        <v>122</v>
      </c>
      <c r="X435" t="s">
        <v>166</v>
      </c>
      <c r="Y435">
        <v>23.7</v>
      </c>
      <c r="Z435">
        <v>9.4</v>
      </c>
      <c r="AA435">
        <v>6.7</v>
      </c>
      <c r="AB435">
        <v>25</v>
      </c>
      <c r="AC435" s="21">
        <f>12.5/60</f>
        <v>0.20833333333333334</v>
      </c>
      <c r="AD435">
        <v>2</v>
      </c>
      <c r="AE435">
        <v>20</v>
      </c>
      <c r="AF435" s="11">
        <v>0.41</v>
      </c>
    </row>
    <row r="436" spans="1:32" x14ac:dyDescent="0.3">
      <c r="A436" t="s">
        <v>66</v>
      </c>
      <c r="B436" t="s">
        <v>13</v>
      </c>
      <c r="C436">
        <v>-1.03</v>
      </c>
      <c r="D436">
        <v>319.33</v>
      </c>
      <c r="E436">
        <v>1.52</v>
      </c>
      <c r="F436">
        <v>1.95</v>
      </c>
      <c r="G436">
        <v>0.6</v>
      </c>
      <c r="H436">
        <v>1.85</v>
      </c>
      <c r="I436">
        <v>2.25</v>
      </c>
      <c r="J436">
        <v>72.900000000000006</v>
      </c>
      <c r="K436" t="s">
        <v>55</v>
      </c>
      <c r="L436" t="s">
        <v>51</v>
      </c>
      <c r="M436">
        <v>3</v>
      </c>
      <c r="N436">
        <v>27.222000000000001</v>
      </c>
      <c r="O436">
        <v>0</v>
      </c>
      <c r="P436" s="13">
        <v>1.5189999999999999</v>
      </c>
      <c r="Q436" t="s">
        <v>52</v>
      </c>
      <c r="R436">
        <v>70</v>
      </c>
      <c r="S436">
        <v>24</v>
      </c>
      <c r="T436" t="s">
        <v>164</v>
      </c>
      <c r="U436" t="s">
        <v>164</v>
      </c>
      <c r="V436" s="7">
        <v>0.77693441175088462</v>
      </c>
      <c r="W436">
        <v>122</v>
      </c>
      <c r="X436" t="s">
        <v>166</v>
      </c>
      <c r="Y436">
        <v>23.7</v>
      </c>
      <c r="Z436">
        <v>9.4</v>
      </c>
      <c r="AA436">
        <v>6.7</v>
      </c>
      <c r="AB436">
        <v>25</v>
      </c>
      <c r="AC436" s="21">
        <f>20/60</f>
        <v>0.33333333333333331</v>
      </c>
      <c r="AD436">
        <v>2</v>
      </c>
      <c r="AE436">
        <v>20</v>
      </c>
      <c r="AF436" s="11">
        <v>0.43</v>
      </c>
    </row>
    <row r="437" spans="1:32" x14ac:dyDescent="0.3">
      <c r="A437" t="s">
        <v>66</v>
      </c>
      <c r="B437" t="s">
        <v>13</v>
      </c>
      <c r="C437">
        <v>-1.03</v>
      </c>
      <c r="D437">
        <v>319.33</v>
      </c>
      <c r="E437">
        <v>1.52</v>
      </c>
      <c r="F437">
        <v>1.95</v>
      </c>
      <c r="G437">
        <v>0.6</v>
      </c>
      <c r="H437">
        <v>1.85</v>
      </c>
      <c r="I437">
        <v>2.25</v>
      </c>
      <c r="J437">
        <v>72.900000000000006</v>
      </c>
      <c r="K437" t="s">
        <v>55</v>
      </c>
      <c r="L437" t="s">
        <v>51</v>
      </c>
      <c r="M437">
        <v>3</v>
      </c>
      <c r="N437">
        <v>27.222000000000001</v>
      </c>
      <c r="O437">
        <v>0</v>
      </c>
      <c r="P437" s="13">
        <v>1.5189999999999999</v>
      </c>
      <c r="Q437" t="s">
        <v>52</v>
      </c>
      <c r="R437">
        <v>70</v>
      </c>
      <c r="S437">
        <v>24</v>
      </c>
      <c r="T437" t="s">
        <v>164</v>
      </c>
      <c r="U437" t="s">
        <v>164</v>
      </c>
      <c r="V437" s="7">
        <v>0.77693441175088462</v>
      </c>
      <c r="W437">
        <v>122</v>
      </c>
      <c r="X437" t="s">
        <v>166</v>
      </c>
      <c r="Y437">
        <v>23.7</v>
      </c>
      <c r="Z437">
        <v>9.4</v>
      </c>
      <c r="AA437">
        <v>6.7</v>
      </c>
      <c r="AB437">
        <v>25</v>
      </c>
      <c r="AC437" s="21">
        <f>30/60</f>
        <v>0.5</v>
      </c>
      <c r="AD437">
        <v>2</v>
      </c>
      <c r="AE437">
        <v>20</v>
      </c>
      <c r="AF437" s="11">
        <v>0.44000000000000006</v>
      </c>
    </row>
    <row r="438" spans="1:32" x14ac:dyDescent="0.3">
      <c r="A438" t="s">
        <v>66</v>
      </c>
      <c r="B438" t="s">
        <v>13</v>
      </c>
      <c r="C438">
        <v>-1.03</v>
      </c>
      <c r="D438">
        <v>319.33</v>
      </c>
      <c r="E438">
        <v>1.52</v>
      </c>
      <c r="F438">
        <v>1.95</v>
      </c>
      <c r="G438">
        <v>0.6</v>
      </c>
      <c r="H438">
        <v>1.85</v>
      </c>
      <c r="I438">
        <v>2.25</v>
      </c>
      <c r="J438">
        <v>72.900000000000006</v>
      </c>
      <c r="K438" t="s">
        <v>55</v>
      </c>
      <c r="L438" t="s">
        <v>51</v>
      </c>
      <c r="M438">
        <v>3</v>
      </c>
      <c r="N438">
        <v>27.222000000000001</v>
      </c>
      <c r="O438">
        <v>0</v>
      </c>
      <c r="P438" s="13">
        <v>1.5189999999999999</v>
      </c>
      <c r="Q438" t="s">
        <v>52</v>
      </c>
      <c r="R438">
        <v>70</v>
      </c>
      <c r="S438">
        <v>24</v>
      </c>
      <c r="T438" t="s">
        <v>164</v>
      </c>
      <c r="U438" t="s">
        <v>164</v>
      </c>
      <c r="V438" s="7">
        <v>0.77693441175088462</v>
      </c>
      <c r="W438">
        <v>122</v>
      </c>
      <c r="X438" t="s">
        <v>166</v>
      </c>
      <c r="Y438">
        <v>23.7</v>
      </c>
      <c r="Z438">
        <v>9.4</v>
      </c>
      <c r="AA438">
        <v>6.7</v>
      </c>
      <c r="AB438">
        <v>25</v>
      </c>
      <c r="AC438" s="21">
        <f>40/60</f>
        <v>0.66666666666666663</v>
      </c>
      <c r="AD438">
        <v>2</v>
      </c>
      <c r="AE438">
        <v>20</v>
      </c>
      <c r="AF438" s="11">
        <v>0.44000000000000006</v>
      </c>
    </row>
    <row r="439" spans="1:32" x14ac:dyDescent="0.3">
      <c r="A439" t="s">
        <v>66</v>
      </c>
      <c r="B439" t="s">
        <v>13</v>
      </c>
      <c r="C439">
        <v>-1.03</v>
      </c>
      <c r="D439">
        <v>319.33</v>
      </c>
      <c r="E439">
        <v>1.52</v>
      </c>
      <c r="F439">
        <v>1.95</v>
      </c>
      <c r="G439">
        <v>0.6</v>
      </c>
      <c r="H439">
        <v>1.85</v>
      </c>
      <c r="I439">
        <v>2.25</v>
      </c>
      <c r="J439">
        <v>72.900000000000006</v>
      </c>
      <c r="K439" t="s">
        <v>55</v>
      </c>
      <c r="L439" t="s">
        <v>51</v>
      </c>
      <c r="M439">
        <v>3</v>
      </c>
      <c r="N439">
        <v>27.222000000000001</v>
      </c>
      <c r="O439">
        <v>0</v>
      </c>
      <c r="P439" s="13">
        <v>1.5189999999999999</v>
      </c>
      <c r="Q439" t="s">
        <v>52</v>
      </c>
      <c r="R439">
        <v>70</v>
      </c>
      <c r="S439">
        <v>24</v>
      </c>
      <c r="T439" t="s">
        <v>164</v>
      </c>
      <c r="U439" t="s">
        <v>164</v>
      </c>
      <c r="V439" s="7">
        <v>0.77693441175088462</v>
      </c>
      <c r="W439">
        <v>122</v>
      </c>
      <c r="X439" t="s">
        <v>166</v>
      </c>
      <c r="Y439">
        <v>23.7</v>
      </c>
      <c r="Z439">
        <v>9.4</v>
      </c>
      <c r="AA439">
        <v>6.7</v>
      </c>
      <c r="AB439">
        <v>25</v>
      </c>
      <c r="AC439" s="18">
        <v>1</v>
      </c>
      <c r="AD439">
        <v>2</v>
      </c>
      <c r="AE439">
        <v>20</v>
      </c>
      <c r="AF439" s="11">
        <v>0.45</v>
      </c>
    </row>
    <row r="440" spans="1:32" x14ac:dyDescent="0.3">
      <c r="A440" t="s">
        <v>66</v>
      </c>
      <c r="B440" t="s">
        <v>13</v>
      </c>
      <c r="C440">
        <v>-1.03</v>
      </c>
      <c r="D440">
        <v>319.33</v>
      </c>
      <c r="E440">
        <v>1.52</v>
      </c>
      <c r="F440">
        <v>1.95</v>
      </c>
      <c r="G440">
        <v>0.6</v>
      </c>
      <c r="H440">
        <v>1.85</v>
      </c>
      <c r="I440">
        <v>2.25</v>
      </c>
      <c r="J440">
        <v>72.900000000000006</v>
      </c>
      <c r="K440" t="s">
        <v>55</v>
      </c>
      <c r="L440" t="s">
        <v>51</v>
      </c>
      <c r="M440">
        <v>3</v>
      </c>
      <c r="N440">
        <v>27.222000000000001</v>
      </c>
      <c r="O440">
        <v>0</v>
      </c>
      <c r="P440" s="13">
        <v>1.5189999999999999</v>
      </c>
      <c r="Q440" t="s">
        <v>52</v>
      </c>
      <c r="R440">
        <v>70</v>
      </c>
      <c r="S440">
        <v>24</v>
      </c>
      <c r="T440" t="s">
        <v>164</v>
      </c>
      <c r="U440" t="s">
        <v>164</v>
      </c>
      <c r="V440" s="7">
        <v>0.77693441175088462</v>
      </c>
      <c r="W440">
        <v>122</v>
      </c>
      <c r="X440" t="s">
        <v>166</v>
      </c>
      <c r="Y440">
        <v>23.7</v>
      </c>
      <c r="Z440">
        <v>9.4</v>
      </c>
      <c r="AA440">
        <v>6.7</v>
      </c>
      <c r="AB440">
        <v>25</v>
      </c>
      <c r="AC440" s="20">
        <v>1.5</v>
      </c>
      <c r="AD440">
        <v>2</v>
      </c>
      <c r="AE440">
        <v>20</v>
      </c>
      <c r="AF440" s="11">
        <v>0.45</v>
      </c>
    </row>
    <row r="441" spans="1:32" x14ac:dyDescent="0.3">
      <c r="A441" t="s">
        <v>66</v>
      </c>
      <c r="B441" t="s">
        <v>13</v>
      </c>
      <c r="C441">
        <v>-1.03</v>
      </c>
      <c r="D441">
        <v>319.33</v>
      </c>
      <c r="E441">
        <v>1.52</v>
      </c>
      <c r="F441">
        <v>1.95</v>
      </c>
      <c r="G441">
        <v>0.6</v>
      </c>
      <c r="H441">
        <v>1.85</v>
      </c>
      <c r="I441">
        <v>2.25</v>
      </c>
      <c r="J441">
        <v>72.900000000000006</v>
      </c>
      <c r="K441" t="s">
        <v>55</v>
      </c>
      <c r="L441" t="s">
        <v>51</v>
      </c>
      <c r="M441">
        <v>3</v>
      </c>
      <c r="N441">
        <v>27.222000000000001</v>
      </c>
      <c r="O441">
        <v>0</v>
      </c>
      <c r="P441" s="13">
        <v>1.5189999999999999</v>
      </c>
      <c r="Q441" t="s">
        <v>52</v>
      </c>
      <c r="R441">
        <v>70</v>
      </c>
      <c r="S441">
        <v>24</v>
      </c>
      <c r="T441" t="s">
        <v>164</v>
      </c>
      <c r="U441" t="s">
        <v>164</v>
      </c>
      <c r="V441" s="7">
        <v>0.77693441175088462</v>
      </c>
      <c r="W441">
        <v>122</v>
      </c>
      <c r="X441" t="s">
        <v>166</v>
      </c>
      <c r="Y441">
        <v>23.7</v>
      </c>
      <c r="Z441">
        <v>9.4</v>
      </c>
      <c r="AA441">
        <v>6.7</v>
      </c>
      <c r="AB441">
        <v>25</v>
      </c>
      <c r="AC441" s="18">
        <f>120/60</f>
        <v>2</v>
      </c>
      <c r="AD441">
        <v>2</v>
      </c>
      <c r="AE441">
        <v>20</v>
      </c>
      <c r="AF441" s="11">
        <v>0.45</v>
      </c>
    </row>
    <row r="442" spans="1:32" x14ac:dyDescent="0.3">
      <c r="A442" t="s">
        <v>66</v>
      </c>
      <c r="B442" t="s">
        <v>13</v>
      </c>
      <c r="C442">
        <v>-1.03</v>
      </c>
      <c r="D442">
        <v>319.33</v>
      </c>
      <c r="E442">
        <v>1.52</v>
      </c>
      <c r="F442">
        <v>1.95</v>
      </c>
      <c r="G442">
        <v>0.6</v>
      </c>
      <c r="H442">
        <v>1.85</v>
      </c>
      <c r="I442">
        <v>2.25</v>
      </c>
      <c r="J442">
        <v>72.900000000000006</v>
      </c>
      <c r="K442" t="s">
        <v>55</v>
      </c>
      <c r="L442" t="s">
        <v>51</v>
      </c>
      <c r="M442">
        <v>3</v>
      </c>
      <c r="N442">
        <v>27.222000000000001</v>
      </c>
      <c r="O442">
        <v>0</v>
      </c>
      <c r="P442" s="13">
        <v>1.5189999999999999</v>
      </c>
      <c r="Q442" t="s">
        <v>52</v>
      </c>
      <c r="R442">
        <v>70</v>
      </c>
      <c r="S442">
        <v>24</v>
      </c>
      <c r="T442" t="s">
        <v>164</v>
      </c>
      <c r="U442" t="s">
        <v>164</v>
      </c>
      <c r="V442" s="7">
        <v>0.77693441175088462</v>
      </c>
      <c r="W442">
        <v>122</v>
      </c>
      <c r="X442" t="s">
        <v>166</v>
      </c>
      <c r="Y442">
        <v>23.7</v>
      </c>
      <c r="Z442">
        <v>9.4</v>
      </c>
      <c r="AA442">
        <v>6.7</v>
      </c>
      <c r="AB442">
        <v>25</v>
      </c>
      <c r="AC442" s="20">
        <f>150/60</f>
        <v>2.5</v>
      </c>
      <c r="AD442">
        <v>2</v>
      </c>
      <c r="AE442">
        <v>20</v>
      </c>
      <c r="AF442" s="11">
        <v>0.45</v>
      </c>
    </row>
    <row r="443" spans="1:32" x14ac:dyDescent="0.3">
      <c r="A443" t="s">
        <v>66</v>
      </c>
      <c r="B443" t="s">
        <v>13</v>
      </c>
      <c r="C443">
        <v>-1.03</v>
      </c>
      <c r="D443">
        <v>319.33</v>
      </c>
      <c r="E443">
        <v>1.52</v>
      </c>
      <c r="F443">
        <v>1.95</v>
      </c>
      <c r="G443">
        <v>0.6</v>
      </c>
      <c r="H443">
        <v>1.85</v>
      </c>
      <c r="I443">
        <v>2.25</v>
      </c>
      <c r="J443">
        <v>72.900000000000006</v>
      </c>
      <c r="K443" t="s">
        <v>55</v>
      </c>
      <c r="L443" t="s">
        <v>51</v>
      </c>
      <c r="M443">
        <v>3</v>
      </c>
      <c r="N443">
        <v>27.222000000000001</v>
      </c>
      <c r="O443">
        <v>0</v>
      </c>
      <c r="P443" s="13">
        <v>1.5189999999999999</v>
      </c>
      <c r="Q443" t="s">
        <v>52</v>
      </c>
      <c r="R443">
        <v>70</v>
      </c>
      <c r="S443">
        <v>24</v>
      </c>
      <c r="T443" t="s">
        <v>164</v>
      </c>
      <c r="U443" t="s">
        <v>164</v>
      </c>
      <c r="V443" s="7">
        <v>0.77693441175088462</v>
      </c>
      <c r="W443">
        <v>122</v>
      </c>
      <c r="X443" t="s">
        <v>166</v>
      </c>
      <c r="Y443">
        <v>23.7</v>
      </c>
      <c r="Z443">
        <v>9.4</v>
      </c>
      <c r="AA443">
        <v>6.7</v>
      </c>
      <c r="AB443">
        <v>25</v>
      </c>
      <c r="AC443" s="18">
        <f>180/60</f>
        <v>3</v>
      </c>
      <c r="AD443">
        <v>2</v>
      </c>
      <c r="AE443">
        <v>20</v>
      </c>
      <c r="AF443" s="11">
        <v>0.45</v>
      </c>
    </row>
    <row r="444" spans="1:32" x14ac:dyDescent="0.3">
      <c r="A444" t="s">
        <v>66</v>
      </c>
      <c r="B444" t="s">
        <v>13</v>
      </c>
      <c r="C444">
        <v>-1.03</v>
      </c>
      <c r="D444">
        <v>319.33</v>
      </c>
      <c r="E444">
        <v>1.52</v>
      </c>
      <c r="F444">
        <v>1.95</v>
      </c>
      <c r="G444">
        <v>0.6</v>
      </c>
      <c r="H444">
        <v>1.85</v>
      </c>
      <c r="I444">
        <v>2.25</v>
      </c>
      <c r="J444">
        <v>72.900000000000006</v>
      </c>
      <c r="K444" t="s">
        <v>55</v>
      </c>
      <c r="L444" t="s">
        <v>51</v>
      </c>
      <c r="M444">
        <v>4</v>
      </c>
      <c r="N444">
        <v>24.838999999999999</v>
      </c>
      <c r="O444">
        <v>0</v>
      </c>
      <c r="P444" s="13">
        <v>1.37</v>
      </c>
      <c r="Q444" t="s">
        <v>52</v>
      </c>
      <c r="R444">
        <v>70</v>
      </c>
      <c r="S444">
        <v>24</v>
      </c>
      <c r="T444" t="s">
        <v>164</v>
      </c>
      <c r="U444" t="s">
        <v>164</v>
      </c>
      <c r="V444" s="7">
        <v>0.78867817827995368</v>
      </c>
      <c r="W444">
        <v>134.1</v>
      </c>
      <c r="X444" t="s">
        <v>166</v>
      </c>
      <c r="Y444">
        <v>29</v>
      </c>
      <c r="Z444">
        <v>9.3000000000000007</v>
      </c>
      <c r="AA444">
        <v>6.7</v>
      </c>
      <c r="AB444">
        <v>25</v>
      </c>
      <c r="AC444" s="21">
        <f>1/60</f>
        <v>1.6666666666666666E-2</v>
      </c>
      <c r="AD444">
        <v>2</v>
      </c>
      <c r="AE444">
        <v>20</v>
      </c>
      <c r="AF444" s="11">
        <v>0.24000000000000005</v>
      </c>
    </row>
    <row r="445" spans="1:32" x14ac:dyDescent="0.3">
      <c r="A445" t="s">
        <v>66</v>
      </c>
      <c r="B445" t="s">
        <v>13</v>
      </c>
      <c r="C445">
        <v>-1.03</v>
      </c>
      <c r="D445">
        <v>319.33</v>
      </c>
      <c r="E445">
        <v>1.52</v>
      </c>
      <c r="F445">
        <v>1.95</v>
      </c>
      <c r="G445">
        <v>0.6</v>
      </c>
      <c r="H445">
        <v>1.85</v>
      </c>
      <c r="I445">
        <v>2.25</v>
      </c>
      <c r="J445">
        <v>72.900000000000006</v>
      </c>
      <c r="K445" t="s">
        <v>55</v>
      </c>
      <c r="L445" t="s">
        <v>51</v>
      </c>
      <c r="M445">
        <v>4</v>
      </c>
      <c r="N445">
        <v>24.838999999999999</v>
      </c>
      <c r="O445">
        <v>0</v>
      </c>
      <c r="P445" s="13">
        <v>1.37</v>
      </c>
      <c r="Q445" t="s">
        <v>52</v>
      </c>
      <c r="R445">
        <v>70</v>
      </c>
      <c r="S445">
        <v>24</v>
      </c>
      <c r="T445" t="s">
        <v>164</v>
      </c>
      <c r="U445" t="s">
        <v>164</v>
      </c>
      <c r="V445" s="7">
        <v>0.78867817827995368</v>
      </c>
      <c r="W445">
        <v>134.1</v>
      </c>
      <c r="X445" t="s">
        <v>166</v>
      </c>
      <c r="Y445">
        <v>29</v>
      </c>
      <c r="Z445">
        <v>9.3000000000000007</v>
      </c>
      <c r="AA445">
        <v>6.7</v>
      </c>
      <c r="AB445">
        <v>25</v>
      </c>
      <c r="AC445" s="21">
        <f>5/60</f>
        <v>8.3333333333333329E-2</v>
      </c>
      <c r="AD445">
        <v>2</v>
      </c>
      <c r="AE445">
        <v>20</v>
      </c>
      <c r="AF445" s="11">
        <v>0.24000000000000005</v>
      </c>
    </row>
    <row r="446" spans="1:32" x14ac:dyDescent="0.3">
      <c r="A446" t="s">
        <v>66</v>
      </c>
      <c r="B446" t="s">
        <v>13</v>
      </c>
      <c r="C446">
        <v>-1.03</v>
      </c>
      <c r="D446">
        <v>319.33</v>
      </c>
      <c r="E446">
        <v>1.52</v>
      </c>
      <c r="F446">
        <v>1.95</v>
      </c>
      <c r="G446">
        <v>0.6</v>
      </c>
      <c r="H446">
        <v>1.85</v>
      </c>
      <c r="I446">
        <v>2.25</v>
      </c>
      <c r="J446">
        <v>72.900000000000006</v>
      </c>
      <c r="K446" t="s">
        <v>55</v>
      </c>
      <c r="L446" t="s">
        <v>51</v>
      </c>
      <c r="M446">
        <v>4</v>
      </c>
      <c r="N446">
        <v>24.838999999999999</v>
      </c>
      <c r="O446">
        <v>0</v>
      </c>
      <c r="P446" s="13">
        <v>1.37</v>
      </c>
      <c r="Q446" t="s">
        <v>52</v>
      </c>
      <c r="R446">
        <v>70</v>
      </c>
      <c r="S446">
        <v>24</v>
      </c>
      <c r="T446" t="s">
        <v>164</v>
      </c>
      <c r="U446" t="s">
        <v>164</v>
      </c>
      <c r="V446" s="7">
        <v>0.78867817827995368</v>
      </c>
      <c r="W446">
        <v>134.1</v>
      </c>
      <c r="X446" t="s">
        <v>166</v>
      </c>
      <c r="Y446">
        <v>29</v>
      </c>
      <c r="Z446">
        <v>9.3000000000000007</v>
      </c>
      <c r="AA446">
        <v>6.7</v>
      </c>
      <c r="AB446">
        <v>25</v>
      </c>
      <c r="AC446" s="21">
        <f>10/60</f>
        <v>0.16666666666666666</v>
      </c>
      <c r="AD446">
        <v>2</v>
      </c>
      <c r="AE446">
        <v>20</v>
      </c>
      <c r="AF446" s="11">
        <v>0.24000000000000005</v>
      </c>
    </row>
    <row r="447" spans="1:32" x14ac:dyDescent="0.3">
      <c r="A447" t="s">
        <v>66</v>
      </c>
      <c r="B447" t="s">
        <v>13</v>
      </c>
      <c r="C447">
        <v>-1.03</v>
      </c>
      <c r="D447">
        <v>319.33</v>
      </c>
      <c r="E447">
        <v>1.52</v>
      </c>
      <c r="F447">
        <v>1.95</v>
      </c>
      <c r="G447">
        <v>0.6</v>
      </c>
      <c r="H447">
        <v>1.85</v>
      </c>
      <c r="I447">
        <v>2.25</v>
      </c>
      <c r="J447">
        <v>72.900000000000006</v>
      </c>
      <c r="K447" t="s">
        <v>55</v>
      </c>
      <c r="L447" t="s">
        <v>51</v>
      </c>
      <c r="M447">
        <v>4</v>
      </c>
      <c r="N447">
        <v>24.838999999999999</v>
      </c>
      <c r="O447">
        <v>0</v>
      </c>
      <c r="P447" s="13">
        <v>1.37</v>
      </c>
      <c r="Q447" t="s">
        <v>52</v>
      </c>
      <c r="R447">
        <v>70</v>
      </c>
      <c r="S447">
        <v>24</v>
      </c>
      <c r="T447" t="s">
        <v>164</v>
      </c>
      <c r="U447" t="s">
        <v>164</v>
      </c>
      <c r="V447" s="7">
        <v>0.78867817827995368</v>
      </c>
      <c r="W447">
        <v>134.1</v>
      </c>
      <c r="X447" t="s">
        <v>166</v>
      </c>
      <c r="Y447">
        <v>29</v>
      </c>
      <c r="Z447">
        <v>9.3000000000000007</v>
      </c>
      <c r="AA447">
        <v>6.7</v>
      </c>
      <c r="AB447">
        <v>25</v>
      </c>
      <c r="AC447" s="21">
        <f>12.5/60</f>
        <v>0.20833333333333334</v>
      </c>
      <c r="AD447">
        <v>2</v>
      </c>
      <c r="AE447">
        <v>20</v>
      </c>
      <c r="AF447" s="11">
        <v>0.25</v>
      </c>
    </row>
    <row r="448" spans="1:32" x14ac:dyDescent="0.3">
      <c r="A448" t="s">
        <v>66</v>
      </c>
      <c r="B448" t="s">
        <v>13</v>
      </c>
      <c r="C448">
        <v>-1.03</v>
      </c>
      <c r="D448">
        <v>319.33</v>
      </c>
      <c r="E448">
        <v>1.52</v>
      </c>
      <c r="F448">
        <v>1.95</v>
      </c>
      <c r="G448">
        <v>0.6</v>
      </c>
      <c r="H448">
        <v>1.85</v>
      </c>
      <c r="I448">
        <v>2.25</v>
      </c>
      <c r="J448">
        <v>72.900000000000006</v>
      </c>
      <c r="K448" t="s">
        <v>55</v>
      </c>
      <c r="L448" t="s">
        <v>51</v>
      </c>
      <c r="M448">
        <v>4</v>
      </c>
      <c r="N448">
        <v>24.838999999999999</v>
      </c>
      <c r="O448">
        <v>0</v>
      </c>
      <c r="P448" s="13">
        <v>1.37</v>
      </c>
      <c r="Q448" t="s">
        <v>52</v>
      </c>
      <c r="R448">
        <v>70</v>
      </c>
      <c r="S448">
        <v>24</v>
      </c>
      <c r="T448" t="s">
        <v>164</v>
      </c>
      <c r="U448" t="s">
        <v>164</v>
      </c>
      <c r="V448" s="7">
        <v>0.78867817827995368</v>
      </c>
      <c r="W448">
        <v>134.1</v>
      </c>
      <c r="X448" t="s">
        <v>166</v>
      </c>
      <c r="Y448">
        <v>29</v>
      </c>
      <c r="Z448">
        <v>9.3000000000000007</v>
      </c>
      <c r="AA448">
        <v>6.7</v>
      </c>
      <c r="AB448">
        <v>25</v>
      </c>
      <c r="AC448" s="21">
        <f>20/60</f>
        <v>0.33333333333333331</v>
      </c>
      <c r="AD448">
        <v>2</v>
      </c>
      <c r="AE448">
        <v>20</v>
      </c>
      <c r="AF448" s="11">
        <v>0.25</v>
      </c>
    </row>
    <row r="449" spans="1:32" x14ac:dyDescent="0.3">
      <c r="A449" t="s">
        <v>66</v>
      </c>
      <c r="B449" t="s">
        <v>13</v>
      </c>
      <c r="C449">
        <v>-1.03</v>
      </c>
      <c r="D449">
        <v>319.33</v>
      </c>
      <c r="E449">
        <v>1.52</v>
      </c>
      <c r="F449">
        <v>1.95</v>
      </c>
      <c r="G449">
        <v>0.6</v>
      </c>
      <c r="H449">
        <v>1.85</v>
      </c>
      <c r="I449">
        <v>2.25</v>
      </c>
      <c r="J449">
        <v>72.900000000000006</v>
      </c>
      <c r="K449" t="s">
        <v>55</v>
      </c>
      <c r="L449" t="s">
        <v>51</v>
      </c>
      <c r="M449">
        <v>4</v>
      </c>
      <c r="N449">
        <v>24.838999999999999</v>
      </c>
      <c r="O449">
        <v>0</v>
      </c>
      <c r="P449" s="13">
        <v>1.37</v>
      </c>
      <c r="Q449" t="s">
        <v>52</v>
      </c>
      <c r="R449">
        <v>70</v>
      </c>
      <c r="S449">
        <v>24</v>
      </c>
      <c r="T449" t="s">
        <v>164</v>
      </c>
      <c r="U449" t="s">
        <v>164</v>
      </c>
      <c r="V449" s="7">
        <v>0.78867817827995368</v>
      </c>
      <c r="W449">
        <v>134.1</v>
      </c>
      <c r="X449" t="s">
        <v>166</v>
      </c>
      <c r="Y449">
        <v>29</v>
      </c>
      <c r="Z449">
        <v>9.3000000000000007</v>
      </c>
      <c r="AA449">
        <v>6.7</v>
      </c>
      <c r="AB449">
        <v>25</v>
      </c>
      <c r="AC449" s="21">
        <f>30/60</f>
        <v>0.5</v>
      </c>
      <c r="AD449">
        <v>2</v>
      </c>
      <c r="AE449">
        <v>20</v>
      </c>
      <c r="AF449" s="11">
        <v>0.25</v>
      </c>
    </row>
    <row r="450" spans="1:32" x14ac:dyDescent="0.3">
      <c r="A450" t="s">
        <v>66</v>
      </c>
      <c r="B450" t="s">
        <v>13</v>
      </c>
      <c r="C450">
        <v>-1.03</v>
      </c>
      <c r="D450">
        <v>319.33</v>
      </c>
      <c r="E450">
        <v>1.52</v>
      </c>
      <c r="F450">
        <v>1.95</v>
      </c>
      <c r="G450">
        <v>0.6</v>
      </c>
      <c r="H450">
        <v>1.85</v>
      </c>
      <c r="I450">
        <v>2.25</v>
      </c>
      <c r="J450">
        <v>72.900000000000006</v>
      </c>
      <c r="K450" t="s">
        <v>55</v>
      </c>
      <c r="L450" t="s">
        <v>51</v>
      </c>
      <c r="M450">
        <v>4</v>
      </c>
      <c r="N450">
        <v>24.838999999999999</v>
      </c>
      <c r="O450">
        <v>0</v>
      </c>
      <c r="P450" s="13">
        <v>1.37</v>
      </c>
      <c r="Q450" t="s">
        <v>52</v>
      </c>
      <c r="R450">
        <v>70</v>
      </c>
      <c r="S450">
        <v>24</v>
      </c>
      <c r="T450" t="s">
        <v>164</v>
      </c>
      <c r="U450" t="s">
        <v>164</v>
      </c>
      <c r="V450" s="7">
        <v>0.78867817827995368</v>
      </c>
      <c r="W450">
        <v>134.1</v>
      </c>
      <c r="X450" t="s">
        <v>166</v>
      </c>
      <c r="Y450">
        <v>29</v>
      </c>
      <c r="Z450">
        <v>9.3000000000000007</v>
      </c>
      <c r="AA450">
        <v>6.7</v>
      </c>
      <c r="AB450">
        <v>25</v>
      </c>
      <c r="AC450" s="21">
        <f>40/60</f>
        <v>0.66666666666666663</v>
      </c>
      <c r="AD450">
        <v>2</v>
      </c>
      <c r="AE450">
        <v>20</v>
      </c>
      <c r="AF450" s="11">
        <v>0.25</v>
      </c>
    </row>
    <row r="451" spans="1:32" x14ac:dyDescent="0.3">
      <c r="A451" t="s">
        <v>66</v>
      </c>
      <c r="B451" t="s">
        <v>13</v>
      </c>
      <c r="C451">
        <v>-1.03</v>
      </c>
      <c r="D451">
        <v>319.33</v>
      </c>
      <c r="E451">
        <v>1.52</v>
      </c>
      <c r="F451">
        <v>1.95</v>
      </c>
      <c r="G451">
        <v>0.6</v>
      </c>
      <c r="H451">
        <v>1.85</v>
      </c>
      <c r="I451">
        <v>2.25</v>
      </c>
      <c r="J451">
        <v>72.900000000000006</v>
      </c>
      <c r="K451" t="s">
        <v>55</v>
      </c>
      <c r="L451" t="s">
        <v>51</v>
      </c>
      <c r="M451">
        <v>4</v>
      </c>
      <c r="N451">
        <v>24.838999999999999</v>
      </c>
      <c r="O451">
        <v>0</v>
      </c>
      <c r="P451" s="13">
        <v>1.37</v>
      </c>
      <c r="Q451" t="s">
        <v>52</v>
      </c>
      <c r="R451">
        <v>70</v>
      </c>
      <c r="S451">
        <v>24</v>
      </c>
      <c r="T451" t="s">
        <v>164</v>
      </c>
      <c r="U451" t="s">
        <v>164</v>
      </c>
      <c r="V451" s="7">
        <v>0.78867817827995368</v>
      </c>
      <c r="W451">
        <v>134.1</v>
      </c>
      <c r="X451" t="s">
        <v>166</v>
      </c>
      <c r="Y451">
        <v>29</v>
      </c>
      <c r="Z451">
        <v>9.3000000000000007</v>
      </c>
      <c r="AA451">
        <v>6.7</v>
      </c>
      <c r="AB451">
        <v>25</v>
      </c>
      <c r="AC451" s="18">
        <v>1</v>
      </c>
      <c r="AD451">
        <v>2</v>
      </c>
      <c r="AE451">
        <v>20</v>
      </c>
      <c r="AF451" s="11">
        <v>0.25</v>
      </c>
    </row>
    <row r="452" spans="1:32" x14ac:dyDescent="0.3">
      <c r="A452" t="s">
        <v>66</v>
      </c>
      <c r="B452" t="s">
        <v>13</v>
      </c>
      <c r="C452">
        <v>-1.03</v>
      </c>
      <c r="D452">
        <v>319.33</v>
      </c>
      <c r="E452">
        <v>1.52</v>
      </c>
      <c r="F452">
        <v>1.95</v>
      </c>
      <c r="G452">
        <v>0.6</v>
      </c>
      <c r="H452">
        <v>1.85</v>
      </c>
      <c r="I452">
        <v>2.25</v>
      </c>
      <c r="J452">
        <v>72.900000000000006</v>
      </c>
      <c r="K452" t="s">
        <v>55</v>
      </c>
      <c r="L452" t="s">
        <v>51</v>
      </c>
      <c r="M452">
        <v>4</v>
      </c>
      <c r="N452">
        <v>24.838999999999999</v>
      </c>
      <c r="O452">
        <v>0</v>
      </c>
      <c r="P452" s="13">
        <v>1.37</v>
      </c>
      <c r="Q452" t="s">
        <v>52</v>
      </c>
      <c r="R452">
        <v>70</v>
      </c>
      <c r="S452">
        <v>24</v>
      </c>
      <c r="T452" t="s">
        <v>164</v>
      </c>
      <c r="U452" t="s">
        <v>164</v>
      </c>
      <c r="V452" s="7">
        <v>0.78867817827995368</v>
      </c>
      <c r="W452">
        <v>134.1</v>
      </c>
      <c r="X452" t="s">
        <v>166</v>
      </c>
      <c r="Y452">
        <v>29</v>
      </c>
      <c r="Z452">
        <v>9.3000000000000007</v>
      </c>
      <c r="AA452">
        <v>6.7</v>
      </c>
      <c r="AB452">
        <v>25</v>
      </c>
      <c r="AC452" s="20">
        <v>1.5</v>
      </c>
      <c r="AD452">
        <v>2</v>
      </c>
      <c r="AE452">
        <v>20</v>
      </c>
      <c r="AF452" s="11">
        <v>0.25</v>
      </c>
    </row>
    <row r="453" spans="1:32" x14ac:dyDescent="0.3">
      <c r="A453" t="s">
        <v>66</v>
      </c>
      <c r="B453" t="s">
        <v>13</v>
      </c>
      <c r="C453">
        <v>-1.03</v>
      </c>
      <c r="D453">
        <v>319.33</v>
      </c>
      <c r="E453">
        <v>1.52</v>
      </c>
      <c r="F453">
        <v>1.95</v>
      </c>
      <c r="G453">
        <v>0.6</v>
      </c>
      <c r="H453">
        <v>1.85</v>
      </c>
      <c r="I453">
        <v>2.25</v>
      </c>
      <c r="J453">
        <v>72.900000000000006</v>
      </c>
      <c r="K453" t="s">
        <v>55</v>
      </c>
      <c r="L453" t="s">
        <v>51</v>
      </c>
      <c r="M453">
        <v>4</v>
      </c>
      <c r="N453">
        <v>24.838999999999999</v>
      </c>
      <c r="O453">
        <v>0</v>
      </c>
      <c r="P453" s="13">
        <v>1.37</v>
      </c>
      <c r="Q453" t="s">
        <v>52</v>
      </c>
      <c r="R453">
        <v>70</v>
      </c>
      <c r="S453">
        <v>24</v>
      </c>
      <c r="T453" t="s">
        <v>164</v>
      </c>
      <c r="U453" t="s">
        <v>164</v>
      </c>
      <c r="V453" s="7">
        <v>0.78867817827995368</v>
      </c>
      <c r="W453">
        <v>134.1</v>
      </c>
      <c r="X453" t="s">
        <v>166</v>
      </c>
      <c r="Y453">
        <v>29</v>
      </c>
      <c r="Z453">
        <v>9.3000000000000007</v>
      </c>
      <c r="AA453">
        <v>6.7</v>
      </c>
      <c r="AB453">
        <v>25</v>
      </c>
      <c r="AC453" s="18">
        <f>120/60</f>
        <v>2</v>
      </c>
      <c r="AD453">
        <v>2</v>
      </c>
      <c r="AE453">
        <v>20</v>
      </c>
      <c r="AF453" s="11">
        <v>0.25</v>
      </c>
    </row>
    <row r="454" spans="1:32" x14ac:dyDescent="0.3">
      <c r="A454" t="s">
        <v>66</v>
      </c>
      <c r="B454" t="s">
        <v>13</v>
      </c>
      <c r="C454">
        <v>-1.03</v>
      </c>
      <c r="D454">
        <v>319.33</v>
      </c>
      <c r="E454">
        <v>1.52</v>
      </c>
      <c r="F454">
        <v>1.95</v>
      </c>
      <c r="G454">
        <v>0.6</v>
      </c>
      <c r="H454">
        <v>1.85</v>
      </c>
      <c r="I454">
        <v>2.25</v>
      </c>
      <c r="J454">
        <v>72.900000000000006</v>
      </c>
      <c r="K454" t="s">
        <v>55</v>
      </c>
      <c r="L454" t="s">
        <v>51</v>
      </c>
      <c r="M454">
        <v>4</v>
      </c>
      <c r="N454">
        <v>24.838999999999999</v>
      </c>
      <c r="O454">
        <v>0</v>
      </c>
      <c r="P454" s="13">
        <v>1.37</v>
      </c>
      <c r="Q454" t="s">
        <v>52</v>
      </c>
      <c r="R454">
        <v>70</v>
      </c>
      <c r="S454">
        <v>24</v>
      </c>
      <c r="T454" t="s">
        <v>164</v>
      </c>
      <c r="U454" t="s">
        <v>164</v>
      </c>
      <c r="V454" s="7">
        <v>0.78867817827995368</v>
      </c>
      <c r="W454">
        <v>134.1</v>
      </c>
      <c r="X454" t="s">
        <v>166</v>
      </c>
      <c r="Y454">
        <v>29</v>
      </c>
      <c r="Z454">
        <v>9.3000000000000007</v>
      </c>
      <c r="AA454">
        <v>6.7</v>
      </c>
      <c r="AB454">
        <v>25</v>
      </c>
      <c r="AC454" s="20">
        <f>150/60</f>
        <v>2.5</v>
      </c>
      <c r="AD454">
        <v>2</v>
      </c>
      <c r="AE454">
        <v>20</v>
      </c>
      <c r="AF454" s="11">
        <v>0.25</v>
      </c>
    </row>
    <row r="455" spans="1:32" x14ac:dyDescent="0.3">
      <c r="A455" t="s">
        <v>66</v>
      </c>
      <c r="B455" t="s">
        <v>13</v>
      </c>
      <c r="C455">
        <v>-1.03</v>
      </c>
      <c r="D455">
        <v>319.33</v>
      </c>
      <c r="E455">
        <v>1.52</v>
      </c>
      <c r="F455">
        <v>1.95</v>
      </c>
      <c r="G455">
        <v>0.6</v>
      </c>
      <c r="H455">
        <v>1.85</v>
      </c>
      <c r="I455">
        <v>2.25</v>
      </c>
      <c r="J455">
        <v>72.900000000000006</v>
      </c>
      <c r="K455" t="s">
        <v>55</v>
      </c>
      <c r="L455" t="s">
        <v>51</v>
      </c>
      <c r="M455">
        <v>4</v>
      </c>
      <c r="N455">
        <v>24.838999999999999</v>
      </c>
      <c r="O455">
        <v>0</v>
      </c>
      <c r="P455" s="13">
        <v>1.37</v>
      </c>
      <c r="Q455" t="s">
        <v>52</v>
      </c>
      <c r="R455">
        <v>70</v>
      </c>
      <c r="S455">
        <v>24</v>
      </c>
      <c r="T455" t="s">
        <v>164</v>
      </c>
      <c r="U455" t="s">
        <v>164</v>
      </c>
      <c r="V455" s="7">
        <v>0.78867817827995368</v>
      </c>
      <c r="W455">
        <v>134.1</v>
      </c>
      <c r="X455" t="s">
        <v>166</v>
      </c>
      <c r="Y455">
        <v>29</v>
      </c>
      <c r="Z455">
        <v>9.3000000000000007</v>
      </c>
      <c r="AA455">
        <v>6.7</v>
      </c>
      <c r="AB455">
        <v>25</v>
      </c>
      <c r="AC455" s="18">
        <f>180/60</f>
        <v>3</v>
      </c>
      <c r="AD455">
        <v>2</v>
      </c>
      <c r="AE455">
        <v>20</v>
      </c>
      <c r="AF455" s="11">
        <v>0.25</v>
      </c>
    </row>
    <row r="456" spans="1:32" x14ac:dyDescent="0.3">
      <c r="A456" t="s">
        <v>66</v>
      </c>
      <c r="B456" t="s">
        <v>13</v>
      </c>
      <c r="C456">
        <v>-1.03</v>
      </c>
      <c r="D456">
        <v>319.33</v>
      </c>
      <c r="E456">
        <v>1.52</v>
      </c>
      <c r="F456">
        <v>1.95</v>
      </c>
      <c r="G456">
        <v>0.6</v>
      </c>
      <c r="H456">
        <v>1.85</v>
      </c>
      <c r="I456">
        <v>2.25</v>
      </c>
      <c r="J456">
        <v>72.900000000000006</v>
      </c>
      <c r="K456" t="s">
        <v>55</v>
      </c>
      <c r="L456" t="s">
        <v>51</v>
      </c>
      <c r="M456">
        <v>2</v>
      </c>
      <c r="N456">
        <v>25.196000000000002</v>
      </c>
      <c r="O456">
        <v>0</v>
      </c>
      <c r="P456">
        <v>1.41</v>
      </c>
      <c r="Q456" t="s">
        <v>52</v>
      </c>
      <c r="R456">
        <v>70</v>
      </c>
      <c r="S456">
        <v>24</v>
      </c>
      <c r="T456" t="s">
        <v>164</v>
      </c>
      <c r="U456" t="s">
        <v>164</v>
      </c>
      <c r="V456" s="7">
        <v>0.76224839171129977</v>
      </c>
      <c r="W456">
        <v>88.3</v>
      </c>
      <c r="X456" t="s">
        <v>166</v>
      </c>
      <c r="Y456">
        <v>25.9</v>
      </c>
      <c r="Z456">
        <v>9.1999999999999993</v>
      </c>
      <c r="AA456">
        <v>3</v>
      </c>
      <c r="AB456">
        <v>25</v>
      </c>
      <c r="AC456" s="18">
        <v>1</v>
      </c>
      <c r="AD456">
        <v>2</v>
      </c>
      <c r="AE456">
        <v>20</v>
      </c>
      <c r="AF456" s="11">
        <v>0.55000000000000004</v>
      </c>
    </row>
    <row r="457" spans="1:32" x14ac:dyDescent="0.3">
      <c r="A457" t="s">
        <v>66</v>
      </c>
      <c r="B457" t="s">
        <v>13</v>
      </c>
      <c r="C457">
        <v>-1.03</v>
      </c>
      <c r="D457">
        <v>319.33</v>
      </c>
      <c r="E457">
        <v>1.52</v>
      </c>
      <c r="F457">
        <v>1.95</v>
      </c>
      <c r="G457">
        <v>0.6</v>
      </c>
      <c r="H457">
        <v>1.85</v>
      </c>
      <c r="I457">
        <v>2.25</v>
      </c>
      <c r="J457">
        <v>72.900000000000006</v>
      </c>
      <c r="K457" t="s">
        <v>55</v>
      </c>
      <c r="L457" t="s">
        <v>51</v>
      </c>
      <c r="M457">
        <v>2</v>
      </c>
      <c r="N457">
        <v>25.196000000000002</v>
      </c>
      <c r="O457">
        <v>0</v>
      </c>
      <c r="P457">
        <v>1.41</v>
      </c>
      <c r="Q457" t="s">
        <v>52</v>
      </c>
      <c r="R457">
        <v>70</v>
      </c>
      <c r="S457">
        <v>24</v>
      </c>
      <c r="T457" t="s">
        <v>164</v>
      </c>
      <c r="U457" t="s">
        <v>164</v>
      </c>
      <c r="V457" s="7">
        <v>0.76224839171129977</v>
      </c>
      <c r="W457">
        <v>88.3</v>
      </c>
      <c r="X457" t="s">
        <v>166</v>
      </c>
      <c r="Y457">
        <v>25.9</v>
      </c>
      <c r="Z457">
        <v>9.1999999999999993</v>
      </c>
      <c r="AA457">
        <v>4</v>
      </c>
      <c r="AB457">
        <v>25</v>
      </c>
      <c r="AC457" s="18">
        <v>1</v>
      </c>
      <c r="AD457">
        <v>2</v>
      </c>
      <c r="AE457">
        <v>20</v>
      </c>
      <c r="AF457" s="11">
        <v>0.55999999999999983</v>
      </c>
    </row>
    <row r="458" spans="1:32" x14ac:dyDescent="0.3">
      <c r="A458" t="s">
        <v>66</v>
      </c>
      <c r="B458" t="s">
        <v>13</v>
      </c>
      <c r="C458">
        <v>-1.03</v>
      </c>
      <c r="D458">
        <v>319.33</v>
      </c>
      <c r="E458">
        <v>1.52</v>
      </c>
      <c r="F458">
        <v>1.95</v>
      </c>
      <c r="G458">
        <v>0.6</v>
      </c>
      <c r="H458">
        <v>1.85</v>
      </c>
      <c r="I458">
        <v>2.25</v>
      </c>
      <c r="J458">
        <v>72.900000000000006</v>
      </c>
      <c r="K458" t="s">
        <v>55</v>
      </c>
      <c r="L458" t="s">
        <v>51</v>
      </c>
      <c r="M458">
        <v>2</v>
      </c>
      <c r="N458">
        <v>25.196000000000002</v>
      </c>
      <c r="O458">
        <v>0</v>
      </c>
      <c r="P458">
        <v>1.41</v>
      </c>
      <c r="Q458" t="s">
        <v>52</v>
      </c>
      <c r="R458">
        <v>70</v>
      </c>
      <c r="S458">
        <v>24</v>
      </c>
      <c r="T458" t="s">
        <v>164</v>
      </c>
      <c r="U458" t="s">
        <v>164</v>
      </c>
      <c r="V458" s="7">
        <v>0.76224839171129977</v>
      </c>
      <c r="W458">
        <v>88.3</v>
      </c>
      <c r="X458" t="s">
        <v>166</v>
      </c>
      <c r="Y458">
        <v>25.9</v>
      </c>
      <c r="Z458">
        <v>9.1999999999999993</v>
      </c>
      <c r="AA458">
        <v>5</v>
      </c>
      <c r="AB458">
        <v>25</v>
      </c>
      <c r="AC458" s="18">
        <v>1</v>
      </c>
      <c r="AD458">
        <v>2</v>
      </c>
      <c r="AE458">
        <v>20</v>
      </c>
      <c r="AF458" s="11">
        <v>0.57000000000000006</v>
      </c>
    </row>
    <row r="459" spans="1:32" x14ac:dyDescent="0.3">
      <c r="A459" t="s">
        <v>66</v>
      </c>
      <c r="B459" t="s">
        <v>13</v>
      </c>
      <c r="C459">
        <v>-1.03</v>
      </c>
      <c r="D459">
        <v>319.33</v>
      </c>
      <c r="E459">
        <v>1.52</v>
      </c>
      <c r="F459">
        <v>1.95</v>
      </c>
      <c r="G459">
        <v>0.6</v>
      </c>
      <c r="H459">
        <v>1.85</v>
      </c>
      <c r="I459">
        <v>2.25</v>
      </c>
      <c r="J459">
        <v>72.900000000000006</v>
      </c>
      <c r="K459" t="s">
        <v>55</v>
      </c>
      <c r="L459" t="s">
        <v>51</v>
      </c>
      <c r="M459">
        <v>2</v>
      </c>
      <c r="N459">
        <v>25.196000000000002</v>
      </c>
      <c r="O459">
        <v>0</v>
      </c>
      <c r="P459">
        <v>1.41</v>
      </c>
      <c r="Q459" t="s">
        <v>52</v>
      </c>
      <c r="R459">
        <v>70</v>
      </c>
      <c r="S459">
        <v>24</v>
      </c>
      <c r="T459" t="s">
        <v>164</v>
      </c>
      <c r="U459" t="s">
        <v>164</v>
      </c>
      <c r="V459" s="7">
        <v>0.76224839171129977</v>
      </c>
      <c r="W459">
        <v>88.3</v>
      </c>
      <c r="X459" t="s">
        <v>166</v>
      </c>
      <c r="Y459">
        <v>25.9</v>
      </c>
      <c r="Z459">
        <v>9.1999999999999993</v>
      </c>
      <c r="AA459">
        <v>7</v>
      </c>
      <c r="AB459">
        <v>25</v>
      </c>
      <c r="AC459" s="18">
        <v>1</v>
      </c>
      <c r="AD459">
        <v>2</v>
      </c>
      <c r="AE459">
        <v>20</v>
      </c>
      <c r="AF459" s="11">
        <v>0.60000000000000009</v>
      </c>
    </row>
    <row r="460" spans="1:32" x14ac:dyDescent="0.3">
      <c r="A460" t="s">
        <v>66</v>
      </c>
      <c r="B460" t="s">
        <v>13</v>
      </c>
      <c r="C460">
        <v>-1.03</v>
      </c>
      <c r="D460">
        <v>319.33</v>
      </c>
      <c r="E460">
        <v>1.52</v>
      </c>
      <c r="F460">
        <v>1.95</v>
      </c>
      <c r="G460">
        <v>0.6</v>
      </c>
      <c r="H460">
        <v>1.85</v>
      </c>
      <c r="I460">
        <v>2.25</v>
      </c>
      <c r="J460">
        <v>72.900000000000006</v>
      </c>
      <c r="K460" t="s">
        <v>55</v>
      </c>
      <c r="L460" t="s">
        <v>51</v>
      </c>
      <c r="M460">
        <v>2</v>
      </c>
      <c r="N460">
        <v>25.196000000000002</v>
      </c>
      <c r="O460">
        <v>0</v>
      </c>
      <c r="P460">
        <v>1.41</v>
      </c>
      <c r="Q460" t="s">
        <v>52</v>
      </c>
      <c r="R460">
        <v>70</v>
      </c>
      <c r="S460">
        <v>24</v>
      </c>
      <c r="T460" t="s">
        <v>164</v>
      </c>
      <c r="U460" t="s">
        <v>164</v>
      </c>
      <c r="V460" s="7">
        <v>0.76224839171129977</v>
      </c>
      <c r="W460">
        <v>88.3</v>
      </c>
      <c r="X460" t="s">
        <v>166</v>
      </c>
      <c r="Y460">
        <v>25.9</v>
      </c>
      <c r="Z460">
        <v>9.1999999999999993</v>
      </c>
      <c r="AA460">
        <v>8</v>
      </c>
      <c r="AB460">
        <v>25</v>
      </c>
      <c r="AC460" s="18">
        <v>1</v>
      </c>
      <c r="AD460">
        <v>2</v>
      </c>
      <c r="AE460">
        <v>20</v>
      </c>
      <c r="AF460" s="11">
        <v>0.57000000000000006</v>
      </c>
    </row>
    <row r="461" spans="1:32" x14ac:dyDescent="0.3">
      <c r="A461" t="s">
        <v>66</v>
      </c>
      <c r="B461" t="s">
        <v>13</v>
      </c>
      <c r="C461">
        <v>-1.03</v>
      </c>
      <c r="D461">
        <v>319.33</v>
      </c>
      <c r="E461">
        <v>1.52</v>
      </c>
      <c r="F461">
        <v>1.95</v>
      </c>
      <c r="G461">
        <v>0.6</v>
      </c>
      <c r="H461">
        <v>1.85</v>
      </c>
      <c r="I461">
        <v>2.25</v>
      </c>
      <c r="J461">
        <v>72.900000000000006</v>
      </c>
      <c r="K461" t="s">
        <v>55</v>
      </c>
      <c r="L461" t="s">
        <v>51</v>
      </c>
      <c r="M461">
        <v>2</v>
      </c>
      <c r="N461">
        <v>25.196000000000002</v>
      </c>
      <c r="O461">
        <v>0</v>
      </c>
      <c r="P461">
        <v>1.41</v>
      </c>
      <c r="Q461" t="s">
        <v>52</v>
      </c>
      <c r="R461">
        <v>70</v>
      </c>
      <c r="S461">
        <v>24</v>
      </c>
      <c r="T461" t="s">
        <v>164</v>
      </c>
      <c r="U461" t="s">
        <v>164</v>
      </c>
      <c r="V461" s="7">
        <v>0.76224839171129977</v>
      </c>
      <c r="W461">
        <v>88.3</v>
      </c>
      <c r="X461" t="s">
        <v>166</v>
      </c>
      <c r="Y461">
        <v>25.9</v>
      </c>
      <c r="Z461">
        <v>9.1999999999999993</v>
      </c>
      <c r="AA461">
        <v>9.5</v>
      </c>
      <c r="AB461">
        <v>25</v>
      </c>
      <c r="AC461" s="18">
        <v>1</v>
      </c>
      <c r="AD461">
        <v>2</v>
      </c>
      <c r="AE461">
        <v>20</v>
      </c>
      <c r="AF461" s="11">
        <v>0.55999999999999983</v>
      </c>
    </row>
    <row r="462" spans="1:32" x14ac:dyDescent="0.3">
      <c r="A462" t="s">
        <v>66</v>
      </c>
      <c r="B462" t="s">
        <v>13</v>
      </c>
      <c r="C462">
        <v>-1.03</v>
      </c>
      <c r="D462">
        <v>319.33</v>
      </c>
      <c r="E462">
        <v>1.52</v>
      </c>
      <c r="F462">
        <v>1.95</v>
      </c>
      <c r="G462">
        <v>0.6</v>
      </c>
      <c r="H462">
        <v>1.85</v>
      </c>
      <c r="I462">
        <v>2.25</v>
      </c>
      <c r="J462">
        <v>72.900000000000006</v>
      </c>
      <c r="K462" t="s">
        <v>55</v>
      </c>
      <c r="L462" t="s">
        <v>51</v>
      </c>
      <c r="M462">
        <v>2</v>
      </c>
      <c r="N462">
        <v>25.196000000000002</v>
      </c>
      <c r="O462">
        <v>0</v>
      </c>
      <c r="P462">
        <v>1.41</v>
      </c>
      <c r="Q462" t="s">
        <v>52</v>
      </c>
      <c r="R462">
        <v>70</v>
      </c>
      <c r="S462">
        <v>24</v>
      </c>
      <c r="T462" t="s">
        <v>164</v>
      </c>
      <c r="U462" t="s">
        <v>164</v>
      </c>
      <c r="V462" s="7">
        <v>0.76224839171129977</v>
      </c>
      <c r="W462">
        <v>88.3</v>
      </c>
      <c r="X462" t="s">
        <v>166</v>
      </c>
      <c r="Y462">
        <v>25.9</v>
      </c>
      <c r="Z462">
        <v>9.1999999999999993</v>
      </c>
      <c r="AA462">
        <v>10</v>
      </c>
      <c r="AB462">
        <v>25</v>
      </c>
      <c r="AC462" s="18">
        <v>1</v>
      </c>
      <c r="AD462">
        <v>2</v>
      </c>
      <c r="AE462">
        <v>20</v>
      </c>
      <c r="AF462" s="11">
        <v>0.55000000000000004</v>
      </c>
    </row>
    <row r="463" spans="1:32" x14ac:dyDescent="0.3">
      <c r="A463" t="s">
        <v>66</v>
      </c>
      <c r="B463" t="s">
        <v>13</v>
      </c>
      <c r="C463">
        <v>-1.03</v>
      </c>
      <c r="D463">
        <v>319.33</v>
      </c>
      <c r="E463">
        <v>1.52</v>
      </c>
      <c r="F463">
        <v>1.95</v>
      </c>
      <c r="G463">
        <v>0.6</v>
      </c>
      <c r="H463">
        <v>1.85</v>
      </c>
      <c r="I463">
        <v>2.25</v>
      </c>
      <c r="J463">
        <v>72.900000000000006</v>
      </c>
      <c r="K463" t="s">
        <v>55</v>
      </c>
      <c r="L463" t="s">
        <v>51</v>
      </c>
      <c r="M463">
        <v>2</v>
      </c>
      <c r="N463">
        <v>25.196000000000002</v>
      </c>
      <c r="O463">
        <v>0</v>
      </c>
      <c r="P463">
        <v>1.41</v>
      </c>
      <c r="Q463" t="s">
        <v>52</v>
      </c>
      <c r="R463">
        <v>70</v>
      </c>
      <c r="S463">
        <v>24</v>
      </c>
      <c r="T463" t="s">
        <v>164</v>
      </c>
      <c r="U463" t="s">
        <v>164</v>
      </c>
      <c r="V463" s="7">
        <v>0.76224839171129977</v>
      </c>
      <c r="W463">
        <v>88.3</v>
      </c>
      <c r="X463" t="s">
        <v>166</v>
      </c>
      <c r="Y463">
        <v>25.9</v>
      </c>
      <c r="Z463">
        <v>9.1999999999999993</v>
      </c>
      <c r="AA463">
        <v>11</v>
      </c>
      <c r="AB463">
        <v>25</v>
      </c>
      <c r="AC463" s="18">
        <v>1</v>
      </c>
      <c r="AD463">
        <v>2</v>
      </c>
      <c r="AE463">
        <v>20</v>
      </c>
      <c r="AF463" s="11">
        <v>0.3</v>
      </c>
    </row>
    <row r="464" spans="1:32" x14ac:dyDescent="0.3">
      <c r="A464" t="s">
        <v>66</v>
      </c>
      <c r="B464" t="s">
        <v>13</v>
      </c>
      <c r="C464">
        <v>-1.03</v>
      </c>
      <c r="D464">
        <v>319.33</v>
      </c>
      <c r="E464">
        <v>1.52</v>
      </c>
      <c r="F464">
        <v>1.95</v>
      </c>
      <c r="G464">
        <v>0.6</v>
      </c>
      <c r="H464">
        <v>1.85</v>
      </c>
      <c r="I464">
        <v>2.25</v>
      </c>
      <c r="J464">
        <v>72.900000000000006</v>
      </c>
      <c r="K464" t="s">
        <v>55</v>
      </c>
      <c r="L464" t="s">
        <v>51</v>
      </c>
      <c r="M464">
        <v>2</v>
      </c>
      <c r="N464">
        <v>25.196000000000002</v>
      </c>
      <c r="O464">
        <v>0</v>
      </c>
      <c r="P464">
        <v>1.41</v>
      </c>
      <c r="Q464" t="s">
        <v>52</v>
      </c>
      <c r="R464">
        <v>70</v>
      </c>
      <c r="S464">
        <v>24</v>
      </c>
      <c r="T464" t="s">
        <v>164</v>
      </c>
      <c r="U464" t="s">
        <v>164</v>
      </c>
      <c r="V464" s="7">
        <v>0.76224839171129977</v>
      </c>
      <c r="W464">
        <v>88.3</v>
      </c>
      <c r="X464" t="s">
        <v>166</v>
      </c>
      <c r="Y464">
        <v>25.9</v>
      </c>
      <c r="Z464">
        <v>9.1999999999999993</v>
      </c>
      <c r="AA464">
        <v>12</v>
      </c>
      <c r="AB464">
        <v>25</v>
      </c>
      <c r="AC464" s="18">
        <v>1</v>
      </c>
      <c r="AD464">
        <v>2</v>
      </c>
      <c r="AE464">
        <v>20</v>
      </c>
      <c r="AF464" s="11">
        <v>0.1</v>
      </c>
    </row>
    <row r="465" spans="1:32" x14ac:dyDescent="0.3">
      <c r="A465" t="s">
        <v>66</v>
      </c>
      <c r="B465" t="s">
        <v>13</v>
      </c>
      <c r="C465">
        <v>-1.03</v>
      </c>
      <c r="D465">
        <v>319.33</v>
      </c>
      <c r="E465">
        <v>1.52</v>
      </c>
      <c r="F465">
        <v>1.95</v>
      </c>
      <c r="G465">
        <v>0.6</v>
      </c>
      <c r="H465">
        <v>1.85</v>
      </c>
      <c r="I465">
        <v>2.25</v>
      </c>
      <c r="J465">
        <v>72.900000000000006</v>
      </c>
      <c r="K465" t="s">
        <v>55</v>
      </c>
      <c r="L465" t="s">
        <v>51</v>
      </c>
      <c r="M465">
        <v>2</v>
      </c>
      <c r="N465">
        <v>25.196000000000002</v>
      </c>
      <c r="O465">
        <v>0</v>
      </c>
      <c r="P465">
        <v>1.41</v>
      </c>
      <c r="Q465" t="s">
        <v>52</v>
      </c>
      <c r="R465">
        <v>70</v>
      </c>
      <c r="S465">
        <v>24</v>
      </c>
      <c r="T465" t="s">
        <v>164</v>
      </c>
      <c r="U465" t="s">
        <v>164</v>
      </c>
      <c r="V465" s="7">
        <v>0.77489836822718361</v>
      </c>
      <c r="W465">
        <v>17.399999999999999</v>
      </c>
      <c r="X465" t="s">
        <v>166</v>
      </c>
      <c r="Y465">
        <v>30.6</v>
      </c>
      <c r="Z465">
        <v>9</v>
      </c>
      <c r="AA465">
        <v>6.7</v>
      </c>
      <c r="AB465">
        <v>25</v>
      </c>
      <c r="AC465" s="21">
        <f>1/60</f>
        <v>1.6666666666666666E-2</v>
      </c>
      <c r="AD465">
        <v>2</v>
      </c>
      <c r="AE465">
        <v>20</v>
      </c>
      <c r="AF465" s="15">
        <v>0.7</v>
      </c>
    </row>
    <row r="466" spans="1:32" x14ac:dyDescent="0.3">
      <c r="A466" t="s">
        <v>66</v>
      </c>
      <c r="B466" t="s">
        <v>13</v>
      </c>
      <c r="C466">
        <v>-1.03</v>
      </c>
      <c r="D466">
        <v>319.33</v>
      </c>
      <c r="E466">
        <v>1.52</v>
      </c>
      <c r="F466">
        <v>1.95</v>
      </c>
      <c r="G466">
        <v>0.6</v>
      </c>
      <c r="H466">
        <v>1.85</v>
      </c>
      <c r="I466">
        <v>2.25</v>
      </c>
      <c r="J466">
        <v>72.900000000000006</v>
      </c>
      <c r="K466" t="s">
        <v>55</v>
      </c>
      <c r="L466" t="s">
        <v>51</v>
      </c>
      <c r="M466">
        <v>2</v>
      </c>
      <c r="N466">
        <v>25.196000000000002</v>
      </c>
      <c r="O466">
        <v>0</v>
      </c>
      <c r="P466">
        <v>1.41</v>
      </c>
      <c r="Q466" t="s">
        <v>52</v>
      </c>
      <c r="R466">
        <v>70</v>
      </c>
      <c r="S466">
        <v>24</v>
      </c>
      <c r="T466" t="s">
        <v>164</v>
      </c>
      <c r="U466" t="s">
        <v>164</v>
      </c>
      <c r="V466" s="7">
        <v>0.77489836822718361</v>
      </c>
      <c r="W466">
        <v>17.399999999999999</v>
      </c>
      <c r="X466" t="s">
        <v>166</v>
      </c>
      <c r="Y466">
        <v>30.6</v>
      </c>
      <c r="Z466">
        <v>9</v>
      </c>
      <c r="AA466">
        <v>6.7</v>
      </c>
      <c r="AB466">
        <v>25</v>
      </c>
      <c r="AC466" s="21">
        <f>5/60</f>
        <v>8.3333333333333329E-2</v>
      </c>
      <c r="AD466">
        <v>2</v>
      </c>
      <c r="AE466">
        <v>20</v>
      </c>
      <c r="AF466" s="11">
        <v>0.79</v>
      </c>
    </row>
    <row r="467" spans="1:32" x14ac:dyDescent="0.3">
      <c r="A467" t="s">
        <v>66</v>
      </c>
      <c r="B467" t="s">
        <v>13</v>
      </c>
      <c r="C467">
        <v>-1.03</v>
      </c>
      <c r="D467">
        <v>319.33</v>
      </c>
      <c r="E467">
        <v>1.52</v>
      </c>
      <c r="F467">
        <v>1.95</v>
      </c>
      <c r="G467">
        <v>0.6</v>
      </c>
      <c r="H467">
        <v>1.85</v>
      </c>
      <c r="I467">
        <v>2.25</v>
      </c>
      <c r="J467">
        <v>72.900000000000006</v>
      </c>
      <c r="K467" t="s">
        <v>55</v>
      </c>
      <c r="L467" t="s">
        <v>51</v>
      </c>
      <c r="M467">
        <v>2</v>
      </c>
      <c r="N467">
        <v>25.196000000000002</v>
      </c>
      <c r="O467">
        <v>0</v>
      </c>
      <c r="P467">
        <v>1.41</v>
      </c>
      <c r="Q467" t="s">
        <v>52</v>
      </c>
      <c r="R467">
        <v>70</v>
      </c>
      <c r="S467">
        <v>24</v>
      </c>
      <c r="T467" t="s">
        <v>164</v>
      </c>
      <c r="U467" t="s">
        <v>164</v>
      </c>
      <c r="V467" s="7">
        <v>0.77489836822718361</v>
      </c>
      <c r="W467">
        <v>17.399999999999999</v>
      </c>
      <c r="X467" t="s">
        <v>166</v>
      </c>
      <c r="Y467">
        <v>30.6</v>
      </c>
      <c r="Z467">
        <v>9</v>
      </c>
      <c r="AA467">
        <v>6.7</v>
      </c>
      <c r="AB467">
        <v>25</v>
      </c>
      <c r="AC467" s="21">
        <f>10/60</f>
        <v>0.16666666666666666</v>
      </c>
      <c r="AD467">
        <v>2</v>
      </c>
      <c r="AE467">
        <v>20</v>
      </c>
      <c r="AF467" s="11">
        <v>0.82</v>
      </c>
    </row>
    <row r="468" spans="1:32" x14ac:dyDescent="0.3">
      <c r="A468" t="s">
        <v>66</v>
      </c>
      <c r="B468" t="s">
        <v>13</v>
      </c>
      <c r="C468">
        <v>-1.03</v>
      </c>
      <c r="D468">
        <v>319.33</v>
      </c>
      <c r="E468">
        <v>1.52</v>
      </c>
      <c r="F468">
        <v>1.95</v>
      </c>
      <c r="G468">
        <v>0.6</v>
      </c>
      <c r="H468">
        <v>1.85</v>
      </c>
      <c r="I468">
        <v>2.25</v>
      </c>
      <c r="J468">
        <v>72.900000000000006</v>
      </c>
      <c r="K468" t="s">
        <v>55</v>
      </c>
      <c r="L468" t="s">
        <v>51</v>
      </c>
      <c r="M468">
        <v>2</v>
      </c>
      <c r="N468">
        <v>25.196000000000002</v>
      </c>
      <c r="O468">
        <v>0</v>
      </c>
      <c r="P468">
        <v>1.41</v>
      </c>
      <c r="Q468" t="s">
        <v>52</v>
      </c>
      <c r="R468">
        <v>70</v>
      </c>
      <c r="S468">
        <v>24</v>
      </c>
      <c r="T468" t="s">
        <v>164</v>
      </c>
      <c r="U468" t="s">
        <v>164</v>
      </c>
      <c r="V468" s="7">
        <v>0.77489836822718361</v>
      </c>
      <c r="W468">
        <v>17.399999999999999</v>
      </c>
      <c r="X468" t="s">
        <v>166</v>
      </c>
      <c r="Y468">
        <v>30.6</v>
      </c>
      <c r="Z468">
        <v>9</v>
      </c>
      <c r="AA468">
        <v>6.7</v>
      </c>
      <c r="AB468">
        <v>25</v>
      </c>
      <c r="AC468" s="21">
        <f>12.5/60</f>
        <v>0.20833333333333334</v>
      </c>
      <c r="AD468">
        <v>2</v>
      </c>
      <c r="AE468">
        <v>20</v>
      </c>
      <c r="AF468" s="11">
        <v>0.88000000000000012</v>
      </c>
    </row>
    <row r="469" spans="1:32" x14ac:dyDescent="0.3">
      <c r="A469" t="s">
        <v>66</v>
      </c>
      <c r="B469" t="s">
        <v>13</v>
      </c>
      <c r="C469">
        <v>-1.03</v>
      </c>
      <c r="D469">
        <v>319.33</v>
      </c>
      <c r="E469">
        <v>1.52</v>
      </c>
      <c r="F469">
        <v>1.95</v>
      </c>
      <c r="G469">
        <v>0.6</v>
      </c>
      <c r="H469">
        <v>1.85</v>
      </c>
      <c r="I469">
        <v>2.25</v>
      </c>
      <c r="J469">
        <v>72.900000000000006</v>
      </c>
      <c r="K469" t="s">
        <v>55</v>
      </c>
      <c r="L469" t="s">
        <v>51</v>
      </c>
      <c r="M469">
        <v>2</v>
      </c>
      <c r="N469">
        <v>25.196000000000002</v>
      </c>
      <c r="O469">
        <v>0</v>
      </c>
      <c r="P469">
        <v>1.41</v>
      </c>
      <c r="Q469" t="s">
        <v>52</v>
      </c>
      <c r="R469">
        <v>70</v>
      </c>
      <c r="S469">
        <v>24</v>
      </c>
      <c r="T469" t="s">
        <v>164</v>
      </c>
      <c r="U469" t="s">
        <v>164</v>
      </c>
      <c r="V469" s="7">
        <v>0.77489836822718361</v>
      </c>
      <c r="W469">
        <v>17.399999999999999</v>
      </c>
      <c r="X469" t="s">
        <v>166</v>
      </c>
      <c r="Y469">
        <v>30.6</v>
      </c>
      <c r="Z469">
        <v>9</v>
      </c>
      <c r="AA469">
        <v>6.7</v>
      </c>
      <c r="AB469">
        <v>25</v>
      </c>
      <c r="AC469" s="21">
        <f>20/60</f>
        <v>0.33333333333333331</v>
      </c>
      <c r="AD469">
        <v>2</v>
      </c>
      <c r="AE469">
        <v>20</v>
      </c>
      <c r="AF469" s="11">
        <v>0.9</v>
      </c>
    </row>
    <row r="470" spans="1:32" x14ac:dyDescent="0.3">
      <c r="A470" t="s">
        <v>66</v>
      </c>
      <c r="B470" t="s">
        <v>13</v>
      </c>
      <c r="C470">
        <v>-1.03</v>
      </c>
      <c r="D470">
        <v>319.33</v>
      </c>
      <c r="E470">
        <v>1.52</v>
      </c>
      <c r="F470">
        <v>1.95</v>
      </c>
      <c r="G470">
        <v>0.6</v>
      </c>
      <c r="H470">
        <v>1.85</v>
      </c>
      <c r="I470">
        <v>2.25</v>
      </c>
      <c r="J470">
        <v>72.900000000000006</v>
      </c>
      <c r="K470" t="s">
        <v>55</v>
      </c>
      <c r="L470" t="s">
        <v>51</v>
      </c>
      <c r="M470">
        <v>2</v>
      </c>
      <c r="N470">
        <v>25.196000000000002</v>
      </c>
      <c r="O470">
        <v>0</v>
      </c>
      <c r="P470">
        <v>1.41</v>
      </c>
      <c r="Q470" t="s">
        <v>52</v>
      </c>
      <c r="R470">
        <v>70</v>
      </c>
      <c r="S470">
        <v>24</v>
      </c>
      <c r="T470" t="s">
        <v>164</v>
      </c>
      <c r="U470" t="s">
        <v>164</v>
      </c>
      <c r="V470" s="7">
        <v>0.77489836822718361</v>
      </c>
      <c r="W470">
        <v>17.399999999999999</v>
      </c>
      <c r="X470" t="s">
        <v>166</v>
      </c>
      <c r="Y470">
        <v>30.6</v>
      </c>
      <c r="Z470">
        <v>9</v>
      </c>
      <c r="AA470">
        <v>6.7</v>
      </c>
      <c r="AB470">
        <v>25</v>
      </c>
      <c r="AC470" s="21">
        <f>30/60</f>
        <v>0.5</v>
      </c>
      <c r="AD470">
        <v>2</v>
      </c>
      <c r="AE470">
        <v>20</v>
      </c>
      <c r="AF470" s="11">
        <v>0.9</v>
      </c>
    </row>
    <row r="471" spans="1:32" x14ac:dyDescent="0.3">
      <c r="A471" t="s">
        <v>66</v>
      </c>
      <c r="B471" t="s">
        <v>13</v>
      </c>
      <c r="C471">
        <v>-1.03</v>
      </c>
      <c r="D471">
        <v>319.33</v>
      </c>
      <c r="E471">
        <v>1.52</v>
      </c>
      <c r="F471">
        <v>1.95</v>
      </c>
      <c r="G471">
        <v>0.6</v>
      </c>
      <c r="H471">
        <v>1.85</v>
      </c>
      <c r="I471">
        <v>2.25</v>
      </c>
      <c r="J471">
        <v>72.900000000000006</v>
      </c>
      <c r="K471" t="s">
        <v>55</v>
      </c>
      <c r="L471" t="s">
        <v>51</v>
      </c>
      <c r="M471">
        <v>2</v>
      </c>
      <c r="N471">
        <v>25.196000000000002</v>
      </c>
      <c r="O471">
        <v>0</v>
      </c>
      <c r="P471">
        <v>1.41</v>
      </c>
      <c r="Q471" t="s">
        <v>52</v>
      </c>
      <c r="R471">
        <v>70</v>
      </c>
      <c r="S471">
        <v>24</v>
      </c>
      <c r="T471" t="s">
        <v>164</v>
      </c>
      <c r="U471" t="s">
        <v>164</v>
      </c>
      <c r="V471" s="7">
        <v>0.77489836822718361</v>
      </c>
      <c r="W471">
        <v>17.399999999999999</v>
      </c>
      <c r="X471" t="s">
        <v>166</v>
      </c>
      <c r="Y471">
        <v>30.6</v>
      </c>
      <c r="Z471">
        <v>9</v>
      </c>
      <c r="AA471">
        <v>6.7</v>
      </c>
      <c r="AB471">
        <v>25</v>
      </c>
      <c r="AC471" s="21">
        <f>40/60</f>
        <v>0.66666666666666663</v>
      </c>
      <c r="AD471">
        <v>2</v>
      </c>
      <c r="AE471">
        <v>20</v>
      </c>
      <c r="AF471" s="11">
        <v>0.9</v>
      </c>
    </row>
    <row r="472" spans="1:32" x14ac:dyDescent="0.3">
      <c r="A472" t="s">
        <v>66</v>
      </c>
      <c r="B472" t="s">
        <v>13</v>
      </c>
      <c r="C472">
        <v>-1.03</v>
      </c>
      <c r="D472">
        <v>319.33</v>
      </c>
      <c r="E472">
        <v>1.52</v>
      </c>
      <c r="F472">
        <v>1.95</v>
      </c>
      <c r="G472">
        <v>0.6</v>
      </c>
      <c r="H472">
        <v>1.85</v>
      </c>
      <c r="I472">
        <v>2.25</v>
      </c>
      <c r="J472">
        <v>72.900000000000006</v>
      </c>
      <c r="K472" t="s">
        <v>55</v>
      </c>
      <c r="L472" t="s">
        <v>51</v>
      </c>
      <c r="M472">
        <v>2</v>
      </c>
      <c r="N472">
        <v>25.196000000000002</v>
      </c>
      <c r="O472">
        <v>0</v>
      </c>
      <c r="P472">
        <v>1.41</v>
      </c>
      <c r="Q472" t="s">
        <v>52</v>
      </c>
      <c r="R472">
        <v>70</v>
      </c>
      <c r="S472">
        <v>24</v>
      </c>
      <c r="T472" t="s">
        <v>164</v>
      </c>
      <c r="U472" t="s">
        <v>164</v>
      </c>
      <c r="V472" s="7">
        <v>0.77489836822718361</v>
      </c>
      <c r="W472">
        <v>17.399999999999999</v>
      </c>
      <c r="X472" t="s">
        <v>166</v>
      </c>
      <c r="Y472">
        <v>30.6</v>
      </c>
      <c r="Z472">
        <v>9</v>
      </c>
      <c r="AA472">
        <v>6.7</v>
      </c>
      <c r="AB472">
        <v>25</v>
      </c>
      <c r="AC472" s="18">
        <v>1</v>
      </c>
      <c r="AD472">
        <v>2</v>
      </c>
      <c r="AE472">
        <v>20</v>
      </c>
      <c r="AF472" s="11">
        <v>0.88000000000000012</v>
      </c>
    </row>
    <row r="473" spans="1:32" x14ac:dyDescent="0.3">
      <c r="A473" t="s">
        <v>66</v>
      </c>
      <c r="B473" t="s">
        <v>13</v>
      </c>
      <c r="C473">
        <v>-1.03</v>
      </c>
      <c r="D473">
        <v>319.33</v>
      </c>
      <c r="E473">
        <v>1.52</v>
      </c>
      <c r="F473">
        <v>1.95</v>
      </c>
      <c r="G473">
        <v>0.6</v>
      </c>
      <c r="H473">
        <v>1.85</v>
      </c>
      <c r="I473">
        <v>2.25</v>
      </c>
      <c r="J473">
        <v>72.900000000000006</v>
      </c>
      <c r="K473" t="s">
        <v>55</v>
      </c>
      <c r="L473" t="s">
        <v>51</v>
      </c>
      <c r="M473">
        <v>2</v>
      </c>
      <c r="N473">
        <v>25.196000000000002</v>
      </c>
      <c r="O473">
        <v>0</v>
      </c>
      <c r="P473">
        <v>1.41</v>
      </c>
      <c r="Q473" t="s">
        <v>52</v>
      </c>
      <c r="R473">
        <v>70</v>
      </c>
      <c r="S473">
        <v>24</v>
      </c>
      <c r="T473" t="s">
        <v>164</v>
      </c>
      <c r="U473" t="s">
        <v>164</v>
      </c>
      <c r="V473" s="7">
        <v>0.77489836822718361</v>
      </c>
      <c r="W473">
        <v>17.399999999999999</v>
      </c>
      <c r="X473" t="s">
        <v>166</v>
      </c>
      <c r="Y473">
        <v>30.6</v>
      </c>
      <c r="Z473">
        <v>9</v>
      </c>
      <c r="AA473">
        <v>6.7</v>
      </c>
      <c r="AB473">
        <v>25</v>
      </c>
      <c r="AC473" s="20">
        <v>1.5</v>
      </c>
      <c r="AD473">
        <v>2</v>
      </c>
      <c r="AE473">
        <v>20</v>
      </c>
      <c r="AF473" s="11">
        <v>0.9</v>
      </c>
    </row>
    <row r="474" spans="1:32" x14ac:dyDescent="0.3">
      <c r="A474" t="s">
        <v>66</v>
      </c>
      <c r="B474" t="s">
        <v>13</v>
      </c>
      <c r="C474">
        <v>-1.03</v>
      </c>
      <c r="D474">
        <v>319.33</v>
      </c>
      <c r="E474">
        <v>1.52</v>
      </c>
      <c r="F474">
        <v>1.95</v>
      </c>
      <c r="G474">
        <v>0.6</v>
      </c>
      <c r="H474">
        <v>1.85</v>
      </c>
      <c r="I474">
        <v>2.25</v>
      </c>
      <c r="J474">
        <v>72.900000000000006</v>
      </c>
      <c r="K474" t="s">
        <v>55</v>
      </c>
      <c r="L474" t="s">
        <v>51</v>
      </c>
      <c r="M474">
        <v>2</v>
      </c>
      <c r="N474">
        <v>25.196000000000002</v>
      </c>
      <c r="O474">
        <v>0</v>
      </c>
      <c r="P474">
        <v>1.41</v>
      </c>
      <c r="Q474" t="s">
        <v>52</v>
      </c>
      <c r="R474">
        <v>70</v>
      </c>
      <c r="S474">
        <v>24</v>
      </c>
      <c r="T474" t="s">
        <v>164</v>
      </c>
      <c r="U474" t="s">
        <v>164</v>
      </c>
      <c r="V474" s="7">
        <v>0.77489836822718361</v>
      </c>
      <c r="W474">
        <v>17.399999999999999</v>
      </c>
      <c r="X474" t="s">
        <v>166</v>
      </c>
      <c r="Y474">
        <v>30.6</v>
      </c>
      <c r="Z474">
        <v>9</v>
      </c>
      <c r="AA474">
        <v>6.7</v>
      </c>
      <c r="AB474">
        <v>25</v>
      </c>
      <c r="AC474" s="18">
        <f>120/60</f>
        <v>2</v>
      </c>
      <c r="AD474">
        <v>2</v>
      </c>
      <c r="AE474">
        <v>20</v>
      </c>
      <c r="AF474" s="11">
        <v>0.9</v>
      </c>
    </row>
    <row r="475" spans="1:32" x14ac:dyDescent="0.3">
      <c r="A475" t="s">
        <v>66</v>
      </c>
      <c r="B475" t="s">
        <v>13</v>
      </c>
      <c r="C475">
        <v>-1.03</v>
      </c>
      <c r="D475">
        <v>319.33</v>
      </c>
      <c r="E475">
        <v>1.52</v>
      </c>
      <c r="F475">
        <v>1.95</v>
      </c>
      <c r="G475">
        <v>0.6</v>
      </c>
      <c r="H475">
        <v>1.85</v>
      </c>
      <c r="I475">
        <v>2.25</v>
      </c>
      <c r="J475">
        <v>72.900000000000006</v>
      </c>
      <c r="K475" t="s">
        <v>55</v>
      </c>
      <c r="L475" t="s">
        <v>51</v>
      </c>
      <c r="M475">
        <v>2</v>
      </c>
      <c r="N475">
        <v>25.196000000000002</v>
      </c>
      <c r="O475">
        <v>0</v>
      </c>
      <c r="P475">
        <v>1.41</v>
      </c>
      <c r="Q475" t="s">
        <v>52</v>
      </c>
      <c r="R475">
        <v>70</v>
      </c>
      <c r="S475">
        <v>24</v>
      </c>
      <c r="T475" t="s">
        <v>164</v>
      </c>
      <c r="U475" t="s">
        <v>164</v>
      </c>
      <c r="V475" s="7">
        <v>0.77489836822718361</v>
      </c>
      <c r="W475">
        <v>17.399999999999999</v>
      </c>
      <c r="X475" t="s">
        <v>166</v>
      </c>
      <c r="Y475">
        <v>30.6</v>
      </c>
      <c r="Z475">
        <v>9</v>
      </c>
      <c r="AA475">
        <v>6.7</v>
      </c>
      <c r="AB475">
        <v>25</v>
      </c>
      <c r="AC475" s="20">
        <f>150/60</f>
        <v>2.5</v>
      </c>
      <c r="AD475">
        <v>2</v>
      </c>
      <c r="AE475">
        <v>20</v>
      </c>
      <c r="AF475" s="11">
        <v>0.9</v>
      </c>
    </row>
    <row r="476" spans="1:32" x14ac:dyDescent="0.3">
      <c r="A476" t="s">
        <v>66</v>
      </c>
      <c r="B476" t="s">
        <v>13</v>
      </c>
      <c r="C476">
        <v>-1.03</v>
      </c>
      <c r="D476">
        <v>319.33</v>
      </c>
      <c r="E476">
        <v>1.52</v>
      </c>
      <c r="F476">
        <v>1.95</v>
      </c>
      <c r="G476">
        <v>0.6</v>
      </c>
      <c r="H476">
        <v>1.85</v>
      </c>
      <c r="I476">
        <v>2.25</v>
      </c>
      <c r="J476">
        <v>72.900000000000006</v>
      </c>
      <c r="K476" t="s">
        <v>55</v>
      </c>
      <c r="L476" t="s">
        <v>51</v>
      </c>
      <c r="M476">
        <v>2</v>
      </c>
      <c r="N476">
        <v>25.196000000000002</v>
      </c>
      <c r="O476">
        <v>0</v>
      </c>
      <c r="P476">
        <v>1.41</v>
      </c>
      <c r="Q476" t="s">
        <v>52</v>
      </c>
      <c r="R476">
        <v>70</v>
      </c>
      <c r="S476">
        <v>24</v>
      </c>
      <c r="T476" t="s">
        <v>164</v>
      </c>
      <c r="U476" t="s">
        <v>164</v>
      </c>
      <c r="V476" s="7">
        <v>0.77489836822718361</v>
      </c>
      <c r="W476">
        <v>17.399999999999999</v>
      </c>
      <c r="X476" t="s">
        <v>166</v>
      </c>
      <c r="Y476">
        <v>30.6</v>
      </c>
      <c r="Z476">
        <v>9</v>
      </c>
      <c r="AA476">
        <v>6.7</v>
      </c>
      <c r="AB476">
        <v>25</v>
      </c>
      <c r="AC476" s="18">
        <f>180/60</f>
        <v>3</v>
      </c>
      <c r="AD476">
        <v>2</v>
      </c>
      <c r="AE476">
        <v>20</v>
      </c>
      <c r="AF476" s="11">
        <v>0.9</v>
      </c>
    </row>
    <row r="477" spans="1:32" x14ac:dyDescent="0.3">
      <c r="A477" t="s">
        <v>66</v>
      </c>
      <c r="B477" t="s">
        <v>13</v>
      </c>
      <c r="C477">
        <v>-1.03</v>
      </c>
      <c r="D477">
        <v>319.33</v>
      </c>
      <c r="E477">
        <v>1.52</v>
      </c>
      <c r="F477">
        <v>1.95</v>
      </c>
      <c r="G477">
        <v>0.6</v>
      </c>
      <c r="H477">
        <v>1.85</v>
      </c>
      <c r="I477">
        <v>2.25</v>
      </c>
      <c r="J477">
        <v>72.900000000000006</v>
      </c>
      <c r="K477" t="s">
        <v>55</v>
      </c>
      <c r="L477" t="s">
        <v>51</v>
      </c>
      <c r="M477">
        <v>3</v>
      </c>
      <c r="N477">
        <v>27.222000000000001</v>
      </c>
      <c r="O477">
        <v>0</v>
      </c>
      <c r="P477" s="13">
        <v>1.5189999999999999</v>
      </c>
      <c r="Q477" t="s">
        <v>52</v>
      </c>
      <c r="R477">
        <v>70</v>
      </c>
      <c r="S477">
        <v>24</v>
      </c>
      <c r="T477" t="s">
        <v>164</v>
      </c>
      <c r="U477" t="s">
        <v>164</v>
      </c>
      <c r="V477" s="7">
        <v>0.77489836822718361</v>
      </c>
      <c r="W477">
        <v>17.399999999999999</v>
      </c>
      <c r="X477" t="s">
        <v>166</v>
      </c>
      <c r="Y477">
        <v>30.6</v>
      </c>
      <c r="Z477">
        <v>9</v>
      </c>
      <c r="AA477">
        <v>6.7</v>
      </c>
      <c r="AB477">
        <v>25</v>
      </c>
      <c r="AC477" s="21">
        <f>1/60</f>
        <v>1.6666666666666666E-2</v>
      </c>
      <c r="AD477">
        <v>2</v>
      </c>
      <c r="AE477">
        <v>20</v>
      </c>
      <c r="AF477" s="11">
        <v>0.45</v>
      </c>
    </row>
    <row r="478" spans="1:32" x14ac:dyDescent="0.3">
      <c r="A478" t="s">
        <v>66</v>
      </c>
      <c r="B478" t="s">
        <v>13</v>
      </c>
      <c r="C478">
        <v>-1.03</v>
      </c>
      <c r="D478">
        <v>319.33</v>
      </c>
      <c r="E478">
        <v>1.52</v>
      </c>
      <c r="F478">
        <v>1.95</v>
      </c>
      <c r="G478">
        <v>0.6</v>
      </c>
      <c r="H478">
        <v>1.85</v>
      </c>
      <c r="I478">
        <v>2.25</v>
      </c>
      <c r="J478">
        <v>72.900000000000006</v>
      </c>
      <c r="K478" t="s">
        <v>55</v>
      </c>
      <c r="L478" t="s">
        <v>51</v>
      </c>
      <c r="M478">
        <v>3</v>
      </c>
      <c r="N478">
        <v>27.222000000000001</v>
      </c>
      <c r="O478">
        <v>0</v>
      </c>
      <c r="P478" s="13">
        <v>1.5189999999999999</v>
      </c>
      <c r="Q478" t="s">
        <v>52</v>
      </c>
      <c r="R478">
        <v>70</v>
      </c>
      <c r="S478">
        <v>24</v>
      </c>
      <c r="T478" t="s">
        <v>164</v>
      </c>
      <c r="U478" t="s">
        <v>164</v>
      </c>
      <c r="V478" s="7">
        <v>0.7957544339169238</v>
      </c>
      <c r="W478">
        <v>31.2</v>
      </c>
      <c r="X478" t="s">
        <v>166</v>
      </c>
      <c r="Y478">
        <v>21.3</v>
      </c>
      <c r="Z478">
        <v>8.8000000000000007</v>
      </c>
      <c r="AA478">
        <v>6.7</v>
      </c>
      <c r="AB478">
        <v>25</v>
      </c>
      <c r="AC478" s="21">
        <f>5/60</f>
        <v>8.3333333333333329E-2</v>
      </c>
      <c r="AD478">
        <v>2</v>
      </c>
      <c r="AE478">
        <v>20</v>
      </c>
      <c r="AF478" s="11">
        <v>0.57999999999999985</v>
      </c>
    </row>
    <row r="479" spans="1:32" x14ac:dyDescent="0.3">
      <c r="A479" t="s">
        <v>66</v>
      </c>
      <c r="B479" t="s">
        <v>13</v>
      </c>
      <c r="C479">
        <v>-1.03</v>
      </c>
      <c r="D479">
        <v>319.33</v>
      </c>
      <c r="E479">
        <v>1.52</v>
      </c>
      <c r="F479">
        <v>1.95</v>
      </c>
      <c r="G479">
        <v>0.6</v>
      </c>
      <c r="H479">
        <v>1.85</v>
      </c>
      <c r="I479">
        <v>2.25</v>
      </c>
      <c r="J479">
        <v>72.900000000000006</v>
      </c>
      <c r="K479" t="s">
        <v>55</v>
      </c>
      <c r="L479" t="s">
        <v>51</v>
      </c>
      <c r="M479">
        <v>3</v>
      </c>
      <c r="N479">
        <v>27.222000000000001</v>
      </c>
      <c r="O479">
        <v>0</v>
      </c>
      <c r="P479" s="13">
        <v>1.5189999999999999</v>
      </c>
      <c r="Q479" t="s">
        <v>52</v>
      </c>
      <c r="R479">
        <v>70</v>
      </c>
      <c r="S479">
        <v>24</v>
      </c>
      <c r="T479" t="s">
        <v>164</v>
      </c>
      <c r="U479" t="s">
        <v>164</v>
      </c>
      <c r="V479" s="7">
        <v>0.7957544339169238</v>
      </c>
      <c r="W479">
        <v>31.2</v>
      </c>
      <c r="X479" t="s">
        <v>166</v>
      </c>
      <c r="Y479">
        <v>21.3</v>
      </c>
      <c r="Z479">
        <v>8.8000000000000007</v>
      </c>
      <c r="AA479">
        <v>6.7</v>
      </c>
      <c r="AB479">
        <v>25</v>
      </c>
      <c r="AC479" s="21">
        <f>10/60</f>
        <v>0.16666666666666666</v>
      </c>
      <c r="AD479">
        <v>2</v>
      </c>
      <c r="AE479">
        <v>20</v>
      </c>
      <c r="AF479" s="11">
        <v>0.65</v>
      </c>
    </row>
    <row r="480" spans="1:32" x14ac:dyDescent="0.3">
      <c r="A480" t="s">
        <v>66</v>
      </c>
      <c r="B480" t="s">
        <v>13</v>
      </c>
      <c r="C480">
        <v>-1.03</v>
      </c>
      <c r="D480">
        <v>319.33</v>
      </c>
      <c r="E480">
        <v>1.52</v>
      </c>
      <c r="F480">
        <v>1.95</v>
      </c>
      <c r="G480">
        <v>0.6</v>
      </c>
      <c r="H480">
        <v>1.85</v>
      </c>
      <c r="I480">
        <v>2.25</v>
      </c>
      <c r="J480">
        <v>72.900000000000006</v>
      </c>
      <c r="K480" t="s">
        <v>55</v>
      </c>
      <c r="L480" t="s">
        <v>51</v>
      </c>
      <c r="M480">
        <v>3</v>
      </c>
      <c r="N480">
        <v>27.222000000000001</v>
      </c>
      <c r="O480">
        <v>0</v>
      </c>
      <c r="P480" s="13">
        <v>1.5189999999999999</v>
      </c>
      <c r="Q480" t="s">
        <v>52</v>
      </c>
      <c r="R480">
        <v>70</v>
      </c>
      <c r="S480">
        <v>24</v>
      </c>
      <c r="T480" t="s">
        <v>164</v>
      </c>
      <c r="U480" t="s">
        <v>164</v>
      </c>
      <c r="V480" s="7">
        <v>0.7957544339169238</v>
      </c>
      <c r="W480">
        <v>31.2</v>
      </c>
      <c r="X480" t="s">
        <v>166</v>
      </c>
      <c r="Y480">
        <v>21.3</v>
      </c>
      <c r="Z480">
        <v>8.8000000000000007</v>
      </c>
      <c r="AA480">
        <v>6.7</v>
      </c>
      <c r="AB480">
        <v>25</v>
      </c>
      <c r="AC480" s="21">
        <f>12.5/60</f>
        <v>0.20833333333333334</v>
      </c>
      <c r="AD480">
        <v>2</v>
      </c>
      <c r="AE480">
        <v>20</v>
      </c>
      <c r="AF480" s="11">
        <v>0.79</v>
      </c>
    </row>
    <row r="481" spans="1:32" x14ac:dyDescent="0.3">
      <c r="A481" t="s">
        <v>66</v>
      </c>
      <c r="B481" t="s">
        <v>13</v>
      </c>
      <c r="C481">
        <v>-1.03</v>
      </c>
      <c r="D481">
        <v>319.33</v>
      </c>
      <c r="E481">
        <v>1.52</v>
      </c>
      <c r="F481">
        <v>1.95</v>
      </c>
      <c r="G481">
        <v>0.6</v>
      </c>
      <c r="H481">
        <v>1.85</v>
      </c>
      <c r="I481">
        <v>2.25</v>
      </c>
      <c r="J481">
        <v>72.900000000000006</v>
      </c>
      <c r="K481" t="s">
        <v>55</v>
      </c>
      <c r="L481" t="s">
        <v>51</v>
      </c>
      <c r="M481">
        <v>3</v>
      </c>
      <c r="N481">
        <v>27.222000000000001</v>
      </c>
      <c r="O481">
        <v>0</v>
      </c>
      <c r="P481" s="13">
        <v>1.5189999999999999</v>
      </c>
      <c r="Q481" t="s">
        <v>52</v>
      </c>
      <c r="R481">
        <v>70</v>
      </c>
      <c r="S481">
        <v>24</v>
      </c>
      <c r="T481" t="s">
        <v>164</v>
      </c>
      <c r="U481" t="s">
        <v>164</v>
      </c>
      <c r="V481" s="7">
        <v>0.7957544339169238</v>
      </c>
      <c r="W481">
        <v>31.2</v>
      </c>
      <c r="X481" t="s">
        <v>166</v>
      </c>
      <c r="Y481">
        <v>21.3</v>
      </c>
      <c r="Z481">
        <v>8.8000000000000007</v>
      </c>
      <c r="AA481">
        <v>6.7</v>
      </c>
      <c r="AB481">
        <v>25</v>
      </c>
      <c r="AC481" s="21">
        <f>20/60</f>
        <v>0.33333333333333331</v>
      </c>
      <c r="AD481">
        <v>2</v>
      </c>
      <c r="AE481">
        <v>20</v>
      </c>
      <c r="AF481" s="11">
        <v>0.86</v>
      </c>
    </row>
    <row r="482" spans="1:32" x14ac:dyDescent="0.3">
      <c r="A482" t="s">
        <v>66</v>
      </c>
      <c r="B482" t="s">
        <v>13</v>
      </c>
      <c r="C482">
        <v>-1.03</v>
      </c>
      <c r="D482">
        <v>319.33</v>
      </c>
      <c r="E482">
        <v>1.52</v>
      </c>
      <c r="F482">
        <v>1.95</v>
      </c>
      <c r="G482">
        <v>0.6</v>
      </c>
      <c r="H482">
        <v>1.85</v>
      </c>
      <c r="I482">
        <v>2.25</v>
      </c>
      <c r="J482">
        <v>72.900000000000006</v>
      </c>
      <c r="K482" t="s">
        <v>55</v>
      </c>
      <c r="L482" t="s">
        <v>51</v>
      </c>
      <c r="M482">
        <v>3</v>
      </c>
      <c r="N482">
        <v>27.222000000000001</v>
      </c>
      <c r="O482">
        <v>0</v>
      </c>
      <c r="P482" s="13">
        <v>1.5189999999999999</v>
      </c>
      <c r="Q482" t="s">
        <v>52</v>
      </c>
      <c r="R482">
        <v>70</v>
      </c>
      <c r="S482">
        <v>24</v>
      </c>
      <c r="T482" t="s">
        <v>164</v>
      </c>
      <c r="U482" t="s">
        <v>164</v>
      </c>
      <c r="V482" s="7">
        <v>0.7957544339169238</v>
      </c>
      <c r="W482">
        <v>31.2</v>
      </c>
      <c r="X482" t="s">
        <v>166</v>
      </c>
      <c r="Y482">
        <v>21.3</v>
      </c>
      <c r="Z482">
        <v>8.8000000000000007</v>
      </c>
      <c r="AA482">
        <v>6.7</v>
      </c>
      <c r="AB482">
        <v>25</v>
      </c>
      <c r="AC482" s="21">
        <f>30/60</f>
        <v>0.5</v>
      </c>
      <c r="AD482">
        <v>2</v>
      </c>
      <c r="AE482">
        <v>20</v>
      </c>
      <c r="AF482" s="11">
        <v>0.86999999999999988</v>
      </c>
    </row>
    <row r="483" spans="1:32" x14ac:dyDescent="0.3">
      <c r="A483" t="s">
        <v>66</v>
      </c>
      <c r="B483" t="s">
        <v>13</v>
      </c>
      <c r="C483">
        <v>-1.03</v>
      </c>
      <c r="D483">
        <v>319.33</v>
      </c>
      <c r="E483">
        <v>1.52</v>
      </c>
      <c r="F483">
        <v>1.95</v>
      </c>
      <c r="G483">
        <v>0.6</v>
      </c>
      <c r="H483">
        <v>1.85</v>
      </c>
      <c r="I483">
        <v>2.25</v>
      </c>
      <c r="J483">
        <v>72.900000000000006</v>
      </c>
      <c r="K483" t="s">
        <v>55</v>
      </c>
      <c r="L483" t="s">
        <v>51</v>
      </c>
      <c r="M483">
        <v>3</v>
      </c>
      <c r="N483">
        <v>27.222000000000001</v>
      </c>
      <c r="O483">
        <v>0</v>
      </c>
      <c r="P483" s="13">
        <v>1.5189999999999999</v>
      </c>
      <c r="Q483" t="s">
        <v>52</v>
      </c>
      <c r="R483">
        <v>70</v>
      </c>
      <c r="S483">
        <v>24</v>
      </c>
      <c r="T483" t="s">
        <v>164</v>
      </c>
      <c r="U483" t="s">
        <v>164</v>
      </c>
      <c r="V483" s="7">
        <v>0.7957544339169238</v>
      </c>
      <c r="W483">
        <v>31.2</v>
      </c>
      <c r="X483" t="s">
        <v>166</v>
      </c>
      <c r="Y483">
        <v>21.3</v>
      </c>
      <c r="Z483">
        <v>8.8000000000000007</v>
      </c>
      <c r="AA483">
        <v>6.7</v>
      </c>
      <c r="AB483">
        <v>25</v>
      </c>
      <c r="AC483" s="21">
        <f>40/60</f>
        <v>0.66666666666666663</v>
      </c>
      <c r="AD483">
        <v>2</v>
      </c>
      <c r="AE483">
        <v>20</v>
      </c>
      <c r="AF483" s="11">
        <v>0.88000000000000012</v>
      </c>
    </row>
    <row r="484" spans="1:32" x14ac:dyDescent="0.3">
      <c r="A484" t="s">
        <v>66</v>
      </c>
      <c r="B484" t="s">
        <v>13</v>
      </c>
      <c r="C484">
        <v>-1.03</v>
      </c>
      <c r="D484">
        <v>319.33</v>
      </c>
      <c r="E484">
        <v>1.52</v>
      </c>
      <c r="F484">
        <v>1.95</v>
      </c>
      <c r="G484">
        <v>0.6</v>
      </c>
      <c r="H484">
        <v>1.85</v>
      </c>
      <c r="I484">
        <v>2.25</v>
      </c>
      <c r="J484">
        <v>72.900000000000006</v>
      </c>
      <c r="K484" t="s">
        <v>55</v>
      </c>
      <c r="L484" t="s">
        <v>51</v>
      </c>
      <c r="M484">
        <v>3</v>
      </c>
      <c r="N484">
        <v>27.222000000000001</v>
      </c>
      <c r="O484">
        <v>0</v>
      </c>
      <c r="P484" s="13">
        <v>1.5189999999999999</v>
      </c>
      <c r="Q484" t="s">
        <v>52</v>
      </c>
      <c r="R484">
        <v>70</v>
      </c>
      <c r="S484">
        <v>24</v>
      </c>
      <c r="T484" t="s">
        <v>164</v>
      </c>
      <c r="U484" t="s">
        <v>164</v>
      </c>
      <c r="V484" s="7">
        <v>0.7957544339169238</v>
      </c>
      <c r="W484">
        <v>31.2</v>
      </c>
      <c r="X484" t="s">
        <v>166</v>
      </c>
      <c r="Y484">
        <v>21.3</v>
      </c>
      <c r="Z484">
        <v>8.8000000000000007</v>
      </c>
      <c r="AA484">
        <v>6.7</v>
      </c>
      <c r="AB484">
        <v>25</v>
      </c>
      <c r="AC484" s="18">
        <v>1</v>
      </c>
      <c r="AD484">
        <v>2</v>
      </c>
      <c r="AE484">
        <v>20</v>
      </c>
      <c r="AF484" s="11">
        <v>0.88000000000000012</v>
      </c>
    </row>
    <row r="485" spans="1:32" x14ac:dyDescent="0.3">
      <c r="A485" t="s">
        <v>66</v>
      </c>
      <c r="B485" t="s">
        <v>13</v>
      </c>
      <c r="C485">
        <v>-1.03</v>
      </c>
      <c r="D485">
        <v>319.33</v>
      </c>
      <c r="E485">
        <v>1.52</v>
      </c>
      <c r="F485">
        <v>1.95</v>
      </c>
      <c r="G485">
        <v>0.6</v>
      </c>
      <c r="H485">
        <v>1.85</v>
      </c>
      <c r="I485">
        <v>2.25</v>
      </c>
      <c r="J485">
        <v>72.900000000000006</v>
      </c>
      <c r="K485" t="s">
        <v>55</v>
      </c>
      <c r="L485" t="s">
        <v>51</v>
      </c>
      <c r="M485">
        <v>3</v>
      </c>
      <c r="N485">
        <v>27.222000000000001</v>
      </c>
      <c r="O485">
        <v>0</v>
      </c>
      <c r="P485" s="13">
        <v>1.5189999999999999</v>
      </c>
      <c r="Q485" t="s">
        <v>52</v>
      </c>
      <c r="R485">
        <v>70</v>
      </c>
      <c r="S485">
        <v>24</v>
      </c>
      <c r="T485" t="s">
        <v>164</v>
      </c>
      <c r="U485" t="s">
        <v>164</v>
      </c>
      <c r="V485" s="7">
        <v>0.7957544339169238</v>
      </c>
      <c r="W485">
        <v>31.2</v>
      </c>
      <c r="X485" t="s">
        <v>166</v>
      </c>
      <c r="Y485">
        <v>21.3</v>
      </c>
      <c r="Z485">
        <v>8.8000000000000007</v>
      </c>
      <c r="AA485">
        <v>6.7</v>
      </c>
      <c r="AB485">
        <v>25</v>
      </c>
      <c r="AC485" s="20">
        <v>1.5</v>
      </c>
      <c r="AD485">
        <v>2</v>
      </c>
      <c r="AE485">
        <v>20</v>
      </c>
      <c r="AF485" s="11">
        <v>0.88000000000000012</v>
      </c>
    </row>
    <row r="486" spans="1:32" x14ac:dyDescent="0.3">
      <c r="A486" t="s">
        <v>66</v>
      </c>
      <c r="B486" t="s">
        <v>13</v>
      </c>
      <c r="C486">
        <v>-1.03</v>
      </c>
      <c r="D486">
        <v>319.33</v>
      </c>
      <c r="E486">
        <v>1.52</v>
      </c>
      <c r="F486">
        <v>1.95</v>
      </c>
      <c r="G486">
        <v>0.6</v>
      </c>
      <c r="H486">
        <v>1.85</v>
      </c>
      <c r="I486">
        <v>2.25</v>
      </c>
      <c r="J486">
        <v>72.900000000000006</v>
      </c>
      <c r="K486" t="s">
        <v>55</v>
      </c>
      <c r="L486" t="s">
        <v>51</v>
      </c>
      <c r="M486">
        <v>3</v>
      </c>
      <c r="N486">
        <v>27.222000000000001</v>
      </c>
      <c r="O486">
        <v>0</v>
      </c>
      <c r="P486" s="13">
        <v>1.5189999999999999</v>
      </c>
      <c r="Q486" t="s">
        <v>52</v>
      </c>
      <c r="R486">
        <v>70</v>
      </c>
      <c r="S486">
        <v>24</v>
      </c>
      <c r="T486" t="s">
        <v>164</v>
      </c>
      <c r="U486" t="s">
        <v>164</v>
      </c>
      <c r="V486" s="7">
        <v>0.7957544339169238</v>
      </c>
      <c r="W486">
        <v>31.2</v>
      </c>
      <c r="X486" t="s">
        <v>166</v>
      </c>
      <c r="Y486">
        <v>21.3</v>
      </c>
      <c r="Z486">
        <v>8.8000000000000007</v>
      </c>
      <c r="AA486">
        <v>6.7</v>
      </c>
      <c r="AB486">
        <v>25</v>
      </c>
      <c r="AC486" s="18">
        <f>120/60</f>
        <v>2</v>
      </c>
      <c r="AD486">
        <v>2</v>
      </c>
      <c r="AE486">
        <v>20</v>
      </c>
      <c r="AF486" s="11">
        <v>0.88000000000000012</v>
      </c>
    </row>
    <row r="487" spans="1:32" x14ac:dyDescent="0.3">
      <c r="A487" t="s">
        <v>66</v>
      </c>
      <c r="B487" t="s">
        <v>13</v>
      </c>
      <c r="C487">
        <v>-1.03</v>
      </c>
      <c r="D487">
        <v>319.33</v>
      </c>
      <c r="E487">
        <v>1.52</v>
      </c>
      <c r="F487">
        <v>1.95</v>
      </c>
      <c r="G487">
        <v>0.6</v>
      </c>
      <c r="H487">
        <v>1.85</v>
      </c>
      <c r="I487">
        <v>2.25</v>
      </c>
      <c r="J487">
        <v>72.900000000000006</v>
      </c>
      <c r="K487" t="s">
        <v>55</v>
      </c>
      <c r="L487" t="s">
        <v>51</v>
      </c>
      <c r="M487">
        <v>3</v>
      </c>
      <c r="N487">
        <v>27.222000000000001</v>
      </c>
      <c r="O487">
        <v>0</v>
      </c>
      <c r="P487" s="13">
        <v>1.5189999999999999</v>
      </c>
      <c r="Q487" t="s">
        <v>52</v>
      </c>
      <c r="R487">
        <v>70</v>
      </c>
      <c r="S487">
        <v>24</v>
      </c>
      <c r="T487" t="s">
        <v>164</v>
      </c>
      <c r="U487" t="s">
        <v>164</v>
      </c>
      <c r="V487" s="7">
        <v>0.7957544339169238</v>
      </c>
      <c r="W487">
        <v>31.2</v>
      </c>
      <c r="X487" t="s">
        <v>166</v>
      </c>
      <c r="Y487">
        <v>21.3</v>
      </c>
      <c r="Z487">
        <v>8.8000000000000007</v>
      </c>
      <c r="AA487">
        <v>6.7</v>
      </c>
      <c r="AB487">
        <v>25</v>
      </c>
      <c r="AC487" s="20">
        <f>150/60</f>
        <v>2.5</v>
      </c>
      <c r="AD487">
        <v>2</v>
      </c>
      <c r="AE487">
        <v>20</v>
      </c>
      <c r="AF487" s="11">
        <v>0.88000000000000012</v>
      </c>
    </row>
    <row r="488" spans="1:32" x14ac:dyDescent="0.3">
      <c r="A488" t="s">
        <v>66</v>
      </c>
      <c r="B488" t="s">
        <v>13</v>
      </c>
      <c r="C488">
        <v>-1.03</v>
      </c>
      <c r="D488">
        <v>319.33</v>
      </c>
      <c r="E488">
        <v>1.52</v>
      </c>
      <c r="F488">
        <v>1.95</v>
      </c>
      <c r="G488">
        <v>0.6</v>
      </c>
      <c r="H488">
        <v>1.85</v>
      </c>
      <c r="I488">
        <v>2.25</v>
      </c>
      <c r="J488">
        <v>72.900000000000006</v>
      </c>
      <c r="K488" t="s">
        <v>55</v>
      </c>
      <c r="L488" t="s">
        <v>51</v>
      </c>
      <c r="M488">
        <v>3</v>
      </c>
      <c r="N488">
        <v>27.222000000000001</v>
      </c>
      <c r="O488">
        <v>0</v>
      </c>
      <c r="P488" s="13">
        <v>1.5189999999999999</v>
      </c>
      <c r="Q488" t="s">
        <v>52</v>
      </c>
      <c r="R488">
        <v>70</v>
      </c>
      <c r="S488">
        <v>24</v>
      </c>
      <c r="T488" t="s">
        <v>164</v>
      </c>
      <c r="U488" t="s">
        <v>164</v>
      </c>
      <c r="V488" s="7">
        <v>0.7957544339169238</v>
      </c>
      <c r="W488">
        <v>31.2</v>
      </c>
      <c r="X488" t="s">
        <v>166</v>
      </c>
      <c r="Y488">
        <v>21.3</v>
      </c>
      <c r="Z488">
        <v>8.8000000000000007</v>
      </c>
      <c r="AA488">
        <v>6.7</v>
      </c>
      <c r="AB488">
        <v>25</v>
      </c>
      <c r="AC488" s="20">
        <v>3</v>
      </c>
      <c r="AD488">
        <v>2</v>
      </c>
      <c r="AE488">
        <v>20</v>
      </c>
      <c r="AF488" s="11">
        <v>0.88000000000000012</v>
      </c>
    </row>
    <row r="489" spans="1:32" x14ac:dyDescent="0.3">
      <c r="A489" t="s">
        <v>66</v>
      </c>
      <c r="B489" t="s">
        <v>13</v>
      </c>
      <c r="C489">
        <v>-1.03</v>
      </c>
      <c r="D489">
        <v>319.33</v>
      </c>
      <c r="E489">
        <v>1.52</v>
      </c>
      <c r="F489">
        <v>1.95</v>
      </c>
      <c r="G489">
        <v>0.6</v>
      </c>
      <c r="H489">
        <v>1.85</v>
      </c>
      <c r="I489">
        <v>2.25</v>
      </c>
      <c r="J489">
        <v>72.900000000000006</v>
      </c>
      <c r="K489" t="s">
        <v>55</v>
      </c>
      <c r="L489" t="s">
        <v>51</v>
      </c>
      <c r="M489">
        <v>4</v>
      </c>
      <c r="N489">
        <v>24.838999999999999</v>
      </c>
      <c r="O489">
        <v>0</v>
      </c>
      <c r="P489" s="13">
        <v>1.37</v>
      </c>
      <c r="Q489" t="s">
        <v>52</v>
      </c>
      <c r="R489">
        <v>70</v>
      </c>
      <c r="S489">
        <v>24</v>
      </c>
      <c r="T489" t="s">
        <v>164</v>
      </c>
      <c r="U489" t="s">
        <v>164</v>
      </c>
      <c r="V489" s="7">
        <v>0.80734570445740783</v>
      </c>
      <c r="W489">
        <v>37.299999999999997</v>
      </c>
      <c r="X489" t="s">
        <v>166</v>
      </c>
      <c r="Y489">
        <v>24.3</v>
      </c>
      <c r="Z489">
        <v>8.6999999999999993</v>
      </c>
      <c r="AA489">
        <v>6.7</v>
      </c>
      <c r="AB489">
        <v>25</v>
      </c>
      <c r="AC489" s="21">
        <f>1/60</f>
        <v>1.6666666666666666E-2</v>
      </c>
      <c r="AD489">
        <v>2</v>
      </c>
      <c r="AE489">
        <v>20</v>
      </c>
      <c r="AF489" s="11">
        <v>0.27999999999999992</v>
      </c>
    </row>
    <row r="490" spans="1:32" x14ac:dyDescent="0.3">
      <c r="A490" t="s">
        <v>66</v>
      </c>
      <c r="B490" t="s">
        <v>13</v>
      </c>
      <c r="C490">
        <v>-1.03</v>
      </c>
      <c r="D490">
        <v>319.33</v>
      </c>
      <c r="E490">
        <v>1.52</v>
      </c>
      <c r="F490">
        <v>1.95</v>
      </c>
      <c r="G490">
        <v>0.6</v>
      </c>
      <c r="H490">
        <v>1.85</v>
      </c>
      <c r="I490">
        <v>2.25</v>
      </c>
      <c r="J490">
        <v>72.900000000000006</v>
      </c>
      <c r="K490" t="s">
        <v>55</v>
      </c>
      <c r="L490" t="s">
        <v>51</v>
      </c>
      <c r="M490">
        <v>4</v>
      </c>
      <c r="N490">
        <v>24.838999999999999</v>
      </c>
      <c r="O490">
        <v>0</v>
      </c>
      <c r="P490" s="13">
        <v>1.37</v>
      </c>
      <c r="Q490" t="s">
        <v>52</v>
      </c>
      <c r="R490">
        <v>70</v>
      </c>
      <c r="S490">
        <v>24</v>
      </c>
      <c r="T490" t="s">
        <v>164</v>
      </c>
      <c r="U490" t="s">
        <v>164</v>
      </c>
      <c r="V490" s="7">
        <v>0.80734570445740783</v>
      </c>
      <c r="W490">
        <v>37.299999999999997</v>
      </c>
      <c r="X490" t="s">
        <v>166</v>
      </c>
      <c r="Y490">
        <v>24.3</v>
      </c>
      <c r="Z490">
        <v>8.6999999999999993</v>
      </c>
      <c r="AA490">
        <v>6.7</v>
      </c>
      <c r="AB490">
        <v>25</v>
      </c>
      <c r="AC490" s="21">
        <f>5/60</f>
        <v>8.3333333333333329E-2</v>
      </c>
      <c r="AD490">
        <v>2</v>
      </c>
      <c r="AE490">
        <v>20</v>
      </c>
      <c r="AF490" s="11">
        <v>0.41</v>
      </c>
    </row>
    <row r="491" spans="1:32" x14ac:dyDescent="0.3">
      <c r="A491" t="s">
        <v>66</v>
      </c>
      <c r="B491" t="s">
        <v>13</v>
      </c>
      <c r="C491">
        <v>-1.03</v>
      </c>
      <c r="D491">
        <v>319.33</v>
      </c>
      <c r="E491">
        <v>1.52</v>
      </c>
      <c r="F491">
        <v>1.95</v>
      </c>
      <c r="G491">
        <v>0.6</v>
      </c>
      <c r="H491">
        <v>1.85</v>
      </c>
      <c r="I491">
        <v>2.25</v>
      </c>
      <c r="J491">
        <v>72.900000000000006</v>
      </c>
      <c r="K491" t="s">
        <v>55</v>
      </c>
      <c r="L491" t="s">
        <v>51</v>
      </c>
      <c r="M491">
        <v>4</v>
      </c>
      <c r="N491">
        <v>24.838999999999999</v>
      </c>
      <c r="O491">
        <v>0</v>
      </c>
      <c r="P491" s="13">
        <v>1.37</v>
      </c>
      <c r="Q491" t="s">
        <v>52</v>
      </c>
      <c r="R491">
        <v>70</v>
      </c>
      <c r="S491">
        <v>24</v>
      </c>
      <c r="T491" t="s">
        <v>164</v>
      </c>
      <c r="U491" t="s">
        <v>164</v>
      </c>
      <c r="V491" s="7">
        <v>0.80734570445740783</v>
      </c>
      <c r="W491">
        <v>37.299999999999997</v>
      </c>
      <c r="X491" t="s">
        <v>166</v>
      </c>
      <c r="Y491">
        <v>24.3</v>
      </c>
      <c r="Z491">
        <v>8.6999999999999993</v>
      </c>
      <c r="AA491">
        <v>6.7</v>
      </c>
      <c r="AB491">
        <v>25</v>
      </c>
      <c r="AC491" s="21">
        <f>10/60</f>
        <v>0.16666666666666666</v>
      </c>
      <c r="AD491">
        <v>2</v>
      </c>
      <c r="AE491">
        <v>20</v>
      </c>
      <c r="AF491" s="11">
        <v>0.55000000000000004</v>
      </c>
    </row>
    <row r="492" spans="1:32" x14ac:dyDescent="0.3">
      <c r="A492" t="s">
        <v>66</v>
      </c>
      <c r="B492" t="s">
        <v>13</v>
      </c>
      <c r="C492">
        <v>-1.03</v>
      </c>
      <c r="D492">
        <v>319.33</v>
      </c>
      <c r="E492">
        <v>1.52</v>
      </c>
      <c r="F492">
        <v>1.95</v>
      </c>
      <c r="G492">
        <v>0.6</v>
      </c>
      <c r="H492">
        <v>1.85</v>
      </c>
      <c r="I492">
        <v>2.25</v>
      </c>
      <c r="J492">
        <v>72.900000000000006</v>
      </c>
      <c r="K492" t="s">
        <v>55</v>
      </c>
      <c r="L492" t="s">
        <v>51</v>
      </c>
      <c r="M492">
        <v>4</v>
      </c>
      <c r="N492">
        <v>24.838999999999999</v>
      </c>
      <c r="O492">
        <v>0</v>
      </c>
      <c r="P492" s="13">
        <v>1.37</v>
      </c>
      <c r="Q492" t="s">
        <v>52</v>
      </c>
      <c r="R492">
        <v>70</v>
      </c>
      <c r="S492">
        <v>24</v>
      </c>
      <c r="T492" t="s">
        <v>164</v>
      </c>
      <c r="U492" t="s">
        <v>164</v>
      </c>
      <c r="V492" s="7">
        <v>0.80734570445740783</v>
      </c>
      <c r="W492">
        <v>37.299999999999997</v>
      </c>
      <c r="X492" t="s">
        <v>166</v>
      </c>
      <c r="Y492">
        <v>24.3</v>
      </c>
      <c r="Z492">
        <v>8.6999999999999993</v>
      </c>
      <c r="AA492">
        <v>6.7</v>
      </c>
      <c r="AB492">
        <v>25</v>
      </c>
      <c r="AC492" s="21">
        <f>12.5/60</f>
        <v>0.20833333333333334</v>
      </c>
      <c r="AD492">
        <v>2</v>
      </c>
      <c r="AE492">
        <v>20</v>
      </c>
      <c r="AF492" s="11">
        <v>0.7</v>
      </c>
    </row>
    <row r="493" spans="1:32" x14ac:dyDescent="0.3">
      <c r="A493" t="s">
        <v>66</v>
      </c>
      <c r="B493" t="s">
        <v>13</v>
      </c>
      <c r="C493">
        <v>-1.03</v>
      </c>
      <c r="D493">
        <v>319.33</v>
      </c>
      <c r="E493">
        <v>1.52</v>
      </c>
      <c r="F493">
        <v>1.95</v>
      </c>
      <c r="G493">
        <v>0.6</v>
      </c>
      <c r="H493">
        <v>1.85</v>
      </c>
      <c r="I493">
        <v>2.25</v>
      </c>
      <c r="J493">
        <v>72.900000000000006</v>
      </c>
      <c r="K493" t="s">
        <v>55</v>
      </c>
      <c r="L493" t="s">
        <v>51</v>
      </c>
      <c r="M493">
        <v>4</v>
      </c>
      <c r="N493">
        <v>24.838999999999999</v>
      </c>
      <c r="O493">
        <v>0</v>
      </c>
      <c r="P493" s="13">
        <v>1.37</v>
      </c>
      <c r="Q493" t="s">
        <v>52</v>
      </c>
      <c r="R493">
        <v>70</v>
      </c>
      <c r="S493">
        <v>24</v>
      </c>
      <c r="T493" t="s">
        <v>164</v>
      </c>
      <c r="U493" t="s">
        <v>164</v>
      </c>
      <c r="V493" s="7">
        <v>0.80734570445740783</v>
      </c>
      <c r="W493">
        <v>37.299999999999997</v>
      </c>
      <c r="X493" t="s">
        <v>166</v>
      </c>
      <c r="Y493">
        <v>24.3</v>
      </c>
      <c r="Z493">
        <v>8.6999999999999993</v>
      </c>
      <c r="AA493">
        <v>6.7</v>
      </c>
      <c r="AB493">
        <v>25</v>
      </c>
      <c r="AC493" s="21">
        <f>20/60</f>
        <v>0.33333333333333331</v>
      </c>
      <c r="AD493">
        <v>2</v>
      </c>
      <c r="AE493">
        <v>20</v>
      </c>
      <c r="AF493" s="11">
        <v>0.83000000000000007</v>
      </c>
    </row>
    <row r="494" spans="1:32" x14ac:dyDescent="0.3">
      <c r="A494" t="s">
        <v>66</v>
      </c>
      <c r="B494" t="s">
        <v>13</v>
      </c>
      <c r="C494">
        <v>-1.03</v>
      </c>
      <c r="D494">
        <v>319.33</v>
      </c>
      <c r="E494">
        <v>1.52</v>
      </c>
      <c r="F494">
        <v>1.95</v>
      </c>
      <c r="G494">
        <v>0.6</v>
      </c>
      <c r="H494">
        <v>1.85</v>
      </c>
      <c r="I494">
        <v>2.25</v>
      </c>
      <c r="J494">
        <v>72.900000000000006</v>
      </c>
      <c r="K494" t="s">
        <v>55</v>
      </c>
      <c r="L494" t="s">
        <v>51</v>
      </c>
      <c r="M494">
        <v>4</v>
      </c>
      <c r="N494">
        <v>24.838999999999999</v>
      </c>
      <c r="O494">
        <v>0</v>
      </c>
      <c r="P494" s="13">
        <v>1.37</v>
      </c>
      <c r="Q494" t="s">
        <v>52</v>
      </c>
      <c r="R494">
        <v>70</v>
      </c>
      <c r="S494">
        <v>24</v>
      </c>
      <c r="T494" t="s">
        <v>164</v>
      </c>
      <c r="U494" t="s">
        <v>164</v>
      </c>
      <c r="V494" s="7">
        <v>0.80734570445740783</v>
      </c>
      <c r="W494">
        <v>37.299999999999997</v>
      </c>
      <c r="X494" t="s">
        <v>166</v>
      </c>
      <c r="Y494">
        <v>24.3</v>
      </c>
      <c r="Z494">
        <v>8.6999999999999993</v>
      </c>
      <c r="AA494">
        <v>6.7</v>
      </c>
      <c r="AB494">
        <v>25</v>
      </c>
      <c r="AC494" s="21">
        <f>30/60</f>
        <v>0.5</v>
      </c>
      <c r="AD494">
        <v>2</v>
      </c>
      <c r="AE494">
        <v>20</v>
      </c>
      <c r="AF494" s="11">
        <v>0.88000000000000012</v>
      </c>
    </row>
    <row r="495" spans="1:32" x14ac:dyDescent="0.3">
      <c r="A495" t="s">
        <v>66</v>
      </c>
      <c r="B495" t="s">
        <v>13</v>
      </c>
      <c r="C495">
        <v>-1.03</v>
      </c>
      <c r="D495">
        <v>319.33</v>
      </c>
      <c r="E495">
        <v>1.52</v>
      </c>
      <c r="F495">
        <v>1.95</v>
      </c>
      <c r="G495">
        <v>0.6</v>
      </c>
      <c r="H495">
        <v>1.85</v>
      </c>
      <c r="I495">
        <v>2.25</v>
      </c>
      <c r="J495">
        <v>72.900000000000006</v>
      </c>
      <c r="K495" t="s">
        <v>55</v>
      </c>
      <c r="L495" t="s">
        <v>51</v>
      </c>
      <c r="M495">
        <v>4</v>
      </c>
      <c r="N495">
        <v>24.838999999999999</v>
      </c>
      <c r="O495">
        <v>0</v>
      </c>
      <c r="P495" s="13">
        <v>1.37</v>
      </c>
      <c r="Q495" t="s">
        <v>52</v>
      </c>
      <c r="R495">
        <v>70</v>
      </c>
      <c r="S495">
        <v>24</v>
      </c>
      <c r="T495" t="s">
        <v>164</v>
      </c>
      <c r="U495" t="s">
        <v>164</v>
      </c>
      <c r="V495" s="7">
        <v>0.80734570445740783</v>
      </c>
      <c r="W495">
        <v>37.299999999999997</v>
      </c>
      <c r="X495" t="s">
        <v>166</v>
      </c>
      <c r="Y495">
        <v>24.3</v>
      </c>
      <c r="Z495">
        <v>8.6999999999999993</v>
      </c>
      <c r="AA495">
        <v>6.7</v>
      </c>
      <c r="AB495">
        <v>25</v>
      </c>
      <c r="AC495" s="21">
        <f>40/60</f>
        <v>0.66666666666666663</v>
      </c>
      <c r="AD495">
        <v>2</v>
      </c>
      <c r="AE495">
        <v>20</v>
      </c>
      <c r="AF495" s="11">
        <v>0.86999999999999988</v>
      </c>
    </row>
    <row r="496" spans="1:32" x14ac:dyDescent="0.3">
      <c r="A496" t="s">
        <v>66</v>
      </c>
      <c r="B496" t="s">
        <v>13</v>
      </c>
      <c r="C496">
        <v>-1.03</v>
      </c>
      <c r="D496">
        <v>319.33</v>
      </c>
      <c r="E496">
        <v>1.52</v>
      </c>
      <c r="F496">
        <v>1.95</v>
      </c>
      <c r="G496">
        <v>0.6</v>
      </c>
      <c r="H496">
        <v>1.85</v>
      </c>
      <c r="I496">
        <v>2.25</v>
      </c>
      <c r="J496">
        <v>72.900000000000006</v>
      </c>
      <c r="K496" t="s">
        <v>55</v>
      </c>
      <c r="L496" t="s">
        <v>51</v>
      </c>
      <c r="M496">
        <v>4</v>
      </c>
      <c r="N496">
        <v>24.838999999999999</v>
      </c>
      <c r="O496">
        <v>0</v>
      </c>
      <c r="P496" s="13">
        <v>1.37</v>
      </c>
      <c r="Q496" t="s">
        <v>52</v>
      </c>
      <c r="R496">
        <v>70</v>
      </c>
      <c r="S496">
        <v>24</v>
      </c>
      <c r="T496" t="s">
        <v>164</v>
      </c>
      <c r="U496" t="s">
        <v>164</v>
      </c>
      <c r="V496" s="7">
        <v>0.80734570445740783</v>
      </c>
      <c r="W496">
        <v>37.299999999999997</v>
      </c>
      <c r="X496" t="s">
        <v>166</v>
      </c>
      <c r="Y496">
        <v>24.3</v>
      </c>
      <c r="Z496">
        <v>8.6999999999999993</v>
      </c>
      <c r="AA496">
        <v>6.7</v>
      </c>
      <c r="AB496">
        <v>25</v>
      </c>
      <c r="AC496" s="18">
        <v>1</v>
      </c>
      <c r="AD496">
        <v>2</v>
      </c>
      <c r="AE496">
        <v>20</v>
      </c>
      <c r="AF496" s="11">
        <v>0.88000000000000012</v>
      </c>
    </row>
    <row r="497" spans="1:32" x14ac:dyDescent="0.3">
      <c r="A497" t="s">
        <v>66</v>
      </c>
      <c r="B497" t="s">
        <v>13</v>
      </c>
      <c r="C497">
        <v>-1.03</v>
      </c>
      <c r="D497">
        <v>319.33</v>
      </c>
      <c r="E497">
        <v>1.52</v>
      </c>
      <c r="F497">
        <v>1.95</v>
      </c>
      <c r="G497">
        <v>0.6</v>
      </c>
      <c r="H497">
        <v>1.85</v>
      </c>
      <c r="I497">
        <v>2.25</v>
      </c>
      <c r="J497">
        <v>72.900000000000006</v>
      </c>
      <c r="K497" t="s">
        <v>55</v>
      </c>
      <c r="L497" t="s">
        <v>51</v>
      </c>
      <c r="M497">
        <v>4</v>
      </c>
      <c r="N497">
        <v>24.838999999999999</v>
      </c>
      <c r="O497">
        <v>0</v>
      </c>
      <c r="P497" s="13">
        <v>1.37</v>
      </c>
      <c r="Q497" t="s">
        <v>52</v>
      </c>
      <c r="R497">
        <v>70</v>
      </c>
      <c r="S497">
        <v>24</v>
      </c>
      <c r="T497" t="s">
        <v>164</v>
      </c>
      <c r="U497" t="s">
        <v>164</v>
      </c>
      <c r="V497" s="7">
        <v>0.80734570445740783</v>
      </c>
      <c r="W497">
        <v>37.299999999999997</v>
      </c>
      <c r="X497" t="s">
        <v>166</v>
      </c>
      <c r="Y497">
        <v>24.3</v>
      </c>
      <c r="Z497">
        <v>8.6999999999999993</v>
      </c>
      <c r="AA497">
        <v>6.7</v>
      </c>
      <c r="AB497">
        <v>25</v>
      </c>
      <c r="AC497" s="20">
        <v>1.5</v>
      </c>
      <c r="AD497">
        <v>2</v>
      </c>
      <c r="AE497">
        <v>20</v>
      </c>
      <c r="AF497" s="11">
        <v>0.88000000000000012</v>
      </c>
    </row>
    <row r="498" spans="1:32" x14ac:dyDescent="0.3">
      <c r="A498" t="s">
        <v>66</v>
      </c>
      <c r="B498" t="s">
        <v>13</v>
      </c>
      <c r="C498">
        <v>-1.03</v>
      </c>
      <c r="D498">
        <v>319.33</v>
      </c>
      <c r="E498">
        <v>1.52</v>
      </c>
      <c r="F498">
        <v>1.95</v>
      </c>
      <c r="G498">
        <v>0.6</v>
      </c>
      <c r="H498">
        <v>1.85</v>
      </c>
      <c r="I498">
        <v>2.25</v>
      </c>
      <c r="J498">
        <v>72.900000000000006</v>
      </c>
      <c r="K498" t="s">
        <v>55</v>
      </c>
      <c r="L498" t="s">
        <v>51</v>
      </c>
      <c r="M498">
        <v>4</v>
      </c>
      <c r="N498">
        <v>24.838999999999999</v>
      </c>
      <c r="O498">
        <v>0</v>
      </c>
      <c r="P498" s="13">
        <v>1.37</v>
      </c>
      <c r="Q498" t="s">
        <v>52</v>
      </c>
      <c r="R498">
        <v>70</v>
      </c>
      <c r="S498">
        <v>24</v>
      </c>
      <c r="T498" t="s">
        <v>164</v>
      </c>
      <c r="U498" t="s">
        <v>164</v>
      </c>
      <c r="V498" s="7">
        <v>0.80734570445740783</v>
      </c>
      <c r="W498">
        <v>37.299999999999997</v>
      </c>
      <c r="X498" t="s">
        <v>166</v>
      </c>
      <c r="Y498">
        <v>24.3</v>
      </c>
      <c r="Z498">
        <v>8.6999999999999993</v>
      </c>
      <c r="AA498">
        <v>6.7</v>
      </c>
      <c r="AB498">
        <v>25</v>
      </c>
      <c r="AC498" s="18">
        <f>120/60</f>
        <v>2</v>
      </c>
      <c r="AD498">
        <v>2</v>
      </c>
      <c r="AE498">
        <v>20</v>
      </c>
      <c r="AF498" s="11">
        <v>0.88000000000000012</v>
      </c>
    </row>
    <row r="499" spans="1:32" x14ac:dyDescent="0.3">
      <c r="A499" t="s">
        <v>66</v>
      </c>
      <c r="B499" t="s">
        <v>13</v>
      </c>
      <c r="C499">
        <v>-1.03</v>
      </c>
      <c r="D499">
        <v>319.33</v>
      </c>
      <c r="E499">
        <v>1.52</v>
      </c>
      <c r="F499">
        <v>1.95</v>
      </c>
      <c r="G499">
        <v>0.6</v>
      </c>
      <c r="H499">
        <v>1.85</v>
      </c>
      <c r="I499">
        <v>2.25</v>
      </c>
      <c r="J499">
        <v>72.900000000000006</v>
      </c>
      <c r="K499" t="s">
        <v>55</v>
      </c>
      <c r="L499" t="s">
        <v>51</v>
      </c>
      <c r="M499">
        <v>4</v>
      </c>
      <c r="N499">
        <v>24.838999999999999</v>
      </c>
      <c r="O499">
        <v>0</v>
      </c>
      <c r="P499" s="13">
        <v>1.37</v>
      </c>
      <c r="Q499" t="s">
        <v>52</v>
      </c>
      <c r="R499">
        <v>70</v>
      </c>
      <c r="S499">
        <v>24</v>
      </c>
      <c r="T499" t="s">
        <v>164</v>
      </c>
      <c r="U499" t="s">
        <v>164</v>
      </c>
      <c r="V499" s="7">
        <v>0.80734570445740783</v>
      </c>
      <c r="W499">
        <v>37.299999999999997</v>
      </c>
      <c r="X499" t="s">
        <v>166</v>
      </c>
      <c r="Y499">
        <v>24.3</v>
      </c>
      <c r="Z499">
        <v>8.6999999999999993</v>
      </c>
      <c r="AA499">
        <v>6.7</v>
      </c>
      <c r="AB499">
        <v>25</v>
      </c>
      <c r="AC499" s="20">
        <f>150/60</f>
        <v>2.5</v>
      </c>
      <c r="AD499">
        <v>2</v>
      </c>
      <c r="AE499">
        <v>20</v>
      </c>
      <c r="AF499" s="11">
        <v>0.88000000000000012</v>
      </c>
    </row>
    <row r="500" spans="1:32" x14ac:dyDescent="0.3">
      <c r="A500" t="s">
        <v>66</v>
      </c>
      <c r="B500" t="s">
        <v>13</v>
      </c>
      <c r="C500">
        <v>-1.03</v>
      </c>
      <c r="D500">
        <v>319.33</v>
      </c>
      <c r="E500">
        <v>1.52</v>
      </c>
      <c r="F500">
        <v>1.95</v>
      </c>
      <c r="G500">
        <v>0.6</v>
      </c>
      <c r="H500">
        <v>1.85</v>
      </c>
      <c r="I500">
        <v>2.25</v>
      </c>
      <c r="J500">
        <v>72.900000000000006</v>
      </c>
      <c r="K500" t="s">
        <v>55</v>
      </c>
      <c r="L500" t="s">
        <v>51</v>
      </c>
      <c r="M500">
        <v>4</v>
      </c>
      <c r="N500">
        <v>24.838999999999999</v>
      </c>
      <c r="O500">
        <v>0</v>
      </c>
      <c r="P500" s="13">
        <v>1.37</v>
      </c>
      <c r="Q500" t="s">
        <v>52</v>
      </c>
      <c r="R500">
        <v>70</v>
      </c>
      <c r="S500">
        <v>24</v>
      </c>
      <c r="T500" t="s">
        <v>164</v>
      </c>
      <c r="U500" t="s">
        <v>164</v>
      </c>
      <c r="V500" s="7">
        <v>0.80734570445740783</v>
      </c>
      <c r="W500">
        <v>37.299999999999997</v>
      </c>
      <c r="X500" t="s">
        <v>166</v>
      </c>
      <c r="Y500">
        <v>24.3</v>
      </c>
      <c r="Z500">
        <v>8.6999999999999993</v>
      </c>
      <c r="AA500">
        <v>6.7</v>
      </c>
      <c r="AB500">
        <v>25</v>
      </c>
      <c r="AC500" s="20">
        <v>3</v>
      </c>
      <c r="AD500">
        <v>2</v>
      </c>
      <c r="AE500">
        <v>20</v>
      </c>
      <c r="AF500" s="11">
        <v>0.88000000000000012</v>
      </c>
    </row>
    <row r="501" spans="1:32" x14ac:dyDescent="0.3">
      <c r="A501" t="s">
        <v>66</v>
      </c>
      <c r="B501" t="s">
        <v>13</v>
      </c>
      <c r="C501">
        <v>-1.03</v>
      </c>
      <c r="D501">
        <v>319.33</v>
      </c>
      <c r="E501">
        <v>1.52</v>
      </c>
      <c r="F501">
        <v>1.95</v>
      </c>
      <c r="G501">
        <v>0.6</v>
      </c>
      <c r="H501">
        <v>1.85</v>
      </c>
      <c r="I501">
        <v>2.25</v>
      </c>
      <c r="J501">
        <v>72.900000000000006</v>
      </c>
      <c r="K501" t="s">
        <v>55</v>
      </c>
      <c r="L501" t="s">
        <v>51</v>
      </c>
      <c r="M501">
        <v>2</v>
      </c>
      <c r="N501">
        <v>25.196000000000002</v>
      </c>
      <c r="O501">
        <v>0</v>
      </c>
      <c r="P501">
        <v>1.41</v>
      </c>
      <c r="Q501" t="s">
        <v>52</v>
      </c>
      <c r="R501">
        <v>70</v>
      </c>
      <c r="S501">
        <v>24</v>
      </c>
      <c r="T501" t="s">
        <v>164</v>
      </c>
      <c r="U501" t="s">
        <v>164</v>
      </c>
      <c r="V501" s="7">
        <v>0.77489836822718361</v>
      </c>
      <c r="W501">
        <v>17.399999999999999</v>
      </c>
      <c r="X501" t="s">
        <v>166</v>
      </c>
      <c r="Y501">
        <v>30.6</v>
      </c>
      <c r="Z501">
        <v>9</v>
      </c>
      <c r="AA501">
        <v>3</v>
      </c>
      <c r="AB501">
        <v>25</v>
      </c>
      <c r="AC501" s="17">
        <v>1</v>
      </c>
      <c r="AD501">
        <v>2</v>
      </c>
      <c r="AE501">
        <v>20</v>
      </c>
      <c r="AF501" s="11">
        <v>0.9</v>
      </c>
    </row>
    <row r="502" spans="1:32" x14ac:dyDescent="0.3">
      <c r="A502" t="s">
        <v>66</v>
      </c>
      <c r="B502" t="s">
        <v>13</v>
      </c>
      <c r="C502">
        <v>-1.03</v>
      </c>
      <c r="D502">
        <v>319.33</v>
      </c>
      <c r="E502">
        <v>1.52</v>
      </c>
      <c r="F502">
        <v>1.95</v>
      </c>
      <c r="G502">
        <v>0.6</v>
      </c>
      <c r="H502">
        <v>1.85</v>
      </c>
      <c r="I502">
        <v>2.25</v>
      </c>
      <c r="J502">
        <v>72.900000000000006</v>
      </c>
      <c r="K502" t="s">
        <v>55</v>
      </c>
      <c r="L502" t="s">
        <v>51</v>
      </c>
      <c r="M502">
        <v>2</v>
      </c>
      <c r="N502">
        <v>25.196000000000002</v>
      </c>
      <c r="O502">
        <v>0</v>
      </c>
      <c r="P502">
        <v>1.41</v>
      </c>
      <c r="Q502" t="s">
        <v>52</v>
      </c>
      <c r="R502">
        <v>70</v>
      </c>
      <c r="S502">
        <v>24</v>
      </c>
      <c r="T502" t="s">
        <v>164</v>
      </c>
      <c r="U502" t="s">
        <v>164</v>
      </c>
      <c r="V502" s="7">
        <v>0.77489836822718361</v>
      </c>
      <c r="W502">
        <v>17.399999999999999</v>
      </c>
      <c r="X502" t="s">
        <v>166</v>
      </c>
      <c r="Y502">
        <v>30.6</v>
      </c>
      <c r="Z502">
        <v>9</v>
      </c>
      <c r="AA502">
        <v>4</v>
      </c>
      <c r="AB502">
        <v>25</v>
      </c>
      <c r="AC502" s="17">
        <v>1</v>
      </c>
      <c r="AD502">
        <v>2</v>
      </c>
      <c r="AE502">
        <v>20</v>
      </c>
      <c r="AF502" s="11">
        <v>0.90999999999999992</v>
      </c>
    </row>
    <row r="503" spans="1:32" x14ac:dyDescent="0.3">
      <c r="A503" t="s">
        <v>66</v>
      </c>
      <c r="B503" t="s">
        <v>13</v>
      </c>
      <c r="C503">
        <v>-1.03</v>
      </c>
      <c r="D503">
        <v>319.33</v>
      </c>
      <c r="E503">
        <v>1.52</v>
      </c>
      <c r="F503">
        <v>1.95</v>
      </c>
      <c r="G503">
        <v>0.6</v>
      </c>
      <c r="H503">
        <v>1.85</v>
      </c>
      <c r="I503">
        <v>2.25</v>
      </c>
      <c r="J503">
        <v>72.900000000000006</v>
      </c>
      <c r="K503" t="s">
        <v>55</v>
      </c>
      <c r="L503" t="s">
        <v>51</v>
      </c>
      <c r="M503">
        <v>2</v>
      </c>
      <c r="N503">
        <v>25.196000000000002</v>
      </c>
      <c r="O503">
        <v>0</v>
      </c>
      <c r="P503">
        <v>1.41</v>
      </c>
      <c r="Q503" t="s">
        <v>52</v>
      </c>
      <c r="R503">
        <v>70</v>
      </c>
      <c r="S503">
        <v>24</v>
      </c>
      <c r="T503" t="s">
        <v>164</v>
      </c>
      <c r="U503" t="s">
        <v>164</v>
      </c>
      <c r="V503" s="7">
        <v>0.77489836822718361</v>
      </c>
      <c r="W503">
        <v>17.399999999999999</v>
      </c>
      <c r="X503" t="s">
        <v>166</v>
      </c>
      <c r="Y503">
        <v>30.6</v>
      </c>
      <c r="Z503">
        <v>9</v>
      </c>
      <c r="AA503">
        <v>5</v>
      </c>
      <c r="AB503">
        <v>25</v>
      </c>
      <c r="AC503" s="17">
        <v>1</v>
      </c>
      <c r="AD503">
        <v>2</v>
      </c>
      <c r="AE503">
        <v>20</v>
      </c>
      <c r="AF503" s="11">
        <v>0.90999999999999992</v>
      </c>
    </row>
    <row r="504" spans="1:32" x14ac:dyDescent="0.3">
      <c r="A504" t="s">
        <v>66</v>
      </c>
      <c r="B504" t="s">
        <v>13</v>
      </c>
      <c r="C504">
        <v>-1.03</v>
      </c>
      <c r="D504">
        <v>319.33</v>
      </c>
      <c r="E504">
        <v>1.52</v>
      </c>
      <c r="F504">
        <v>1.95</v>
      </c>
      <c r="G504">
        <v>0.6</v>
      </c>
      <c r="H504">
        <v>1.85</v>
      </c>
      <c r="I504">
        <v>2.25</v>
      </c>
      <c r="J504">
        <v>72.900000000000006</v>
      </c>
      <c r="K504" t="s">
        <v>55</v>
      </c>
      <c r="L504" t="s">
        <v>51</v>
      </c>
      <c r="M504">
        <v>2</v>
      </c>
      <c r="N504">
        <v>25.196000000000002</v>
      </c>
      <c r="O504">
        <v>0</v>
      </c>
      <c r="P504">
        <v>1.41</v>
      </c>
      <c r="Q504" t="s">
        <v>52</v>
      </c>
      <c r="R504">
        <v>70</v>
      </c>
      <c r="S504">
        <v>24</v>
      </c>
      <c r="T504" t="s">
        <v>164</v>
      </c>
      <c r="U504" t="s">
        <v>164</v>
      </c>
      <c r="V504" s="7">
        <v>0.77489836822718361</v>
      </c>
      <c r="W504">
        <v>17.399999999999999</v>
      </c>
      <c r="X504" t="s">
        <v>166</v>
      </c>
      <c r="Y504">
        <v>30.6</v>
      </c>
      <c r="Z504">
        <v>9</v>
      </c>
      <c r="AA504">
        <v>7</v>
      </c>
      <c r="AB504">
        <v>25</v>
      </c>
      <c r="AC504" s="17">
        <v>1</v>
      </c>
      <c r="AD504">
        <v>2</v>
      </c>
      <c r="AE504">
        <v>20</v>
      </c>
      <c r="AF504" s="11">
        <v>0.85</v>
      </c>
    </row>
    <row r="505" spans="1:32" x14ac:dyDescent="0.3">
      <c r="A505" t="s">
        <v>66</v>
      </c>
      <c r="B505" t="s">
        <v>13</v>
      </c>
      <c r="C505">
        <v>-1.03</v>
      </c>
      <c r="D505">
        <v>319.33</v>
      </c>
      <c r="E505">
        <v>1.52</v>
      </c>
      <c r="F505">
        <v>1.95</v>
      </c>
      <c r="G505">
        <v>0.6</v>
      </c>
      <c r="H505">
        <v>1.85</v>
      </c>
      <c r="I505">
        <v>2.25</v>
      </c>
      <c r="J505">
        <v>72.900000000000006</v>
      </c>
      <c r="K505" t="s">
        <v>55</v>
      </c>
      <c r="L505" t="s">
        <v>51</v>
      </c>
      <c r="M505">
        <v>2</v>
      </c>
      <c r="N505">
        <v>25.196000000000002</v>
      </c>
      <c r="O505">
        <v>0</v>
      </c>
      <c r="P505">
        <v>1.41</v>
      </c>
      <c r="Q505" t="s">
        <v>52</v>
      </c>
      <c r="R505">
        <v>70</v>
      </c>
      <c r="S505">
        <v>24</v>
      </c>
      <c r="T505" t="s">
        <v>164</v>
      </c>
      <c r="U505" t="s">
        <v>164</v>
      </c>
      <c r="V505" s="7">
        <v>0.77489836822718361</v>
      </c>
      <c r="W505">
        <v>17.399999999999999</v>
      </c>
      <c r="X505" t="s">
        <v>166</v>
      </c>
      <c r="Y505">
        <v>30.6</v>
      </c>
      <c r="Z505">
        <v>9</v>
      </c>
      <c r="AA505">
        <v>8</v>
      </c>
      <c r="AB505">
        <v>25</v>
      </c>
      <c r="AC505" s="17">
        <v>1</v>
      </c>
      <c r="AD505">
        <v>2</v>
      </c>
      <c r="AE505">
        <v>20</v>
      </c>
      <c r="AF505" s="11">
        <v>0.86</v>
      </c>
    </row>
    <row r="506" spans="1:32" x14ac:dyDescent="0.3">
      <c r="A506" t="s">
        <v>66</v>
      </c>
      <c r="B506" t="s">
        <v>13</v>
      </c>
      <c r="C506">
        <v>-1.03</v>
      </c>
      <c r="D506">
        <v>319.33</v>
      </c>
      <c r="E506">
        <v>1.52</v>
      </c>
      <c r="F506">
        <v>1.95</v>
      </c>
      <c r="G506">
        <v>0.6</v>
      </c>
      <c r="H506">
        <v>1.85</v>
      </c>
      <c r="I506">
        <v>2.25</v>
      </c>
      <c r="J506">
        <v>72.900000000000006</v>
      </c>
      <c r="K506" t="s">
        <v>55</v>
      </c>
      <c r="L506" t="s">
        <v>51</v>
      </c>
      <c r="M506">
        <v>2</v>
      </c>
      <c r="N506">
        <v>25.196000000000002</v>
      </c>
      <c r="O506">
        <v>0</v>
      </c>
      <c r="P506">
        <v>1.41</v>
      </c>
      <c r="Q506" t="s">
        <v>52</v>
      </c>
      <c r="R506">
        <v>70</v>
      </c>
      <c r="S506">
        <v>24</v>
      </c>
      <c r="T506" t="s">
        <v>164</v>
      </c>
      <c r="U506" t="s">
        <v>164</v>
      </c>
      <c r="V506" s="7">
        <v>0.77489836822718361</v>
      </c>
      <c r="W506">
        <v>17.399999999999999</v>
      </c>
      <c r="X506" t="s">
        <v>166</v>
      </c>
      <c r="Y506">
        <v>30.6</v>
      </c>
      <c r="Z506">
        <v>9</v>
      </c>
      <c r="AA506">
        <v>9.5</v>
      </c>
      <c r="AB506">
        <v>25</v>
      </c>
      <c r="AC506" s="17">
        <v>1</v>
      </c>
      <c r="AD506">
        <v>2</v>
      </c>
      <c r="AE506">
        <v>20</v>
      </c>
      <c r="AF506" s="11">
        <v>0.90999999999999992</v>
      </c>
    </row>
    <row r="507" spans="1:32" x14ac:dyDescent="0.3">
      <c r="A507" t="s">
        <v>66</v>
      </c>
      <c r="B507" t="s">
        <v>13</v>
      </c>
      <c r="C507">
        <v>-1.03</v>
      </c>
      <c r="D507">
        <v>319.33</v>
      </c>
      <c r="E507">
        <v>1.52</v>
      </c>
      <c r="F507">
        <v>1.95</v>
      </c>
      <c r="G507">
        <v>0.6</v>
      </c>
      <c r="H507">
        <v>1.85</v>
      </c>
      <c r="I507">
        <v>2.25</v>
      </c>
      <c r="J507">
        <v>72.900000000000006</v>
      </c>
      <c r="K507" t="s">
        <v>55</v>
      </c>
      <c r="L507" t="s">
        <v>51</v>
      </c>
      <c r="M507">
        <v>2</v>
      </c>
      <c r="N507">
        <v>25.196000000000002</v>
      </c>
      <c r="O507">
        <v>0</v>
      </c>
      <c r="P507">
        <v>1.41</v>
      </c>
      <c r="Q507" t="s">
        <v>52</v>
      </c>
      <c r="R507">
        <v>70</v>
      </c>
      <c r="S507">
        <v>24</v>
      </c>
      <c r="T507" t="s">
        <v>164</v>
      </c>
      <c r="U507" t="s">
        <v>164</v>
      </c>
      <c r="V507" s="7">
        <v>0.77489836822718361</v>
      </c>
      <c r="W507">
        <v>17.399999999999999</v>
      </c>
      <c r="X507" t="s">
        <v>166</v>
      </c>
      <c r="Y507">
        <v>30.6</v>
      </c>
      <c r="Z507">
        <v>9</v>
      </c>
      <c r="AA507">
        <v>10</v>
      </c>
      <c r="AB507">
        <v>25</v>
      </c>
      <c r="AC507" s="17">
        <v>1</v>
      </c>
      <c r="AD507">
        <v>2</v>
      </c>
      <c r="AE507">
        <v>20</v>
      </c>
      <c r="AF507" s="11">
        <v>0.90999999999999992</v>
      </c>
    </row>
    <row r="508" spans="1:32" x14ac:dyDescent="0.3">
      <c r="A508" t="s">
        <v>66</v>
      </c>
      <c r="B508" t="s">
        <v>13</v>
      </c>
      <c r="C508">
        <v>-1.03</v>
      </c>
      <c r="D508">
        <v>319.33</v>
      </c>
      <c r="E508">
        <v>1.52</v>
      </c>
      <c r="F508">
        <v>1.95</v>
      </c>
      <c r="G508">
        <v>0.6</v>
      </c>
      <c r="H508">
        <v>1.85</v>
      </c>
      <c r="I508">
        <v>2.25</v>
      </c>
      <c r="J508">
        <v>72.900000000000006</v>
      </c>
      <c r="K508" t="s">
        <v>55</v>
      </c>
      <c r="L508" t="s">
        <v>51</v>
      </c>
      <c r="M508">
        <v>2</v>
      </c>
      <c r="N508">
        <v>25.196000000000002</v>
      </c>
      <c r="O508">
        <v>0</v>
      </c>
      <c r="P508">
        <v>1.41</v>
      </c>
      <c r="Q508" t="s">
        <v>52</v>
      </c>
      <c r="R508">
        <v>70</v>
      </c>
      <c r="S508">
        <v>24</v>
      </c>
      <c r="T508" t="s">
        <v>164</v>
      </c>
      <c r="U508" t="s">
        <v>164</v>
      </c>
      <c r="V508" s="7">
        <v>0.77489836822718361</v>
      </c>
      <c r="W508">
        <v>17.399999999999999</v>
      </c>
      <c r="X508" t="s">
        <v>166</v>
      </c>
      <c r="Y508">
        <v>30.6</v>
      </c>
      <c r="Z508">
        <v>9</v>
      </c>
      <c r="AA508">
        <v>11</v>
      </c>
      <c r="AB508">
        <v>25</v>
      </c>
      <c r="AC508" s="17">
        <v>1</v>
      </c>
      <c r="AD508">
        <v>2</v>
      </c>
      <c r="AE508">
        <v>20</v>
      </c>
      <c r="AF508" s="11">
        <v>0.90999999999999992</v>
      </c>
    </row>
    <row r="509" spans="1:32" x14ac:dyDescent="0.3">
      <c r="A509" t="s">
        <v>66</v>
      </c>
      <c r="B509" t="s">
        <v>13</v>
      </c>
      <c r="C509">
        <v>-1.03</v>
      </c>
      <c r="D509">
        <v>319.33</v>
      </c>
      <c r="E509">
        <v>1.52</v>
      </c>
      <c r="F509">
        <v>1.95</v>
      </c>
      <c r="G509">
        <v>0.6</v>
      </c>
      <c r="H509">
        <v>1.85</v>
      </c>
      <c r="I509">
        <v>2.25</v>
      </c>
      <c r="J509">
        <v>72.900000000000006</v>
      </c>
      <c r="K509" t="s">
        <v>55</v>
      </c>
      <c r="L509" t="s">
        <v>51</v>
      </c>
      <c r="M509">
        <v>2</v>
      </c>
      <c r="N509">
        <v>25.196000000000002</v>
      </c>
      <c r="O509">
        <v>0</v>
      </c>
      <c r="P509">
        <v>1.41</v>
      </c>
      <c r="Q509" t="s">
        <v>52</v>
      </c>
      <c r="R509">
        <v>70</v>
      </c>
      <c r="S509">
        <v>24</v>
      </c>
      <c r="T509" t="s">
        <v>164</v>
      </c>
      <c r="U509" t="s">
        <v>164</v>
      </c>
      <c r="V509" s="7">
        <v>0.77489836822718361</v>
      </c>
      <c r="W509">
        <v>17.399999999999999</v>
      </c>
      <c r="X509" t="s">
        <v>166</v>
      </c>
      <c r="Y509">
        <v>30.6</v>
      </c>
      <c r="Z509">
        <v>9</v>
      </c>
      <c r="AA509">
        <v>12</v>
      </c>
      <c r="AB509">
        <v>25</v>
      </c>
      <c r="AC509" s="17">
        <v>1</v>
      </c>
      <c r="AD509">
        <v>2</v>
      </c>
      <c r="AE509">
        <v>20</v>
      </c>
      <c r="AF509" s="11">
        <v>0.8</v>
      </c>
    </row>
    <row r="510" spans="1:32" x14ac:dyDescent="0.3">
      <c r="A510" t="s">
        <v>122</v>
      </c>
      <c r="B510" t="s">
        <v>14</v>
      </c>
      <c r="C510">
        <v>-1.3</v>
      </c>
      <c r="D510">
        <v>444.44</v>
      </c>
      <c r="E510">
        <v>3.5</v>
      </c>
      <c r="F510">
        <v>3.6</v>
      </c>
      <c r="G510">
        <v>1.35</v>
      </c>
      <c r="H510">
        <v>3.29</v>
      </c>
      <c r="I510">
        <v>3.0992000000000002</v>
      </c>
      <c r="J510">
        <v>182</v>
      </c>
      <c r="K510" t="s">
        <v>55</v>
      </c>
      <c r="L510" t="s">
        <v>46</v>
      </c>
      <c r="M510">
        <v>3</v>
      </c>
      <c r="N510">
        <v>32.189</v>
      </c>
      <c r="O510">
        <v>1.25</v>
      </c>
      <c r="P510">
        <v>1.44</v>
      </c>
      <c r="Q510" t="s">
        <v>123</v>
      </c>
      <c r="R510">
        <v>65</v>
      </c>
      <c r="S510">
        <v>18</v>
      </c>
      <c r="T510">
        <v>400</v>
      </c>
      <c r="U510">
        <v>2</v>
      </c>
      <c r="V510" s="7">
        <v>0.75704541970184447</v>
      </c>
      <c r="W510">
        <v>80.73</v>
      </c>
      <c r="X510">
        <v>0.32300000000000001</v>
      </c>
      <c r="Y510">
        <v>15.83</v>
      </c>
      <c r="Z510">
        <v>7.68</v>
      </c>
      <c r="AA510">
        <v>9</v>
      </c>
      <c r="AB510">
        <v>25</v>
      </c>
      <c r="AC510" s="17">
        <v>8.3333333329999995E-2</v>
      </c>
      <c r="AD510">
        <v>0.375</v>
      </c>
      <c r="AE510">
        <v>20</v>
      </c>
      <c r="AF510" s="11">
        <v>0.1875</v>
      </c>
    </row>
    <row r="511" spans="1:32" x14ac:dyDescent="0.3">
      <c r="A511" t="s">
        <v>122</v>
      </c>
      <c r="B511" t="s">
        <v>14</v>
      </c>
      <c r="C511">
        <v>-1.3</v>
      </c>
      <c r="D511">
        <v>444.44</v>
      </c>
      <c r="E511">
        <v>3.5</v>
      </c>
      <c r="F511">
        <v>3.6</v>
      </c>
      <c r="G511">
        <v>1.35</v>
      </c>
      <c r="H511">
        <v>3.29</v>
      </c>
      <c r="I511">
        <v>3.0992000000000002</v>
      </c>
      <c r="J511">
        <v>182</v>
      </c>
      <c r="K511" t="s">
        <v>55</v>
      </c>
      <c r="L511" t="s">
        <v>46</v>
      </c>
      <c r="M511">
        <v>3</v>
      </c>
      <c r="N511">
        <v>32.189</v>
      </c>
      <c r="O511">
        <v>1.25</v>
      </c>
      <c r="P511">
        <v>1.44</v>
      </c>
      <c r="Q511" t="s">
        <v>123</v>
      </c>
      <c r="R511">
        <v>65</v>
      </c>
      <c r="S511">
        <v>18</v>
      </c>
      <c r="T511">
        <v>400</v>
      </c>
      <c r="U511">
        <v>2</v>
      </c>
      <c r="V511" s="7">
        <v>0.75704541970184447</v>
      </c>
      <c r="W511">
        <v>80.73</v>
      </c>
      <c r="X511">
        <v>0.32300000000000001</v>
      </c>
      <c r="Y511">
        <v>15.83</v>
      </c>
      <c r="Z511">
        <v>7.68</v>
      </c>
      <c r="AA511">
        <v>9</v>
      </c>
      <c r="AB511">
        <v>25</v>
      </c>
      <c r="AC511" s="20">
        <v>0.16666666669999999</v>
      </c>
      <c r="AD511">
        <v>0.375</v>
      </c>
      <c r="AE511">
        <v>20</v>
      </c>
      <c r="AF511" s="11">
        <v>0.234375</v>
      </c>
    </row>
    <row r="512" spans="1:32" x14ac:dyDescent="0.3">
      <c r="A512" t="s">
        <v>122</v>
      </c>
      <c r="B512" t="s">
        <v>14</v>
      </c>
      <c r="C512">
        <v>-1.3</v>
      </c>
      <c r="D512">
        <v>444.44</v>
      </c>
      <c r="E512">
        <v>3.5</v>
      </c>
      <c r="F512">
        <v>3.6</v>
      </c>
      <c r="G512">
        <v>1.35</v>
      </c>
      <c r="H512">
        <v>3.29</v>
      </c>
      <c r="I512">
        <v>3.0992000000000002</v>
      </c>
      <c r="J512">
        <v>182</v>
      </c>
      <c r="K512" t="s">
        <v>55</v>
      </c>
      <c r="L512" t="s">
        <v>46</v>
      </c>
      <c r="M512">
        <v>3</v>
      </c>
      <c r="N512">
        <v>32.189</v>
      </c>
      <c r="O512">
        <v>1.25</v>
      </c>
      <c r="P512">
        <v>1.44</v>
      </c>
      <c r="Q512" t="s">
        <v>123</v>
      </c>
      <c r="R512">
        <v>65</v>
      </c>
      <c r="S512">
        <v>18</v>
      </c>
      <c r="T512">
        <v>400</v>
      </c>
      <c r="U512">
        <v>2</v>
      </c>
      <c r="V512" s="7">
        <v>0.75704541970184447</v>
      </c>
      <c r="W512">
        <v>80.73</v>
      </c>
      <c r="X512">
        <v>0.32300000000000001</v>
      </c>
      <c r="Y512">
        <v>15.83</v>
      </c>
      <c r="Z512">
        <v>7.68</v>
      </c>
      <c r="AA512">
        <v>9</v>
      </c>
      <c r="AB512">
        <v>25</v>
      </c>
      <c r="AC512" s="20">
        <v>0.25</v>
      </c>
      <c r="AD512">
        <v>0.375</v>
      </c>
      <c r="AE512">
        <v>20</v>
      </c>
      <c r="AF512" s="11">
        <v>0.24374999999999999</v>
      </c>
    </row>
    <row r="513" spans="1:32" x14ac:dyDescent="0.3">
      <c r="A513" t="s">
        <v>122</v>
      </c>
      <c r="B513" t="s">
        <v>14</v>
      </c>
      <c r="C513">
        <v>-1.3</v>
      </c>
      <c r="D513">
        <v>444.44</v>
      </c>
      <c r="E513">
        <v>3.5</v>
      </c>
      <c r="F513">
        <v>3.6</v>
      </c>
      <c r="G513">
        <v>1.35</v>
      </c>
      <c r="H513">
        <v>3.29</v>
      </c>
      <c r="I513">
        <v>3.0992000000000002</v>
      </c>
      <c r="J513">
        <v>182</v>
      </c>
      <c r="K513" t="s">
        <v>55</v>
      </c>
      <c r="L513" t="s">
        <v>46</v>
      </c>
      <c r="M513">
        <v>3</v>
      </c>
      <c r="N513">
        <v>32.189</v>
      </c>
      <c r="O513">
        <v>1.25</v>
      </c>
      <c r="P513">
        <v>1.44</v>
      </c>
      <c r="Q513" t="s">
        <v>123</v>
      </c>
      <c r="R513">
        <v>65</v>
      </c>
      <c r="S513">
        <v>18</v>
      </c>
      <c r="T513">
        <v>400</v>
      </c>
      <c r="U513">
        <v>2</v>
      </c>
      <c r="V513" s="7">
        <v>0.75704541970184447</v>
      </c>
      <c r="W513">
        <v>80.73</v>
      </c>
      <c r="X513">
        <v>0.32300000000000001</v>
      </c>
      <c r="Y513">
        <v>15.83</v>
      </c>
      <c r="Z513">
        <v>7.68</v>
      </c>
      <c r="AA513">
        <v>9</v>
      </c>
      <c r="AB513">
        <v>25</v>
      </c>
      <c r="AC513" s="20">
        <v>0.33333333329999998</v>
      </c>
      <c r="AD513">
        <v>0.375</v>
      </c>
      <c r="AE513">
        <v>20</v>
      </c>
      <c r="AF513" s="11">
        <v>0.26250000000000001</v>
      </c>
    </row>
    <row r="514" spans="1:32" x14ac:dyDescent="0.3">
      <c r="A514" t="s">
        <v>122</v>
      </c>
      <c r="B514" t="s">
        <v>14</v>
      </c>
      <c r="C514">
        <v>-1.3</v>
      </c>
      <c r="D514">
        <v>444.44</v>
      </c>
      <c r="E514">
        <v>3.5</v>
      </c>
      <c r="F514">
        <v>3.6</v>
      </c>
      <c r="G514">
        <v>1.35</v>
      </c>
      <c r="H514">
        <v>3.29</v>
      </c>
      <c r="I514">
        <v>3.0992000000000002</v>
      </c>
      <c r="J514">
        <v>182</v>
      </c>
      <c r="K514" t="s">
        <v>55</v>
      </c>
      <c r="L514" t="s">
        <v>46</v>
      </c>
      <c r="M514">
        <v>3</v>
      </c>
      <c r="N514">
        <v>32.189</v>
      </c>
      <c r="O514">
        <v>1.25</v>
      </c>
      <c r="P514">
        <v>1.44</v>
      </c>
      <c r="Q514" t="s">
        <v>123</v>
      </c>
      <c r="R514">
        <v>65</v>
      </c>
      <c r="S514">
        <v>18</v>
      </c>
      <c r="T514">
        <v>400</v>
      </c>
      <c r="U514">
        <v>2</v>
      </c>
      <c r="V514" s="7">
        <v>0.75704541970184447</v>
      </c>
      <c r="W514">
        <v>80.73</v>
      </c>
      <c r="X514">
        <v>0.32300000000000001</v>
      </c>
      <c r="Y514">
        <v>15.83</v>
      </c>
      <c r="Z514">
        <v>7.68</v>
      </c>
      <c r="AA514">
        <v>9</v>
      </c>
      <c r="AB514">
        <v>25</v>
      </c>
      <c r="AC514" s="21">
        <v>0.41666666670000002</v>
      </c>
      <c r="AD514">
        <v>0.375</v>
      </c>
      <c r="AE514">
        <v>20</v>
      </c>
      <c r="AF514" s="11">
        <v>0.27187499999999998</v>
      </c>
    </row>
    <row r="515" spans="1:32" x14ac:dyDescent="0.3">
      <c r="A515" t="s">
        <v>122</v>
      </c>
      <c r="B515" t="s">
        <v>14</v>
      </c>
      <c r="C515">
        <v>-1.3</v>
      </c>
      <c r="D515">
        <v>444.44</v>
      </c>
      <c r="E515">
        <v>3.5</v>
      </c>
      <c r="F515">
        <v>3.6</v>
      </c>
      <c r="G515">
        <v>1.35</v>
      </c>
      <c r="H515">
        <v>3.29</v>
      </c>
      <c r="I515">
        <v>3.0992000000000002</v>
      </c>
      <c r="J515">
        <v>182</v>
      </c>
      <c r="K515" t="s">
        <v>55</v>
      </c>
      <c r="L515" t="s">
        <v>46</v>
      </c>
      <c r="M515">
        <v>3</v>
      </c>
      <c r="N515">
        <v>32.189</v>
      </c>
      <c r="O515">
        <v>1.25</v>
      </c>
      <c r="P515">
        <v>1.44</v>
      </c>
      <c r="Q515" t="s">
        <v>123</v>
      </c>
      <c r="R515">
        <v>65</v>
      </c>
      <c r="S515">
        <v>18</v>
      </c>
      <c r="T515">
        <v>400</v>
      </c>
      <c r="U515">
        <v>2</v>
      </c>
      <c r="V515" s="7">
        <v>0.75704541970184447</v>
      </c>
      <c r="W515">
        <v>80.73</v>
      </c>
      <c r="X515">
        <v>0.32300000000000001</v>
      </c>
      <c r="Y515">
        <v>15.83</v>
      </c>
      <c r="Z515">
        <v>7.68</v>
      </c>
      <c r="AA515">
        <v>9</v>
      </c>
      <c r="AB515">
        <v>25</v>
      </c>
      <c r="AC515" s="17">
        <v>0.5</v>
      </c>
      <c r="AD515">
        <v>0.375</v>
      </c>
      <c r="AE515">
        <v>20</v>
      </c>
      <c r="AF515" s="11">
        <v>0.3</v>
      </c>
    </row>
    <row r="516" spans="1:32" x14ac:dyDescent="0.3">
      <c r="A516" t="s">
        <v>122</v>
      </c>
      <c r="B516" t="s">
        <v>14</v>
      </c>
      <c r="C516">
        <v>-1.3</v>
      </c>
      <c r="D516">
        <v>444.44</v>
      </c>
      <c r="E516">
        <v>3.5</v>
      </c>
      <c r="F516">
        <v>3.6</v>
      </c>
      <c r="G516">
        <v>1.35</v>
      </c>
      <c r="H516">
        <v>3.29</v>
      </c>
      <c r="I516">
        <v>3.0992000000000002</v>
      </c>
      <c r="J516">
        <v>182</v>
      </c>
      <c r="K516" t="s">
        <v>55</v>
      </c>
      <c r="L516" t="s">
        <v>46</v>
      </c>
      <c r="M516">
        <v>3</v>
      </c>
      <c r="N516">
        <v>32.189</v>
      </c>
      <c r="O516">
        <v>1.25</v>
      </c>
      <c r="P516">
        <v>1.44</v>
      </c>
      <c r="Q516" t="s">
        <v>123</v>
      </c>
      <c r="R516">
        <v>65</v>
      </c>
      <c r="S516">
        <v>18</v>
      </c>
      <c r="T516">
        <v>400</v>
      </c>
      <c r="U516">
        <v>2</v>
      </c>
      <c r="V516" s="7">
        <v>0.75704541970184447</v>
      </c>
      <c r="W516">
        <v>80.73</v>
      </c>
      <c r="X516">
        <v>0.32300000000000001</v>
      </c>
      <c r="Y516">
        <v>15.83</v>
      </c>
      <c r="Z516">
        <v>7.68</v>
      </c>
      <c r="AA516">
        <v>9</v>
      </c>
      <c r="AB516">
        <v>25</v>
      </c>
      <c r="AC516" s="17">
        <v>1</v>
      </c>
      <c r="AD516">
        <v>0.375</v>
      </c>
      <c r="AE516">
        <v>20</v>
      </c>
      <c r="AF516" s="11">
        <v>0.30937500000000001</v>
      </c>
    </row>
    <row r="517" spans="1:32" x14ac:dyDescent="0.3">
      <c r="A517" t="s">
        <v>122</v>
      </c>
      <c r="B517" t="s">
        <v>14</v>
      </c>
      <c r="C517">
        <v>-1.3</v>
      </c>
      <c r="D517">
        <v>444.44</v>
      </c>
      <c r="E517">
        <v>3.5</v>
      </c>
      <c r="F517">
        <v>3.6</v>
      </c>
      <c r="G517">
        <v>1.35</v>
      </c>
      <c r="H517">
        <v>3.29</v>
      </c>
      <c r="I517">
        <v>3.0992000000000002</v>
      </c>
      <c r="J517">
        <v>182</v>
      </c>
      <c r="K517" t="s">
        <v>55</v>
      </c>
      <c r="L517" t="s">
        <v>46</v>
      </c>
      <c r="M517">
        <v>3</v>
      </c>
      <c r="N517">
        <v>32.189</v>
      </c>
      <c r="O517">
        <v>1.25</v>
      </c>
      <c r="P517">
        <v>1.44</v>
      </c>
      <c r="Q517" t="s">
        <v>123</v>
      </c>
      <c r="R517">
        <v>65</v>
      </c>
      <c r="S517">
        <v>18</v>
      </c>
      <c r="T517">
        <v>400</v>
      </c>
      <c r="U517">
        <v>2</v>
      </c>
      <c r="V517" s="7">
        <v>0.75704541970184447</v>
      </c>
      <c r="W517">
        <v>80.73</v>
      </c>
      <c r="X517">
        <v>0.32300000000000001</v>
      </c>
      <c r="Y517">
        <v>15.83</v>
      </c>
      <c r="Z517">
        <v>7.68</v>
      </c>
      <c r="AA517">
        <v>9</v>
      </c>
      <c r="AB517">
        <v>25</v>
      </c>
      <c r="AC517" s="17">
        <v>1.5</v>
      </c>
      <c r="AD517">
        <v>0.375</v>
      </c>
      <c r="AE517">
        <v>20</v>
      </c>
      <c r="AF517" s="11">
        <v>0.31874999999999998</v>
      </c>
    </row>
    <row r="518" spans="1:32" x14ac:dyDescent="0.3">
      <c r="A518" t="s">
        <v>122</v>
      </c>
      <c r="B518" t="s">
        <v>14</v>
      </c>
      <c r="C518">
        <v>-1.3</v>
      </c>
      <c r="D518">
        <v>444.44</v>
      </c>
      <c r="E518">
        <v>3.5</v>
      </c>
      <c r="F518">
        <v>3.6</v>
      </c>
      <c r="G518">
        <v>1.35</v>
      </c>
      <c r="H518">
        <v>3.29</v>
      </c>
      <c r="I518">
        <v>3.0992000000000002</v>
      </c>
      <c r="J518">
        <v>182</v>
      </c>
      <c r="K518" t="s">
        <v>55</v>
      </c>
      <c r="L518" t="s">
        <v>46</v>
      </c>
      <c r="M518">
        <v>3</v>
      </c>
      <c r="N518">
        <v>32.189</v>
      </c>
      <c r="O518">
        <v>1.25</v>
      </c>
      <c r="P518">
        <v>1.44</v>
      </c>
      <c r="Q518" t="s">
        <v>123</v>
      </c>
      <c r="R518">
        <v>65</v>
      </c>
      <c r="S518">
        <v>18</v>
      </c>
      <c r="T518">
        <v>400</v>
      </c>
      <c r="U518">
        <v>2</v>
      </c>
      <c r="V518" s="7">
        <v>0.75704541970184447</v>
      </c>
      <c r="W518">
        <v>80.73</v>
      </c>
      <c r="X518">
        <v>0.32300000000000001</v>
      </c>
      <c r="Y518">
        <v>15.83</v>
      </c>
      <c r="Z518">
        <v>7.68</v>
      </c>
      <c r="AA518">
        <v>9</v>
      </c>
      <c r="AB518">
        <v>25</v>
      </c>
      <c r="AC518" s="17">
        <v>2</v>
      </c>
      <c r="AD518">
        <v>0.375</v>
      </c>
      <c r="AE518">
        <v>20</v>
      </c>
      <c r="AF518" s="11">
        <v>0.30937500000000001</v>
      </c>
    </row>
    <row r="519" spans="1:32" x14ac:dyDescent="0.3">
      <c r="A519" t="s">
        <v>122</v>
      </c>
      <c r="B519" t="s">
        <v>14</v>
      </c>
      <c r="C519">
        <v>-1.3</v>
      </c>
      <c r="D519">
        <v>444.44</v>
      </c>
      <c r="E519">
        <v>3.5</v>
      </c>
      <c r="F519">
        <v>3.6</v>
      </c>
      <c r="G519">
        <v>1.35</v>
      </c>
      <c r="H519">
        <v>3.29</v>
      </c>
      <c r="I519">
        <v>3.0992000000000002</v>
      </c>
      <c r="J519">
        <v>182</v>
      </c>
      <c r="K519" t="s">
        <v>55</v>
      </c>
      <c r="L519" t="s">
        <v>46</v>
      </c>
      <c r="M519">
        <v>3</v>
      </c>
      <c r="N519">
        <v>32.189</v>
      </c>
      <c r="O519">
        <v>1.25</v>
      </c>
      <c r="P519">
        <v>1.44</v>
      </c>
      <c r="Q519" t="s">
        <v>123</v>
      </c>
      <c r="R519">
        <v>65</v>
      </c>
      <c r="S519">
        <v>18</v>
      </c>
      <c r="T519">
        <v>400</v>
      </c>
      <c r="U519">
        <v>2</v>
      </c>
      <c r="V519" s="7">
        <v>0.75704541970184447</v>
      </c>
      <c r="W519">
        <v>80.73</v>
      </c>
      <c r="X519">
        <v>0.32300000000000001</v>
      </c>
      <c r="Y519">
        <v>15.83</v>
      </c>
      <c r="Z519">
        <v>7.68</v>
      </c>
      <c r="AA519">
        <v>9</v>
      </c>
      <c r="AB519">
        <v>25</v>
      </c>
      <c r="AC519" s="17">
        <v>3</v>
      </c>
      <c r="AD519">
        <v>0.375</v>
      </c>
      <c r="AE519">
        <v>20</v>
      </c>
      <c r="AF519" s="11">
        <v>0.30937500000000001</v>
      </c>
    </row>
    <row r="520" spans="1:32" x14ac:dyDescent="0.3">
      <c r="A520" t="s">
        <v>122</v>
      </c>
      <c r="B520" t="s">
        <v>14</v>
      </c>
      <c r="C520">
        <v>-1.3</v>
      </c>
      <c r="D520">
        <v>444.44</v>
      </c>
      <c r="E520">
        <v>3.5</v>
      </c>
      <c r="F520">
        <v>3.6</v>
      </c>
      <c r="G520">
        <v>1.35</v>
      </c>
      <c r="H520">
        <v>3.29</v>
      </c>
      <c r="I520">
        <v>3.0992000000000002</v>
      </c>
      <c r="J520">
        <v>182</v>
      </c>
      <c r="K520" t="s">
        <v>55</v>
      </c>
      <c r="L520" t="s">
        <v>46</v>
      </c>
      <c r="M520">
        <v>3</v>
      </c>
      <c r="N520">
        <v>32.189</v>
      </c>
      <c r="O520">
        <v>1.25</v>
      </c>
      <c r="P520">
        <v>1.44</v>
      </c>
      <c r="Q520" t="s">
        <v>123</v>
      </c>
      <c r="R520">
        <v>65</v>
      </c>
      <c r="S520">
        <v>18</v>
      </c>
      <c r="T520">
        <v>400</v>
      </c>
      <c r="U520">
        <v>2</v>
      </c>
      <c r="V520" s="7">
        <v>0.75704541970184447</v>
      </c>
      <c r="W520">
        <v>80.73</v>
      </c>
      <c r="X520">
        <v>0.32300000000000001</v>
      </c>
      <c r="Y520">
        <v>15.83</v>
      </c>
      <c r="Z520">
        <v>7.68</v>
      </c>
      <c r="AA520">
        <v>9</v>
      </c>
      <c r="AB520">
        <v>25</v>
      </c>
      <c r="AC520" s="17">
        <v>4</v>
      </c>
      <c r="AD520">
        <v>0.375</v>
      </c>
      <c r="AE520">
        <v>20</v>
      </c>
      <c r="AF520" s="11">
        <v>0.30937500000000001</v>
      </c>
    </row>
    <row r="521" spans="1:32" x14ac:dyDescent="0.3">
      <c r="A521" t="s">
        <v>124</v>
      </c>
      <c r="B521" t="s">
        <v>16</v>
      </c>
      <c r="C521">
        <v>4.51</v>
      </c>
      <c r="D521">
        <v>318.13</v>
      </c>
      <c r="E521">
        <v>1.81</v>
      </c>
      <c r="F521">
        <v>1.85</v>
      </c>
      <c r="G521">
        <v>0.55000000000000004</v>
      </c>
      <c r="H521">
        <v>0.77</v>
      </c>
      <c r="I521">
        <v>2.0249999999999999</v>
      </c>
      <c r="J521">
        <v>49.3</v>
      </c>
      <c r="K521" t="s">
        <v>55</v>
      </c>
      <c r="L521" t="s">
        <v>51</v>
      </c>
      <c r="M521">
        <v>3</v>
      </c>
      <c r="N521">
        <v>27.222000000000001</v>
      </c>
      <c r="O521">
        <v>0</v>
      </c>
      <c r="P521" s="13">
        <v>1.5189999999999999</v>
      </c>
      <c r="Q521" t="s">
        <v>52</v>
      </c>
      <c r="R521">
        <v>110</v>
      </c>
      <c r="S521">
        <v>24</v>
      </c>
      <c r="T521">
        <v>550</v>
      </c>
      <c r="U521">
        <v>8</v>
      </c>
      <c r="V521" s="7">
        <v>0.76224839171129977</v>
      </c>
      <c r="W521">
        <v>193</v>
      </c>
      <c r="X521">
        <v>1.46</v>
      </c>
      <c r="Y521">
        <v>30.1</v>
      </c>
      <c r="Z521">
        <v>9.8000000000000007</v>
      </c>
      <c r="AA521">
        <v>7</v>
      </c>
      <c r="AB521">
        <v>25</v>
      </c>
      <c r="AC521" s="17">
        <v>192</v>
      </c>
      <c r="AD521">
        <v>0.625</v>
      </c>
      <c r="AE521">
        <v>120</v>
      </c>
      <c r="AF521" s="11">
        <v>0.83333333333333337</v>
      </c>
    </row>
    <row r="522" spans="1:32" x14ac:dyDescent="0.3">
      <c r="A522" t="s">
        <v>124</v>
      </c>
      <c r="B522" t="s">
        <v>16</v>
      </c>
      <c r="C522">
        <v>4.51</v>
      </c>
      <c r="D522">
        <v>318.13</v>
      </c>
      <c r="E522">
        <v>1.81</v>
      </c>
      <c r="F522">
        <v>1.85</v>
      </c>
      <c r="G522">
        <v>0.55000000000000004</v>
      </c>
      <c r="H522">
        <v>0.77</v>
      </c>
      <c r="I522">
        <v>2.0249999999999999</v>
      </c>
      <c r="J522">
        <v>49.3</v>
      </c>
      <c r="K522" t="s">
        <v>55</v>
      </c>
      <c r="L522" t="s">
        <v>51</v>
      </c>
      <c r="M522">
        <v>3</v>
      </c>
      <c r="N522">
        <v>27.222000000000001</v>
      </c>
      <c r="O522">
        <v>0</v>
      </c>
      <c r="P522" s="13">
        <v>1.5189999999999999</v>
      </c>
      <c r="Q522" t="s">
        <v>52</v>
      </c>
      <c r="R522">
        <v>110</v>
      </c>
      <c r="S522">
        <v>24</v>
      </c>
      <c r="T522">
        <v>550</v>
      </c>
      <c r="U522">
        <v>8</v>
      </c>
      <c r="V522" s="7">
        <v>0.76224839171129977</v>
      </c>
      <c r="W522">
        <v>193</v>
      </c>
      <c r="X522">
        <v>1.46</v>
      </c>
      <c r="Y522">
        <v>30.1</v>
      </c>
      <c r="Z522">
        <v>9.8000000000000007</v>
      </c>
      <c r="AA522">
        <v>7</v>
      </c>
      <c r="AB522">
        <v>25</v>
      </c>
      <c r="AC522" s="17">
        <v>192</v>
      </c>
      <c r="AD522">
        <v>0.625</v>
      </c>
      <c r="AE522">
        <v>240</v>
      </c>
      <c r="AF522" s="11">
        <v>0.83333333333333337</v>
      </c>
    </row>
    <row r="523" spans="1:32" x14ac:dyDescent="0.3">
      <c r="A523" t="s">
        <v>124</v>
      </c>
      <c r="B523" t="s">
        <v>16</v>
      </c>
      <c r="C523">
        <v>4.51</v>
      </c>
      <c r="D523">
        <v>318.13</v>
      </c>
      <c r="E523">
        <v>1.81</v>
      </c>
      <c r="F523">
        <v>1.85</v>
      </c>
      <c r="G523">
        <v>0.55000000000000004</v>
      </c>
      <c r="H523">
        <v>0.77</v>
      </c>
      <c r="I523">
        <v>2.0249999999999999</v>
      </c>
      <c r="J523">
        <v>49.3</v>
      </c>
      <c r="K523" t="s">
        <v>55</v>
      </c>
      <c r="L523" t="s">
        <v>51</v>
      </c>
      <c r="M523">
        <v>3</v>
      </c>
      <c r="N523">
        <v>27.222000000000001</v>
      </c>
      <c r="O523">
        <v>0</v>
      </c>
      <c r="P523" s="13">
        <v>1.5189999999999999</v>
      </c>
      <c r="Q523" t="s">
        <v>52</v>
      </c>
      <c r="R523">
        <v>110</v>
      </c>
      <c r="S523">
        <v>24</v>
      </c>
      <c r="T523">
        <v>550</v>
      </c>
      <c r="U523">
        <v>8</v>
      </c>
      <c r="V523" s="7">
        <v>0.76224839171129977</v>
      </c>
      <c r="W523">
        <v>193</v>
      </c>
      <c r="X523">
        <v>1.46</v>
      </c>
      <c r="Y523">
        <v>30.1</v>
      </c>
      <c r="Z523">
        <v>9.8000000000000007</v>
      </c>
      <c r="AA523">
        <v>7</v>
      </c>
      <c r="AB523">
        <v>25</v>
      </c>
      <c r="AC523" s="17">
        <v>192</v>
      </c>
      <c r="AD523">
        <v>0.625</v>
      </c>
      <c r="AE523">
        <v>435</v>
      </c>
      <c r="AF523" s="11">
        <v>0.86206896551724133</v>
      </c>
    </row>
    <row r="524" spans="1:32" x14ac:dyDescent="0.3">
      <c r="A524" t="s">
        <v>124</v>
      </c>
      <c r="B524" t="s">
        <v>16</v>
      </c>
      <c r="C524">
        <v>4.51</v>
      </c>
      <c r="D524">
        <v>318.13</v>
      </c>
      <c r="E524">
        <v>1.81</v>
      </c>
      <c r="F524">
        <v>1.85</v>
      </c>
      <c r="G524">
        <v>0.55000000000000004</v>
      </c>
      <c r="H524">
        <v>0.77</v>
      </c>
      <c r="I524">
        <v>2.0249999999999999</v>
      </c>
      <c r="J524">
        <v>49.3</v>
      </c>
      <c r="K524" t="s">
        <v>55</v>
      </c>
      <c r="L524" t="s">
        <v>51</v>
      </c>
      <c r="M524">
        <v>3</v>
      </c>
      <c r="N524">
        <v>27.222000000000001</v>
      </c>
      <c r="O524">
        <v>0</v>
      </c>
      <c r="P524" s="13">
        <v>1.5189999999999999</v>
      </c>
      <c r="Q524" t="s">
        <v>52</v>
      </c>
      <c r="R524">
        <v>110</v>
      </c>
      <c r="S524">
        <v>24</v>
      </c>
      <c r="T524">
        <v>550</v>
      </c>
      <c r="U524">
        <v>8</v>
      </c>
      <c r="V524" s="7">
        <v>0.76224839171129977</v>
      </c>
      <c r="W524">
        <v>193</v>
      </c>
      <c r="X524">
        <v>1.46</v>
      </c>
      <c r="Y524">
        <v>30.1</v>
      </c>
      <c r="Z524">
        <v>9.8000000000000007</v>
      </c>
      <c r="AA524">
        <v>7</v>
      </c>
      <c r="AB524">
        <v>25</v>
      </c>
      <c r="AC524" s="17">
        <v>192</v>
      </c>
      <c r="AD524">
        <v>0.625</v>
      </c>
      <c r="AE524">
        <v>840</v>
      </c>
      <c r="AF524" s="11">
        <v>0.83333333333333337</v>
      </c>
    </row>
    <row r="525" spans="1:32" x14ac:dyDescent="0.3">
      <c r="A525" t="s">
        <v>124</v>
      </c>
      <c r="B525" t="s">
        <v>16</v>
      </c>
      <c r="C525">
        <v>4.51</v>
      </c>
      <c r="D525">
        <v>318.13</v>
      </c>
      <c r="E525">
        <v>1.81</v>
      </c>
      <c r="F525">
        <v>1.85</v>
      </c>
      <c r="G525">
        <v>0.55000000000000004</v>
      </c>
      <c r="H525">
        <v>0.77</v>
      </c>
      <c r="I525">
        <v>2.0249999999999999</v>
      </c>
      <c r="J525">
        <v>49.3</v>
      </c>
      <c r="K525" t="s">
        <v>55</v>
      </c>
      <c r="L525" t="s">
        <v>51</v>
      </c>
      <c r="M525">
        <v>3</v>
      </c>
      <c r="N525">
        <v>27.222000000000001</v>
      </c>
      <c r="O525">
        <v>0</v>
      </c>
      <c r="P525" s="13">
        <v>1.5189999999999999</v>
      </c>
      <c r="Q525" t="s">
        <v>52</v>
      </c>
      <c r="R525">
        <v>110</v>
      </c>
      <c r="S525">
        <v>24</v>
      </c>
      <c r="T525">
        <v>550</v>
      </c>
      <c r="U525">
        <v>8</v>
      </c>
      <c r="V525" s="7">
        <v>0.76224839171129977</v>
      </c>
      <c r="W525">
        <v>193</v>
      </c>
      <c r="X525">
        <v>1.46</v>
      </c>
      <c r="Y525">
        <v>30.1</v>
      </c>
      <c r="Z525">
        <v>9.8000000000000007</v>
      </c>
      <c r="AA525">
        <v>7</v>
      </c>
      <c r="AB525">
        <v>25</v>
      </c>
      <c r="AC525" s="17">
        <v>192</v>
      </c>
      <c r="AD525">
        <v>0.625</v>
      </c>
      <c r="AE525" s="9">
        <v>1163.75</v>
      </c>
      <c r="AF525" s="11">
        <v>0.72502685284640167</v>
      </c>
    </row>
    <row r="526" spans="1:32" x14ac:dyDescent="0.3">
      <c r="A526" t="s">
        <v>124</v>
      </c>
      <c r="B526" t="s">
        <v>16</v>
      </c>
      <c r="C526">
        <v>4.51</v>
      </c>
      <c r="D526">
        <v>318.13</v>
      </c>
      <c r="E526">
        <v>1.81</v>
      </c>
      <c r="F526">
        <v>1.85</v>
      </c>
      <c r="G526">
        <v>0.55000000000000004</v>
      </c>
      <c r="H526">
        <v>0.77</v>
      </c>
      <c r="I526">
        <v>2.0249999999999999</v>
      </c>
      <c r="J526">
        <v>49.3</v>
      </c>
      <c r="K526" t="s">
        <v>55</v>
      </c>
      <c r="L526" t="s">
        <v>51</v>
      </c>
      <c r="M526">
        <v>3</v>
      </c>
      <c r="N526">
        <v>27.222000000000001</v>
      </c>
      <c r="O526">
        <v>0</v>
      </c>
      <c r="P526" s="13">
        <v>1.5189999999999999</v>
      </c>
      <c r="Q526" t="s">
        <v>52</v>
      </c>
      <c r="R526">
        <v>110</v>
      </c>
      <c r="S526">
        <v>24</v>
      </c>
      <c r="T526">
        <v>550</v>
      </c>
      <c r="U526">
        <v>8</v>
      </c>
      <c r="V526" s="7">
        <v>0.76224839171129977</v>
      </c>
      <c r="W526">
        <v>193</v>
      </c>
      <c r="X526">
        <v>1.46</v>
      </c>
      <c r="Y526">
        <v>30.1</v>
      </c>
      <c r="Z526">
        <v>9.8000000000000007</v>
      </c>
      <c r="AA526">
        <v>7</v>
      </c>
      <c r="AB526">
        <v>25</v>
      </c>
      <c r="AC526" s="17">
        <v>192</v>
      </c>
      <c r="AD526">
        <v>0.625</v>
      </c>
      <c r="AE526">
        <v>1590</v>
      </c>
      <c r="AF526" s="11">
        <v>0.59748427672955973</v>
      </c>
    </row>
    <row r="527" spans="1:32" x14ac:dyDescent="0.3">
      <c r="A527" t="s">
        <v>124</v>
      </c>
      <c r="B527" t="s">
        <v>16</v>
      </c>
      <c r="C527">
        <v>4.51</v>
      </c>
      <c r="D527">
        <v>318.13</v>
      </c>
      <c r="E527">
        <v>1.81</v>
      </c>
      <c r="F527">
        <v>1.85</v>
      </c>
      <c r="G527">
        <v>0.55000000000000004</v>
      </c>
      <c r="H527">
        <v>0.77</v>
      </c>
      <c r="I527">
        <v>2.0249999999999999</v>
      </c>
      <c r="J527">
        <v>49.3</v>
      </c>
      <c r="K527" t="s">
        <v>55</v>
      </c>
      <c r="L527" t="s">
        <v>51</v>
      </c>
      <c r="M527">
        <v>3</v>
      </c>
      <c r="N527">
        <v>27.222000000000001</v>
      </c>
      <c r="O527">
        <v>0</v>
      </c>
      <c r="P527" s="13">
        <v>1.5189999999999999</v>
      </c>
      <c r="Q527" t="s">
        <v>52</v>
      </c>
      <c r="R527">
        <v>110</v>
      </c>
      <c r="S527">
        <v>24</v>
      </c>
      <c r="T527">
        <v>550</v>
      </c>
      <c r="U527">
        <v>8</v>
      </c>
      <c r="V527" s="7">
        <v>0.76224839171129977</v>
      </c>
      <c r="W527">
        <v>193</v>
      </c>
      <c r="X527">
        <v>1.46</v>
      </c>
      <c r="Y527">
        <v>30.1</v>
      </c>
      <c r="Z527">
        <v>9.8000000000000007</v>
      </c>
      <c r="AA527">
        <v>7</v>
      </c>
      <c r="AB527">
        <v>25</v>
      </c>
      <c r="AC527" s="17">
        <v>192</v>
      </c>
      <c r="AD527">
        <v>0.625</v>
      </c>
      <c r="AE527">
        <v>215</v>
      </c>
      <c r="AF527" s="11">
        <v>0.93023255813953487</v>
      </c>
    </row>
    <row r="528" spans="1:32" x14ac:dyDescent="0.3">
      <c r="A528" t="s">
        <v>124</v>
      </c>
      <c r="B528" t="s">
        <v>16</v>
      </c>
      <c r="C528">
        <v>4.51</v>
      </c>
      <c r="D528">
        <v>318.13</v>
      </c>
      <c r="E528">
        <v>1.81</v>
      </c>
      <c r="F528">
        <v>1.85</v>
      </c>
      <c r="G528">
        <v>0.55000000000000004</v>
      </c>
      <c r="H528">
        <v>0.77</v>
      </c>
      <c r="I528">
        <v>2.0249999999999999</v>
      </c>
      <c r="J528">
        <v>49.3</v>
      </c>
      <c r="K528" t="s">
        <v>55</v>
      </c>
      <c r="L528" t="s">
        <v>51</v>
      </c>
      <c r="M528">
        <v>3</v>
      </c>
      <c r="N528">
        <v>27.222000000000001</v>
      </c>
      <c r="O528">
        <v>0</v>
      </c>
      <c r="P528" s="13">
        <v>1.5189999999999999</v>
      </c>
      <c r="Q528" t="s">
        <v>52</v>
      </c>
      <c r="R528">
        <v>110</v>
      </c>
      <c r="S528">
        <v>24</v>
      </c>
      <c r="T528">
        <v>550</v>
      </c>
      <c r="U528">
        <v>8</v>
      </c>
      <c r="V528" s="7">
        <v>0.76224839171129977</v>
      </c>
      <c r="W528">
        <v>193</v>
      </c>
      <c r="X528">
        <v>1.46</v>
      </c>
      <c r="Y528">
        <v>30.1</v>
      </c>
      <c r="Z528">
        <v>9.8000000000000007</v>
      </c>
      <c r="AA528">
        <v>7</v>
      </c>
      <c r="AB528">
        <v>25</v>
      </c>
      <c r="AC528" s="17">
        <v>192</v>
      </c>
      <c r="AD528">
        <v>0.625</v>
      </c>
      <c r="AE528">
        <v>440</v>
      </c>
      <c r="AF528" s="11">
        <v>0.90909090909090906</v>
      </c>
    </row>
    <row r="529" spans="1:32" x14ac:dyDescent="0.3">
      <c r="A529" t="s">
        <v>124</v>
      </c>
      <c r="B529" t="s">
        <v>16</v>
      </c>
      <c r="C529">
        <v>4.51</v>
      </c>
      <c r="D529">
        <v>318.13</v>
      </c>
      <c r="E529">
        <v>1.81</v>
      </c>
      <c r="F529">
        <v>1.85</v>
      </c>
      <c r="G529">
        <v>0.55000000000000004</v>
      </c>
      <c r="H529">
        <v>0.77</v>
      </c>
      <c r="I529">
        <v>2.0249999999999999</v>
      </c>
      <c r="J529">
        <v>49.3</v>
      </c>
      <c r="K529" t="s">
        <v>55</v>
      </c>
      <c r="L529" t="s">
        <v>51</v>
      </c>
      <c r="M529">
        <v>3</v>
      </c>
      <c r="N529">
        <v>27.222000000000001</v>
      </c>
      <c r="O529">
        <v>0</v>
      </c>
      <c r="P529" s="13">
        <v>1.5189999999999999</v>
      </c>
      <c r="Q529" t="s">
        <v>52</v>
      </c>
      <c r="R529">
        <v>110</v>
      </c>
      <c r="S529">
        <v>24</v>
      </c>
      <c r="T529">
        <v>550</v>
      </c>
      <c r="U529">
        <v>8</v>
      </c>
      <c r="V529" s="7">
        <v>0.76224839171129977</v>
      </c>
      <c r="W529">
        <v>193</v>
      </c>
      <c r="X529">
        <v>1.46</v>
      </c>
      <c r="Y529">
        <v>30.1</v>
      </c>
      <c r="Z529">
        <v>9.8000000000000007</v>
      </c>
      <c r="AA529">
        <v>7</v>
      </c>
      <c r="AB529">
        <v>25</v>
      </c>
      <c r="AC529" s="17">
        <v>192</v>
      </c>
      <c r="AD529">
        <v>0.625</v>
      </c>
      <c r="AE529">
        <v>865</v>
      </c>
      <c r="AF529" s="11">
        <v>0.83815028901734101</v>
      </c>
    </row>
    <row r="530" spans="1:32" x14ac:dyDescent="0.3">
      <c r="A530" t="s">
        <v>124</v>
      </c>
      <c r="B530" t="s">
        <v>16</v>
      </c>
      <c r="C530">
        <v>4.51</v>
      </c>
      <c r="D530">
        <v>318.13</v>
      </c>
      <c r="E530">
        <v>1.81</v>
      </c>
      <c r="F530">
        <v>1.85</v>
      </c>
      <c r="G530">
        <v>0.55000000000000004</v>
      </c>
      <c r="H530">
        <v>0.77</v>
      </c>
      <c r="I530">
        <v>2.0249999999999999</v>
      </c>
      <c r="J530">
        <v>49.3</v>
      </c>
      <c r="K530" t="s">
        <v>55</v>
      </c>
      <c r="L530" t="s">
        <v>51</v>
      </c>
      <c r="M530">
        <v>3</v>
      </c>
      <c r="N530">
        <v>27.222000000000001</v>
      </c>
      <c r="O530">
        <v>0</v>
      </c>
      <c r="P530" s="13">
        <v>1.5189999999999999</v>
      </c>
      <c r="Q530" t="s">
        <v>52</v>
      </c>
      <c r="R530">
        <v>110</v>
      </c>
      <c r="S530">
        <v>24</v>
      </c>
      <c r="T530">
        <v>550</v>
      </c>
      <c r="U530">
        <v>8</v>
      </c>
      <c r="V530" s="7">
        <v>0.76224839171129977</v>
      </c>
      <c r="W530">
        <v>193</v>
      </c>
      <c r="X530">
        <v>1.46</v>
      </c>
      <c r="Y530">
        <v>30.1</v>
      </c>
      <c r="Z530">
        <v>9.8000000000000007</v>
      </c>
      <c r="AA530">
        <v>7</v>
      </c>
      <c r="AB530">
        <v>25</v>
      </c>
      <c r="AC530" s="17">
        <v>192</v>
      </c>
      <c r="AD530">
        <v>0.625</v>
      </c>
      <c r="AE530">
        <v>1140</v>
      </c>
      <c r="AF530" s="11">
        <v>0.70175438596491224</v>
      </c>
    </row>
    <row r="531" spans="1:32" x14ac:dyDescent="0.3">
      <c r="A531" t="s">
        <v>124</v>
      </c>
      <c r="B531" t="s">
        <v>16</v>
      </c>
      <c r="C531">
        <v>4.51</v>
      </c>
      <c r="D531">
        <v>318.13</v>
      </c>
      <c r="E531">
        <v>1.81</v>
      </c>
      <c r="F531">
        <v>1.85</v>
      </c>
      <c r="G531">
        <v>0.55000000000000004</v>
      </c>
      <c r="H531">
        <v>0.77</v>
      </c>
      <c r="I531">
        <v>2.0249999999999999</v>
      </c>
      <c r="J531">
        <v>49.3</v>
      </c>
      <c r="K531" t="s">
        <v>55</v>
      </c>
      <c r="L531" t="s">
        <v>51</v>
      </c>
      <c r="M531">
        <v>3</v>
      </c>
      <c r="N531">
        <v>27.222000000000001</v>
      </c>
      <c r="O531">
        <v>0</v>
      </c>
      <c r="P531" s="13">
        <v>1.5189999999999999</v>
      </c>
      <c r="Q531" t="s">
        <v>52</v>
      </c>
      <c r="R531">
        <v>110</v>
      </c>
      <c r="S531">
        <v>24</v>
      </c>
      <c r="T531">
        <v>550</v>
      </c>
      <c r="U531">
        <v>8</v>
      </c>
      <c r="V531" s="7">
        <v>0.76224839171129977</v>
      </c>
      <c r="W531">
        <v>193</v>
      </c>
      <c r="X531">
        <v>1.46</v>
      </c>
      <c r="Y531">
        <v>30.1</v>
      </c>
      <c r="Z531">
        <v>9.8000000000000007</v>
      </c>
      <c r="AA531">
        <v>7</v>
      </c>
      <c r="AB531">
        <v>25</v>
      </c>
      <c r="AC531" s="17">
        <v>192</v>
      </c>
      <c r="AD531">
        <v>0.625</v>
      </c>
      <c r="AE531" s="9">
        <v>1612.5</v>
      </c>
      <c r="AF531" s="11">
        <v>0.5968992248062015</v>
      </c>
    </row>
    <row r="532" spans="1:32" x14ac:dyDescent="0.3">
      <c r="A532" t="s">
        <v>124</v>
      </c>
      <c r="B532" t="s">
        <v>16</v>
      </c>
      <c r="C532">
        <v>4.51</v>
      </c>
      <c r="D532">
        <v>318.13</v>
      </c>
      <c r="E532">
        <v>1.81</v>
      </c>
      <c r="F532">
        <v>1.85</v>
      </c>
      <c r="G532">
        <v>0.55000000000000004</v>
      </c>
      <c r="H532">
        <v>0.77</v>
      </c>
      <c r="I532">
        <v>2.0249999999999999</v>
      </c>
      <c r="J532">
        <v>49.3</v>
      </c>
      <c r="K532" t="s">
        <v>55</v>
      </c>
      <c r="L532" t="s">
        <v>51</v>
      </c>
      <c r="M532">
        <v>3</v>
      </c>
      <c r="N532">
        <v>27.222000000000001</v>
      </c>
      <c r="O532">
        <v>0</v>
      </c>
      <c r="P532" s="13">
        <v>1.5189999999999999</v>
      </c>
      <c r="Q532" t="s">
        <v>52</v>
      </c>
      <c r="R532">
        <v>110</v>
      </c>
      <c r="S532">
        <v>24</v>
      </c>
      <c r="T532">
        <v>550</v>
      </c>
      <c r="U532">
        <v>8</v>
      </c>
      <c r="V532" s="7">
        <v>0.76224839171129977</v>
      </c>
      <c r="W532">
        <v>193</v>
      </c>
      <c r="X532">
        <v>1.46</v>
      </c>
      <c r="Y532">
        <v>30.1</v>
      </c>
      <c r="Z532">
        <v>9.8000000000000007</v>
      </c>
      <c r="AA532">
        <v>9</v>
      </c>
      <c r="AB532">
        <v>25</v>
      </c>
      <c r="AC532" s="17">
        <v>192</v>
      </c>
      <c r="AD532">
        <v>0.625</v>
      </c>
      <c r="AE532" s="9">
        <v>108.75</v>
      </c>
      <c r="AF532" s="11">
        <v>0.86206896551724133</v>
      </c>
    </row>
    <row r="533" spans="1:32" x14ac:dyDescent="0.3">
      <c r="A533" t="s">
        <v>124</v>
      </c>
      <c r="B533" t="s">
        <v>16</v>
      </c>
      <c r="C533">
        <v>4.51</v>
      </c>
      <c r="D533">
        <v>318.13</v>
      </c>
      <c r="E533">
        <v>1.81</v>
      </c>
      <c r="F533">
        <v>1.85</v>
      </c>
      <c r="G533">
        <v>0.55000000000000004</v>
      </c>
      <c r="H533">
        <v>0.77</v>
      </c>
      <c r="I533">
        <v>2.0249999999999999</v>
      </c>
      <c r="J533">
        <v>49.3</v>
      </c>
      <c r="K533" t="s">
        <v>55</v>
      </c>
      <c r="L533" t="s">
        <v>51</v>
      </c>
      <c r="M533">
        <v>3</v>
      </c>
      <c r="N533">
        <v>27.222000000000001</v>
      </c>
      <c r="O533">
        <v>0</v>
      </c>
      <c r="P533" s="13">
        <v>1.5189999999999999</v>
      </c>
      <c r="Q533" t="s">
        <v>52</v>
      </c>
      <c r="R533">
        <v>110</v>
      </c>
      <c r="S533">
        <v>24</v>
      </c>
      <c r="T533">
        <v>550</v>
      </c>
      <c r="U533">
        <v>8</v>
      </c>
      <c r="V533" s="7">
        <v>0.76224839171129977</v>
      </c>
      <c r="W533">
        <v>193</v>
      </c>
      <c r="X533">
        <v>1.46</v>
      </c>
      <c r="Y533">
        <v>30.1</v>
      </c>
      <c r="Z533">
        <v>9.8000000000000007</v>
      </c>
      <c r="AA533">
        <v>9</v>
      </c>
      <c r="AB533">
        <v>25</v>
      </c>
      <c r="AC533" s="17">
        <v>192</v>
      </c>
      <c r="AD533">
        <v>0.625</v>
      </c>
      <c r="AE533" s="9">
        <v>443.75</v>
      </c>
      <c r="AF533" s="11">
        <v>0.88732394366197187</v>
      </c>
    </row>
    <row r="534" spans="1:32" x14ac:dyDescent="0.3">
      <c r="A534" t="s">
        <v>124</v>
      </c>
      <c r="B534" t="s">
        <v>16</v>
      </c>
      <c r="C534">
        <v>4.51</v>
      </c>
      <c r="D534">
        <v>318.13</v>
      </c>
      <c r="E534">
        <v>1.81</v>
      </c>
      <c r="F534">
        <v>1.85</v>
      </c>
      <c r="G534">
        <v>0.55000000000000004</v>
      </c>
      <c r="H534">
        <v>0.77</v>
      </c>
      <c r="I534">
        <v>2.0249999999999999</v>
      </c>
      <c r="J534">
        <v>49.3</v>
      </c>
      <c r="K534" t="s">
        <v>55</v>
      </c>
      <c r="L534" t="s">
        <v>51</v>
      </c>
      <c r="M534">
        <v>3</v>
      </c>
      <c r="N534">
        <v>27.222000000000001</v>
      </c>
      <c r="O534">
        <v>0</v>
      </c>
      <c r="P534" s="13">
        <v>1.5189999999999999</v>
      </c>
      <c r="Q534" t="s">
        <v>52</v>
      </c>
      <c r="R534">
        <v>110</v>
      </c>
      <c r="S534">
        <v>24</v>
      </c>
      <c r="T534">
        <v>550</v>
      </c>
      <c r="U534">
        <v>8</v>
      </c>
      <c r="V534" s="7">
        <v>0.76224839171129977</v>
      </c>
      <c r="W534">
        <v>193</v>
      </c>
      <c r="X534">
        <v>1.46</v>
      </c>
      <c r="Y534">
        <v>30.1</v>
      </c>
      <c r="Z534">
        <v>9.8000000000000007</v>
      </c>
      <c r="AA534">
        <v>9</v>
      </c>
      <c r="AB534">
        <v>25</v>
      </c>
      <c r="AC534" s="17">
        <v>192</v>
      </c>
      <c r="AD534">
        <v>0.625</v>
      </c>
      <c r="AE534" s="9">
        <v>796.25</v>
      </c>
      <c r="AF534" s="11">
        <v>0.82417582417582413</v>
      </c>
    </row>
    <row r="535" spans="1:32" x14ac:dyDescent="0.3">
      <c r="A535" t="s">
        <v>124</v>
      </c>
      <c r="B535" t="s">
        <v>16</v>
      </c>
      <c r="C535">
        <v>4.51</v>
      </c>
      <c r="D535">
        <v>318.13</v>
      </c>
      <c r="E535">
        <v>1.81</v>
      </c>
      <c r="F535">
        <v>1.85</v>
      </c>
      <c r="G535">
        <v>0.55000000000000004</v>
      </c>
      <c r="H535">
        <v>0.77</v>
      </c>
      <c r="I535">
        <v>2.0249999999999999</v>
      </c>
      <c r="J535">
        <v>49.3</v>
      </c>
      <c r="K535" t="s">
        <v>55</v>
      </c>
      <c r="L535" t="s">
        <v>51</v>
      </c>
      <c r="M535">
        <v>3</v>
      </c>
      <c r="N535">
        <v>27.222000000000001</v>
      </c>
      <c r="O535">
        <v>0</v>
      </c>
      <c r="P535" s="13">
        <v>1.5189999999999999</v>
      </c>
      <c r="Q535" t="s">
        <v>52</v>
      </c>
      <c r="R535">
        <v>110</v>
      </c>
      <c r="S535">
        <v>24</v>
      </c>
      <c r="T535">
        <v>550</v>
      </c>
      <c r="U535">
        <v>8</v>
      </c>
      <c r="V535" s="7">
        <v>0.76224839171129977</v>
      </c>
      <c r="W535">
        <v>193</v>
      </c>
      <c r="X535">
        <v>1.46</v>
      </c>
      <c r="Y535">
        <v>30.1</v>
      </c>
      <c r="Z535">
        <v>9.8000000000000007</v>
      </c>
      <c r="AA535">
        <v>9</v>
      </c>
      <c r="AB535">
        <v>25</v>
      </c>
      <c r="AC535" s="17">
        <v>192</v>
      </c>
      <c r="AD535">
        <v>0.625</v>
      </c>
      <c r="AE535" s="9">
        <v>1221.875</v>
      </c>
      <c r="AF535" s="11">
        <v>0.65217391304347827</v>
      </c>
    </row>
    <row r="536" spans="1:32" x14ac:dyDescent="0.3">
      <c r="A536" t="s">
        <v>124</v>
      </c>
      <c r="B536" t="s">
        <v>16</v>
      </c>
      <c r="C536">
        <v>4.51</v>
      </c>
      <c r="D536">
        <v>318.13</v>
      </c>
      <c r="E536">
        <v>1.81</v>
      </c>
      <c r="F536">
        <v>1.85</v>
      </c>
      <c r="G536">
        <v>0.55000000000000004</v>
      </c>
      <c r="H536">
        <v>0.77</v>
      </c>
      <c r="I536">
        <v>2.0249999999999999</v>
      </c>
      <c r="J536">
        <v>49.3</v>
      </c>
      <c r="K536" t="s">
        <v>55</v>
      </c>
      <c r="L536" t="s">
        <v>51</v>
      </c>
      <c r="M536">
        <v>3</v>
      </c>
      <c r="N536">
        <v>27.222000000000001</v>
      </c>
      <c r="O536">
        <v>0</v>
      </c>
      <c r="P536" s="13">
        <v>1.5189999999999999</v>
      </c>
      <c r="Q536" t="s">
        <v>52</v>
      </c>
      <c r="R536">
        <v>110</v>
      </c>
      <c r="S536">
        <v>24</v>
      </c>
      <c r="T536">
        <v>550</v>
      </c>
      <c r="U536">
        <v>8</v>
      </c>
      <c r="V536" s="7">
        <v>0.76224839171129977</v>
      </c>
      <c r="W536">
        <v>193</v>
      </c>
      <c r="X536">
        <v>1.46</v>
      </c>
      <c r="Y536">
        <v>30.1</v>
      </c>
      <c r="Z536">
        <v>9.8000000000000007</v>
      </c>
      <c r="AA536">
        <v>9</v>
      </c>
      <c r="AB536">
        <v>25</v>
      </c>
      <c r="AC536" s="17">
        <v>192</v>
      </c>
      <c r="AD536">
        <v>0.625</v>
      </c>
      <c r="AE536" s="9">
        <v>1559.375</v>
      </c>
      <c r="AF536" s="11">
        <v>0.61523046092184364</v>
      </c>
    </row>
    <row r="537" spans="1:32" x14ac:dyDescent="0.3">
      <c r="A537" t="s">
        <v>124</v>
      </c>
      <c r="B537" t="s">
        <v>16</v>
      </c>
      <c r="C537">
        <v>4.51</v>
      </c>
      <c r="D537">
        <v>318.13</v>
      </c>
      <c r="E537">
        <v>1.81</v>
      </c>
      <c r="F537">
        <v>1.85</v>
      </c>
      <c r="G537">
        <v>0.55000000000000004</v>
      </c>
      <c r="H537">
        <v>0.77</v>
      </c>
      <c r="I537">
        <v>2.0249999999999999</v>
      </c>
      <c r="J537">
        <v>49.3</v>
      </c>
      <c r="K537" t="s">
        <v>55</v>
      </c>
      <c r="L537" t="s">
        <v>51</v>
      </c>
      <c r="M537">
        <v>3</v>
      </c>
      <c r="N537">
        <v>27.222000000000001</v>
      </c>
      <c r="O537">
        <v>0</v>
      </c>
      <c r="P537" s="13">
        <v>1.5189999999999999</v>
      </c>
      <c r="Q537" t="s">
        <v>52</v>
      </c>
      <c r="R537">
        <v>110</v>
      </c>
      <c r="S537">
        <v>24</v>
      </c>
      <c r="T537">
        <v>550</v>
      </c>
      <c r="U537">
        <v>8</v>
      </c>
      <c r="V537" s="7">
        <v>0.76224839171129977</v>
      </c>
      <c r="W537">
        <v>193</v>
      </c>
      <c r="X537">
        <v>1.46</v>
      </c>
      <c r="Y537">
        <v>30.1</v>
      </c>
      <c r="Z537">
        <v>9.8000000000000007</v>
      </c>
      <c r="AA537">
        <v>11</v>
      </c>
      <c r="AB537">
        <v>25</v>
      </c>
      <c r="AC537" s="17">
        <v>192</v>
      </c>
      <c r="AD537">
        <v>0.625</v>
      </c>
      <c r="AE537" s="9">
        <v>65</v>
      </c>
      <c r="AF537" s="11">
        <v>0.76923076923076927</v>
      </c>
    </row>
    <row r="538" spans="1:32" x14ac:dyDescent="0.3">
      <c r="A538" t="s">
        <v>124</v>
      </c>
      <c r="B538" t="s">
        <v>16</v>
      </c>
      <c r="C538">
        <v>4.51</v>
      </c>
      <c r="D538">
        <v>318.13</v>
      </c>
      <c r="E538">
        <v>1.81</v>
      </c>
      <c r="F538">
        <v>1.85</v>
      </c>
      <c r="G538">
        <v>0.55000000000000004</v>
      </c>
      <c r="H538">
        <v>0.77</v>
      </c>
      <c r="I538">
        <v>2.0249999999999999</v>
      </c>
      <c r="J538">
        <v>49.3</v>
      </c>
      <c r="K538" t="s">
        <v>55</v>
      </c>
      <c r="L538" t="s">
        <v>51</v>
      </c>
      <c r="M538">
        <v>3</v>
      </c>
      <c r="N538">
        <v>27.222000000000001</v>
      </c>
      <c r="O538">
        <v>0</v>
      </c>
      <c r="P538" s="13">
        <v>1.5189999999999999</v>
      </c>
      <c r="Q538" t="s">
        <v>52</v>
      </c>
      <c r="R538">
        <v>110</v>
      </c>
      <c r="S538">
        <v>24</v>
      </c>
      <c r="T538">
        <v>550</v>
      </c>
      <c r="U538">
        <v>8</v>
      </c>
      <c r="V538" s="7">
        <v>0.76224839171129977</v>
      </c>
      <c r="W538">
        <v>193</v>
      </c>
      <c r="X538">
        <v>1.46</v>
      </c>
      <c r="Y538">
        <v>30.1</v>
      </c>
      <c r="Z538">
        <v>9.8000000000000007</v>
      </c>
      <c r="AA538">
        <v>11</v>
      </c>
      <c r="AB538">
        <v>25</v>
      </c>
      <c r="AC538" s="17">
        <v>192</v>
      </c>
      <c r="AD538">
        <v>0.625</v>
      </c>
      <c r="AE538" s="9">
        <v>350</v>
      </c>
      <c r="AF538" s="11">
        <v>0.8571428571428571</v>
      </c>
    </row>
    <row r="539" spans="1:32" x14ac:dyDescent="0.3">
      <c r="A539" t="s">
        <v>124</v>
      </c>
      <c r="B539" t="s">
        <v>16</v>
      </c>
      <c r="C539">
        <v>4.51</v>
      </c>
      <c r="D539">
        <v>318.13</v>
      </c>
      <c r="E539">
        <v>1.81</v>
      </c>
      <c r="F539">
        <v>1.85</v>
      </c>
      <c r="G539">
        <v>0.55000000000000004</v>
      </c>
      <c r="H539">
        <v>0.77</v>
      </c>
      <c r="I539">
        <v>2.0249999999999999</v>
      </c>
      <c r="J539">
        <v>49.3</v>
      </c>
      <c r="K539" t="s">
        <v>55</v>
      </c>
      <c r="L539" t="s">
        <v>51</v>
      </c>
      <c r="M539">
        <v>3</v>
      </c>
      <c r="N539">
        <v>27.222000000000001</v>
      </c>
      <c r="O539">
        <v>0</v>
      </c>
      <c r="P539" s="13">
        <v>1.5189999999999999</v>
      </c>
      <c r="Q539" t="s">
        <v>52</v>
      </c>
      <c r="R539">
        <v>110</v>
      </c>
      <c r="S539">
        <v>24</v>
      </c>
      <c r="T539">
        <v>550</v>
      </c>
      <c r="U539">
        <v>8</v>
      </c>
      <c r="V539" s="7">
        <v>0.76224839171129977</v>
      </c>
      <c r="W539">
        <v>193</v>
      </c>
      <c r="X539">
        <v>1.46</v>
      </c>
      <c r="Y539">
        <v>30.1</v>
      </c>
      <c r="Z539">
        <v>9.8000000000000007</v>
      </c>
      <c r="AA539">
        <v>11</v>
      </c>
      <c r="AB539">
        <v>25</v>
      </c>
      <c r="AC539" s="17">
        <v>192</v>
      </c>
      <c r="AD539">
        <v>0.625</v>
      </c>
      <c r="AE539" s="9">
        <v>846.25</v>
      </c>
      <c r="AF539" s="11">
        <v>0.77548005908419493</v>
      </c>
    </row>
    <row r="540" spans="1:32" x14ac:dyDescent="0.3">
      <c r="A540" t="s">
        <v>124</v>
      </c>
      <c r="B540" t="s">
        <v>16</v>
      </c>
      <c r="C540">
        <v>4.51</v>
      </c>
      <c r="D540">
        <v>318.13</v>
      </c>
      <c r="E540">
        <v>1.81</v>
      </c>
      <c r="F540">
        <v>1.85</v>
      </c>
      <c r="G540">
        <v>0.55000000000000004</v>
      </c>
      <c r="H540">
        <v>0.77</v>
      </c>
      <c r="I540">
        <v>2.0249999999999999</v>
      </c>
      <c r="J540">
        <v>49.3</v>
      </c>
      <c r="K540" t="s">
        <v>55</v>
      </c>
      <c r="L540" t="s">
        <v>51</v>
      </c>
      <c r="M540">
        <v>3</v>
      </c>
      <c r="N540">
        <v>27.222000000000001</v>
      </c>
      <c r="O540">
        <v>0</v>
      </c>
      <c r="P540" s="13">
        <v>1.5189999999999999</v>
      </c>
      <c r="Q540" t="s">
        <v>52</v>
      </c>
      <c r="R540">
        <v>110</v>
      </c>
      <c r="S540">
        <v>24</v>
      </c>
      <c r="T540">
        <v>550</v>
      </c>
      <c r="U540">
        <v>8</v>
      </c>
      <c r="V540" s="7">
        <v>0.76224839171129977</v>
      </c>
      <c r="W540">
        <v>193</v>
      </c>
      <c r="X540">
        <v>1.46</v>
      </c>
      <c r="Y540">
        <v>30.1</v>
      </c>
      <c r="Z540">
        <v>9.8000000000000007</v>
      </c>
      <c r="AA540">
        <v>11</v>
      </c>
      <c r="AB540">
        <v>25</v>
      </c>
      <c r="AC540" s="17">
        <v>192</v>
      </c>
      <c r="AD540">
        <v>0.625</v>
      </c>
      <c r="AE540" s="9">
        <v>1200</v>
      </c>
      <c r="AF540" s="11">
        <v>0.625</v>
      </c>
    </row>
    <row r="541" spans="1:32" x14ac:dyDescent="0.3">
      <c r="A541" t="s">
        <v>124</v>
      </c>
      <c r="B541" t="s">
        <v>16</v>
      </c>
      <c r="C541">
        <v>4.51</v>
      </c>
      <c r="D541">
        <v>318.13</v>
      </c>
      <c r="E541">
        <v>1.81</v>
      </c>
      <c r="F541">
        <v>1.85</v>
      </c>
      <c r="G541">
        <v>0.55000000000000004</v>
      </c>
      <c r="H541">
        <v>0.77</v>
      </c>
      <c r="I541">
        <v>2.0249999999999999</v>
      </c>
      <c r="J541">
        <v>49.3</v>
      </c>
      <c r="K541" t="s">
        <v>55</v>
      </c>
      <c r="L541" t="s">
        <v>51</v>
      </c>
      <c r="M541">
        <v>3</v>
      </c>
      <c r="N541">
        <v>27.222000000000001</v>
      </c>
      <c r="O541">
        <v>0</v>
      </c>
      <c r="P541" s="13">
        <v>1.5189999999999999</v>
      </c>
      <c r="Q541" t="s">
        <v>52</v>
      </c>
      <c r="R541">
        <v>110</v>
      </c>
      <c r="S541">
        <v>24</v>
      </c>
      <c r="T541">
        <v>550</v>
      </c>
      <c r="U541">
        <v>8</v>
      </c>
      <c r="V541" s="7">
        <v>0.76224839171129977</v>
      </c>
      <c r="W541">
        <v>193</v>
      </c>
      <c r="X541">
        <v>1.46</v>
      </c>
      <c r="Y541">
        <v>30.1</v>
      </c>
      <c r="Z541">
        <v>9.8000000000000007</v>
      </c>
      <c r="AA541">
        <v>11</v>
      </c>
      <c r="AB541">
        <v>25</v>
      </c>
      <c r="AC541" s="17">
        <v>192</v>
      </c>
      <c r="AD541">
        <v>0.625</v>
      </c>
      <c r="AE541" s="9">
        <v>1650</v>
      </c>
      <c r="AF541" s="11">
        <v>0.5757575757575758</v>
      </c>
    </row>
    <row r="542" spans="1:32" x14ac:dyDescent="0.3">
      <c r="A542" t="s">
        <v>124</v>
      </c>
      <c r="B542" t="s">
        <v>16</v>
      </c>
      <c r="C542">
        <v>4.51</v>
      </c>
      <c r="D542">
        <v>318.13</v>
      </c>
      <c r="E542">
        <v>1.81</v>
      </c>
      <c r="F542">
        <v>1.85</v>
      </c>
      <c r="G542">
        <v>0.55000000000000004</v>
      </c>
      <c r="H542">
        <v>0.77</v>
      </c>
      <c r="I542">
        <v>2.0249999999999999</v>
      </c>
      <c r="J542">
        <v>49.3</v>
      </c>
      <c r="K542" t="s">
        <v>55</v>
      </c>
      <c r="L542" t="s">
        <v>51</v>
      </c>
      <c r="M542">
        <v>3</v>
      </c>
      <c r="N542">
        <v>27.222000000000001</v>
      </c>
      <c r="O542">
        <v>0</v>
      </c>
      <c r="P542" s="13">
        <v>1.5189999999999999</v>
      </c>
      <c r="Q542" t="s">
        <v>52</v>
      </c>
      <c r="R542">
        <v>110</v>
      </c>
      <c r="S542">
        <v>24</v>
      </c>
      <c r="T542">
        <v>550</v>
      </c>
      <c r="U542">
        <v>8</v>
      </c>
      <c r="V542" s="7">
        <v>0.76224839171129977</v>
      </c>
      <c r="W542">
        <v>193</v>
      </c>
      <c r="X542">
        <v>1.46</v>
      </c>
      <c r="Y542">
        <v>30.1</v>
      </c>
      <c r="Z542">
        <v>9.8000000000000007</v>
      </c>
      <c r="AA542">
        <v>7</v>
      </c>
      <c r="AB542">
        <v>15</v>
      </c>
      <c r="AC542" s="17">
        <v>192</v>
      </c>
      <c r="AD542">
        <v>0.625</v>
      </c>
      <c r="AE542" s="9">
        <v>108.75</v>
      </c>
      <c r="AF542" s="11">
        <v>0.86206896551724133</v>
      </c>
    </row>
    <row r="543" spans="1:32" x14ac:dyDescent="0.3">
      <c r="A543" t="s">
        <v>124</v>
      </c>
      <c r="B543" t="s">
        <v>16</v>
      </c>
      <c r="C543">
        <v>4.51</v>
      </c>
      <c r="D543">
        <v>318.13</v>
      </c>
      <c r="E543">
        <v>1.81</v>
      </c>
      <c r="F543">
        <v>1.85</v>
      </c>
      <c r="G543">
        <v>0.55000000000000004</v>
      </c>
      <c r="H543">
        <v>0.77</v>
      </c>
      <c r="I543">
        <v>2.0249999999999999</v>
      </c>
      <c r="J543">
        <v>49.3</v>
      </c>
      <c r="K543" t="s">
        <v>55</v>
      </c>
      <c r="L543" t="s">
        <v>51</v>
      </c>
      <c r="M543">
        <v>3</v>
      </c>
      <c r="N543">
        <v>27.222000000000001</v>
      </c>
      <c r="O543">
        <v>0</v>
      </c>
      <c r="P543" s="13">
        <v>1.5189999999999999</v>
      </c>
      <c r="Q543" t="s">
        <v>52</v>
      </c>
      <c r="R543">
        <v>110</v>
      </c>
      <c r="S543">
        <v>24</v>
      </c>
      <c r="T543">
        <v>550</v>
      </c>
      <c r="U543">
        <v>8</v>
      </c>
      <c r="V543" s="7">
        <v>0.76224839171129977</v>
      </c>
      <c r="W543">
        <v>193</v>
      </c>
      <c r="X543">
        <v>1.46</v>
      </c>
      <c r="Y543">
        <v>30.1</v>
      </c>
      <c r="Z543">
        <v>9.8000000000000007</v>
      </c>
      <c r="AA543">
        <v>7</v>
      </c>
      <c r="AB543">
        <v>15</v>
      </c>
      <c r="AC543" s="17">
        <v>192</v>
      </c>
      <c r="AD543">
        <v>0.625</v>
      </c>
      <c r="AE543" s="9">
        <v>207.5</v>
      </c>
      <c r="AF543" s="11">
        <v>0.90361445783132532</v>
      </c>
    </row>
    <row r="544" spans="1:32" x14ac:dyDescent="0.3">
      <c r="A544" t="s">
        <v>124</v>
      </c>
      <c r="B544" t="s">
        <v>16</v>
      </c>
      <c r="C544">
        <v>4.51</v>
      </c>
      <c r="D544">
        <v>318.13</v>
      </c>
      <c r="E544">
        <v>1.81</v>
      </c>
      <c r="F544">
        <v>1.85</v>
      </c>
      <c r="G544">
        <v>0.55000000000000004</v>
      </c>
      <c r="H544">
        <v>0.77</v>
      </c>
      <c r="I544">
        <v>2.0249999999999999</v>
      </c>
      <c r="J544">
        <v>49.3</v>
      </c>
      <c r="K544" t="s">
        <v>55</v>
      </c>
      <c r="L544" t="s">
        <v>51</v>
      </c>
      <c r="M544">
        <v>3</v>
      </c>
      <c r="N544">
        <v>27.222000000000001</v>
      </c>
      <c r="O544">
        <v>0</v>
      </c>
      <c r="P544" s="13">
        <v>1.5189999999999999</v>
      </c>
      <c r="Q544" t="s">
        <v>52</v>
      </c>
      <c r="R544">
        <v>110</v>
      </c>
      <c r="S544">
        <v>24</v>
      </c>
      <c r="T544">
        <v>550</v>
      </c>
      <c r="U544">
        <v>8</v>
      </c>
      <c r="V544" s="7">
        <v>0.76224839171129977</v>
      </c>
      <c r="W544">
        <v>193</v>
      </c>
      <c r="X544">
        <v>1.46</v>
      </c>
      <c r="Y544">
        <v>30.1</v>
      </c>
      <c r="Z544">
        <v>9.8000000000000007</v>
      </c>
      <c r="AA544">
        <v>7</v>
      </c>
      <c r="AB544">
        <v>15</v>
      </c>
      <c r="AC544" s="17">
        <v>192</v>
      </c>
      <c r="AD544">
        <v>0.625</v>
      </c>
      <c r="AE544" s="9">
        <v>423.125</v>
      </c>
      <c r="AF544" s="11">
        <v>0.77548005908419493</v>
      </c>
    </row>
    <row r="545" spans="1:32" x14ac:dyDescent="0.3">
      <c r="A545" t="s">
        <v>124</v>
      </c>
      <c r="B545" t="s">
        <v>16</v>
      </c>
      <c r="C545">
        <v>4.51</v>
      </c>
      <c r="D545">
        <v>318.13</v>
      </c>
      <c r="E545">
        <v>1.81</v>
      </c>
      <c r="F545">
        <v>1.85</v>
      </c>
      <c r="G545">
        <v>0.55000000000000004</v>
      </c>
      <c r="H545">
        <v>0.77</v>
      </c>
      <c r="I545">
        <v>2.0249999999999999</v>
      </c>
      <c r="J545">
        <v>49.3</v>
      </c>
      <c r="K545" t="s">
        <v>55</v>
      </c>
      <c r="L545" t="s">
        <v>51</v>
      </c>
      <c r="M545">
        <v>3</v>
      </c>
      <c r="N545">
        <v>27.222000000000001</v>
      </c>
      <c r="O545">
        <v>0</v>
      </c>
      <c r="P545" s="13">
        <v>1.5189999999999999</v>
      </c>
      <c r="Q545" t="s">
        <v>52</v>
      </c>
      <c r="R545">
        <v>110</v>
      </c>
      <c r="S545">
        <v>24</v>
      </c>
      <c r="T545">
        <v>550</v>
      </c>
      <c r="U545">
        <v>8</v>
      </c>
      <c r="V545" s="7">
        <v>0.76224839171129977</v>
      </c>
      <c r="W545">
        <v>193</v>
      </c>
      <c r="X545">
        <v>1.46</v>
      </c>
      <c r="Y545">
        <v>30.1</v>
      </c>
      <c r="Z545">
        <v>9.8000000000000007</v>
      </c>
      <c r="AA545">
        <v>7</v>
      </c>
      <c r="AB545">
        <v>15</v>
      </c>
      <c r="AC545" s="17">
        <v>192</v>
      </c>
      <c r="AD545">
        <v>0.625</v>
      </c>
      <c r="AE545" s="9">
        <v>824.375</v>
      </c>
      <c r="AF545" s="11">
        <v>0.73919636087945417</v>
      </c>
    </row>
    <row r="546" spans="1:32" x14ac:dyDescent="0.3">
      <c r="A546" t="s">
        <v>124</v>
      </c>
      <c r="B546" t="s">
        <v>16</v>
      </c>
      <c r="C546">
        <v>4.51</v>
      </c>
      <c r="D546">
        <v>318.13</v>
      </c>
      <c r="E546">
        <v>1.81</v>
      </c>
      <c r="F546">
        <v>1.85</v>
      </c>
      <c r="G546">
        <v>0.55000000000000004</v>
      </c>
      <c r="H546">
        <v>0.77</v>
      </c>
      <c r="I546">
        <v>2.0249999999999999</v>
      </c>
      <c r="J546">
        <v>49.3</v>
      </c>
      <c r="K546" t="s">
        <v>55</v>
      </c>
      <c r="L546" t="s">
        <v>51</v>
      </c>
      <c r="M546">
        <v>3</v>
      </c>
      <c r="N546">
        <v>27.222000000000001</v>
      </c>
      <c r="O546">
        <v>0</v>
      </c>
      <c r="P546" s="13">
        <v>1.5189999999999999</v>
      </c>
      <c r="Q546" t="s">
        <v>52</v>
      </c>
      <c r="R546">
        <v>110</v>
      </c>
      <c r="S546">
        <v>24</v>
      </c>
      <c r="T546">
        <v>550</v>
      </c>
      <c r="U546">
        <v>8</v>
      </c>
      <c r="V546" s="7">
        <v>0.76224839171129977</v>
      </c>
      <c r="W546">
        <v>193</v>
      </c>
      <c r="X546">
        <v>1.46</v>
      </c>
      <c r="Y546">
        <v>30.1</v>
      </c>
      <c r="Z546">
        <v>9.8000000000000007</v>
      </c>
      <c r="AA546">
        <v>7</v>
      </c>
      <c r="AB546">
        <v>15</v>
      </c>
      <c r="AC546" s="17">
        <v>192</v>
      </c>
      <c r="AD546">
        <v>0.625</v>
      </c>
      <c r="AE546" s="9">
        <v>1215</v>
      </c>
      <c r="AF546" s="11">
        <v>0.61728395061728392</v>
      </c>
    </row>
    <row r="547" spans="1:32" x14ac:dyDescent="0.3">
      <c r="A547" t="s">
        <v>124</v>
      </c>
      <c r="B547" t="s">
        <v>16</v>
      </c>
      <c r="C547">
        <v>4.51</v>
      </c>
      <c r="D547">
        <v>318.13</v>
      </c>
      <c r="E547">
        <v>1.81</v>
      </c>
      <c r="F547">
        <v>1.85</v>
      </c>
      <c r="G547">
        <v>0.55000000000000004</v>
      </c>
      <c r="H547">
        <v>0.77</v>
      </c>
      <c r="I547">
        <v>2.0249999999999999</v>
      </c>
      <c r="J547">
        <v>49.3</v>
      </c>
      <c r="K547" t="s">
        <v>55</v>
      </c>
      <c r="L547" t="s">
        <v>51</v>
      </c>
      <c r="M547">
        <v>3</v>
      </c>
      <c r="N547">
        <v>27.222000000000001</v>
      </c>
      <c r="O547">
        <v>0</v>
      </c>
      <c r="P547" s="13">
        <v>1.5189999999999999</v>
      </c>
      <c r="Q547" t="s">
        <v>52</v>
      </c>
      <c r="R547">
        <v>110</v>
      </c>
      <c r="S547">
        <v>24</v>
      </c>
      <c r="T547">
        <v>550</v>
      </c>
      <c r="U547">
        <v>8</v>
      </c>
      <c r="V547" s="7">
        <v>0.76224839171129977</v>
      </c>
      <c r="W547">
        <v>193</v>
      </c>
      <c r="X547">
        <v>1.46</v>
      </c>
      <c r="Y547">
        <v>30.1</v>
      </c>
      <c r="Z547">
        <v>9.8000000000000007</v>
      </c>
      <c r="AA547">
        <v>7</v>
      </c>
      <c r="AB547">
        <v>15</v>
      </c>
      <c r="AC547" s="17">
        <v>192</v>
      </c>
      <c r="AD547">
        <v>0.625</v>
      </c>
      <c r="AE547" s="9">
        <v>1687.5</v>
      </c>
      <c r="AF547" s="11">
        <v>0.55555555555555558</v>
      </c>
    </row>
    <row r="548" spans="1:32" x14ac:dyDescent="0.3">
      <c r="A548" t="s">
        <v>124</v>
      </c>
      <c r="B548" t="s">
        <v>16</v>
      </c>
      <c r="C548">
        <v>4.51</v>
      </c>
      <c r="D548">
        <v>318.13</v>
      </c>
      <c r="E548">
        <v>1.81</v>
      </c>
      <c r="F548">
        <v>1.85</v>
      </c>
      <c r="G548">
        <v>0.55000000000000004</v>
      </c>
      <c r="H548">
        <v>0.77</v>
      </c>
      <c r="I548">
        <v>2.0249999999999999</v>
      </c>
      <c r="J548">
        <v>49.3</v>
      </c>
      <c r="K548" t="s">
        <v>55</v>
      </c>
      <c r="L548" t="s">
        <v>51</v>
      </c>
      <c r="M548">
        <v>3</v>
      </c>
      <c r="N548">
        <v>27.222000000000001</v>
      </c>
      <c r="O548">
        <v>0</v>
      </c>
      <c r="P548" s="13">
        <v>1.5189999999999999</v>
      </c>
      <c r="Q548" t="s">
        <v>52</v>
      </c>
      <c r="R548">
        <v>110</v>
      </c>
      <c r="S548">
        <v>24</v>
      </c>
      <c r="T548">
        <v>550</v>
      </c>
      <c r="U548">
        <v>8</v>
      </c>
      <c r="V548" s="7">
        <v>0.76224839171129977</v>
      </c>
      <c r="W548">
        <v>193</v>
      </c>
      <c r="X548">
        <v>1.46</v>
      </c>
      <c r="Y548">
        <v>30.1</v>
      </c>
      <c r="Z548">
        <v>9.8000000000000007</v>
      </c>
      <c r="AA548">
        <v>7</v>
      </c>
      <c r="AB548">
        <v>25</v>
      </c>
      <c r="AC548" s="17">
        <v>192</v>
      </c>
      <c r="AD548">
        <v>0.625</v>
      </c>
      <c r="AE548" s="9">
        <v>103.75</v>
      </c>
      <c r="AF548" s="11">
        <v>0.90361445783132532</v>
      </c>
    </row>
    <row r="549" spans="1:32" x14ac:dyDescent="0.3">
      <c r="A549" t="s">
        <v>124</v>
      </c>
      <c r="B549" t="s">
        <v>16</v>
      </c>
      <c r="C549">
        <v>4.51</v>
      </c>
      <c r="D549">
        <v>318.13</v>
      </c>
      <c r="E549">
        <v>1.81</v>
      </c>
      <c r="F549">
        <v>1.85</v>
      </c>
      <c r="G549">
        <v>0.55000000000000004</v>
      </c>
      <c r="H549">
        <v>0.77</v>
      </c>
      <c r="I549">
        <v>2.0249999999999999</v>
      </c>
      <c r="J549">
        <v>49.3</v>
      </c>
      <c r="K549" t="s">
        <v>55</v>
      </c>
      <c r="L549" t="s">
        <v>51</v>
      </c>
      <c r="M549">
        <v>3</v>
      </c>
      <c r="N549">
        <v>27.222000000000001</v>
      </c>
      <c r="O549">
        <v>0</v>
      </c>
      <c r="P549" s="13">
        <v>1.5189999999999999</v>
      </c>
      <c r="Q549" t="s">
        <v>52</v>
      </c>
      <c r="R549">
        <v>110</v>
      </c>
      <c r="S549">
        <v>24</v>
      </c>
      <c r="T549">
        <v>550</v>
      </c>
      <c r="U549">
        <v>8</v>
      </c>
      <c r="V549" s="7">
        <v>0.76224839171129977</v>
      </c>
      <c r="W549">
        <v>193</v>
      </c>
      <c r="X549">
        <v>1.46</v>
      </c>
      <c r="Y549">
        <v>30.1</v>
      </c>
      <c r="Z549">
        <v>9.8000000000000007</v>
      </c>
      <c r="AA549">
        <v>7</v>
      </c>
      <c r="AB549">
        <v>25</v>
      </c>
      <c r="AC549" s="17">
        <v>192</v>
      </c>
      <c r="AD549">
        <v>0.625</v>
      </c>
      <c r="AE549" s="9">
        <v>202.5</v>
      </c>
      <c r="AF549" s="11">
        <v>0.92592592592592593</v>
      </c>
    </row>
    <row r="550" spans="1:32" x14ac:dyDescent="0.3">
      <c r="A550" t="s">
        <v>124</v>
      </c>
      <c r="B550" t="s">
        <v>16</v>
      </c>
      <c r="C550">
        <v>4.51</v>
      </c>
      <c r="D550">
        <v>318.13</v>
      </c>
      <c r="E550">
        <v>1.81</v>
      </c>
      <c r="F550">
        <v>1.85</v>
      </c>
      <c r="G550">
        <v>0.55000000000000004</v>
      </c>
      <c r="H550">
        <v>0.77</v>
      </c>
      <c r="I550">
        <v>2.0249999999999999</v>
      </c>
      <c r="J550">
        <v>49.3</v>
      </c>
      <c r="K550" t="s">
        <v>55</v>
      </c>
      <c r="L550" t="s">
        <v>51</v>
      </c>
      <c r="M550">
        <v>3</v>
      </c>
      <c r="N550">
        <v>27.222000000000001</v>
      </c>
      <c r="O550">
        <v>0</v>
      </c>
      <c r="P550" s="13">
        <v>1.5189999999999999</v>
      </c>
      <c r="Q550" t="s">
        <v>52</v>
      </c>
      <c r="R550">
        <v>110</v>
      </c>
      <c r="S550">
        <v>24</v>
      </c>
      <c r="T550">
        <v>550</v>
      </c>
      <c r="U550">
        <v>8</v>
      </c>
      <c r="V550" s="7">
        <v>0.76224839171129977</v>
      </c>
      <c r="W550">
        <v>193</v>
      </c>
      <c r="X550">
        <v>1.46</v>
      </c>
      <c r="Y550">
        <v>30.1</v>
      </c>
      <c r="Z550">
        <v>9.8000000000000007</v>
      </c>
      <c r="AA550">
        <v>7</v>
      </c>
      <c r="AB550">
        <v>25</v>
      </c>
      <c r="AC550" s="17">
        <v>192</v>
      </c>
      <c r="AD550">
        <v>0.625</v>
      </c>
      <c r="AE550" s="9">
        <v>400</v>
      </c>
      <c r="AF550" s="11">
        <v>0.9375</v>
      </c>
    </row>
    <row r="551" spans="1:32" x14ac:dyDescent="0.3">
      <c r="A551" t="s">
        <v>124</v>
      </c>
      <c r="B551" t="s">
        <v>16</v>
      </c>
      <c r="C551">
        <v>4.51</v>
      </c>
      <c r="D551">
        <v>318.13</v>
      </c>
      <c r="E551">
        <v>1.81</v>
      </c>
      <c r="F551">
        <v>1.85</v>
      </c>
      <c r="G551">
        <v>0.55000000000000004</v>
      </c>
      <c r="H551">
        <v>0.77</v>
      </c>
      <c r="I551">
        <v>2.0249999999999999</v>
      </c>
      <c r="J551">
        <v>49.3</v>
      </c>
      <c r="K551" t="s">
        <v>55</v>
      </c>
      <c r="L551" t="s">
        <v>51</v>
      </c>
      <c r="M551">
        <v>3</v>
      </c>
      <c r="N551">
        <v>27.222000000000001</v>
      </c>
      <c r="O551">
        <v>0</v>
      </c>
      <c r="P551" s="13">
        <v>1.5189999999999999</v>
      </c>
      <c r="Q551" t="s">
        <v>52</v>
      </c>
      <c r="R551">
        <v>110</v>
      </c>
      <c r="S551">
        <v>24</v>
      </c>
      <c r="T551">
        <v>550</v>
      </c>
      <c r="U551">
        <v>8</v>
      </c>
      <c r="V551" s="7">
        <v>0.76224839171129977</v>
      </c>
      <c r="W551">
        <v>193</v>
      </c>
      <c r="X551">
        <v>1.46</v>
      </c>
      <c r="Y551">
        <v>30.1</v>
      </c>
      <c r="Z551">
        <v>9.8000000000000007</v>
      </c>
      <c r="AA551">
        <v>7</v>
      </c>
      <c r="AB551">
        <v>25</v>
      </c>
      <c r="AC551" s="17">
        <v>192</v>
      </c>
      <c r="AD551">
        <v>0.625</v>
      </c>
      <c r="AE551" s="9">
        <v>848.125</v>
      </c>
      <c r="AF551" s="11">
        <v>0.82903463522476051</v>
      </c>
    </row>
    <row r="552" spans="1:32" x14ac:dyDescent="0.3">
      <c r="A552" t="s">
        <v>124</v>
      </c>
      <c r="B552" t="s">
        <v>16</v>
      </c>
      <c r="C552">
        <v>4.51</v>
      </c>
      <c r="D552">
        <v>318.13</v>
      </c>
      <c r="E552">
        <v>1.81</v>
      </c>
      <c r="F552">
        <v>1.85</v>
      </c>
      <c r="G552">
        <v>0.55000000000000004</v>
      </c>
      <c r="H552">
        <v>0.77</v>
      </c>
      <c r="I552">
        <v>2.0249999999999999</v>
      </c>
      <c r="J552">
        <v>49.3</v>
      </c>
      <c r="K552" t="s">
        <v>55</v>
      </c>
      <c r="L552" t="s">
        <v>51</v>
      </c>
      <c r="M552">
        <v>3</v>
      </c>
      <c r="N552">
        <v>27.222000000000001</v>
      </c>
      <c r="O552">
        <v>0</v>
      </c>
      <c r="P552" s="13">
        <v>1.5189999999999999</v>
      </c>
      <c r="Q552" t="s">
        <v>52</v>
      </c>
      <c r="R552">
        <v>110</v>
      </c>
      <c r="S552">
        <v>24</v>
      </c>
      <c r="T552">
        <v>550</v>
      </c>
      <c r="U552">
        <v>8</v>
      </c>
      <c r="V552" s="7">
        <v>0.76224839171129977</v>
      </c>
      <c r="W552">
        <v>193</v>
      </c>
      <c r="X552">
        <v>1.46</v>
      </c>
      <c r="Y552">
        <v>30.1</v>
      </c>
      <c r="Z552">
        <v>9.8000000000000007</v>
      </c>
      <c r="AA552">
        <v>7</v>
      </c>
      <c r="AB552">
        <v>25</v>
      </c>
      <c r="AC552" s="17">
        <v>192</v>
      </c>
      <c r="AD552">
        <v>0.625</v>
      </c>
      <c r="AE552" s="9">
        <v>1121.875</v>
      </c>
      <c r="AF552" s="11">
        <v>0.71030640668523681</v>
      </c>
    </row>
    <row r="553" spans="1:32" x14ac:dyDescent="0.3">
      <c r="A553" t="s">
        <v>124</v>
      </c>
      <c r="B553" t="s">
        <v>16</v>
      </c>
      <c r="C553">
        <v>4.51</v>
      </c>
      <c r="D553">
        <v>318.13</v>
      </c>
      <c r="E553">
        <v>1.81</v>
      </c>
      <c r="F553">
        <v>1.85</v>
      </c>
      <c r="G553">
        <v>0.55000000000000004</v>
      </c>
      <c r="H553">
        <v>0.77</v>
      </c>
      <c r="I553">
        <v>2.0249999999999999</v>
      </c>
      <c r="J553">
        <v>49.3</v>
      </c>
      <c r="K553" t="s">
        <v>55</v>
      </c>
      <c r="L553" t="s">
        <v>51</v>
      </c>
      <c r="M553">
        <v>3</v>
      </c>
      <c r="N553">
        <v>27.222000000000001</v>
      </c>
      <c r="O553">
        <v>0</v>
      </c>
      <c r="P553" s="13">
        <v>1.5189999999999999</v>
      </c>
      <c r="Q553" t="s">
        <v>52</v>
      </c>
      <c r="R553">
        <v>110</v>
      </c>
      <c r="S553">
        <v>24</v>
      </c>
      <c r="T553">
        <v>550</v>
      </c>
      <c r="U553">
        <v>8</v>
      </c>
      <c r="V553" s="7">
        <v>0.76224839171129977</v>
      </c>
      <c r="W553">
        <v>193</v>
      </c>
      <c r="X553">
        <v>1.46</v>
      </c>
      <c r="Y553">
        <v>30.1</v>
      </c>
      <c r="Z553">
        <v>9.8000000000000007</v>
      </c>
      <c r="AA553">
        <v>7</v>
      </c>
      <c r="AB553">
        <v>25</v>
      </c>
      <c r="AC553" s="17">
        <v>192</v>
      </c>
      <c r="AD553">
        <v>0.625</v>
      </c>
      <c r="AE553" s="9">
        <v>1593.75</v>
      </c>
      <c r="AF553" s="11">
        <v>0.59215686274509804</v>
      </c>
    </row>
    <row r="554" spans="1:32" x14ac:dyDescent="0.3">
      <c r="A554" t="s">
        <v>124</v>
      </c>
      <c r="B554" t="s">
        <v>16</v>
      </c>
      <c r="C554">
        <v>4.51</v>
      </c>
      <c r="D554">
        <v>318.13</v>
      </c>
      <c r="E554">
        <v>1.81</v>
      </c>
      <c r="F554">
        <v>1.85</v>
      </c>
      <c r="G554">
        <v>0.55000000000000004</v>
      </c>
      <c r="H554">
        <v>0.77</v>
      </c>
      <c r="I554">
        <v>2.0249999999999999</v>
      </c>
      <c r="J554">
        <v>49.3</v>
      </c>
      <c r="K554" t="s">
        <v>55</v>
      </c>
      <c r="L554" t="s">
        <v>51</v>
      </c>
      <c r="M554">
        <v>3</v>
      </c>
      <c r="N554">
        <v>27.222000000000001</v>
      </c>
      <c r="O554">
        <v>0</v>
      </c>
      <c r="P554" s="13">
        <v>1.5189999999999999</v>
      </c>
      <c r="Q554" t="s">
        <v>52</v>
      </c>
      <c r="R554">
        <v>110</v>
      </c>
      <c r="S554">
        <v>24</v>
      </c>
      <c r="T554">
        <v>550</v>
      </c>
      <c r="U554">
        <v>8</v>
      </c>
      <c r="V554" s="7">
        <v>0.76224839171129977</v>
      </c>
      <c r="W554">
        <v>193</v>
      </c>
      <c r="X554">
        <v>1.46</v>
      </c>
      <c r="Y554">
        <v>30.1</v>
      </c>
      <c r="Z554">
        <v>9.8000000000000007</v>
      </c>
      <c r="AA554">
        <v>7</v>
      </c>
      <c r="AB554">
        <v>35</v>
      </c>
      <c r="AC554" s="17">
        <v>192</v>
      </c>
      <c r="AD554">
        <v>0.625</v>
      </c>
      <c r="AE554" s="9">
        <v>103.75</v>
      </c>
      <c r="AF554" s="11">
        <v>0.90361445783132532</v>
      </c>
    </row>
    <row r="555" spans="1:32" x14ac:dyDescent="0.3">
      <c r="A555" t="s">
        <v>124</v>
      </c>
      <c r="B555" t="s">
        <v>16</v>
      </c>
      <c r="C555">
        <v>4.51</v>
      </c>
      <c r="D555">
        <v>318.13</v>
      </c>
      <c r="E555">
        <v>1.81</v>
      </c>
      <c r="F555">
        <v>1.85</v>
      </c>
      <c r="G555">
        <v>0.55000000000000004</v>
      </c>
      <c r="H555">
        <v>0.77</v>
      </c>
      <c r="I555">
        <v>2.0249999999999999</v>
      </c>
      <c r="J555">
        <v>49.3</v>
      </c>
      <c r="K555" t="s">
        <v>55</v>
      </c>
      <c r="L555" t="s">
        <v>51</v>
      </c>
      <c r="M555">
        <v>3</v>
      </c>
      <c r="N555">
        <v>27.222000000000001</v>
      </c>
      <c r="O555">
        <v>0</v>
      </c>
      <c r="P555" s="13">
        <v>1.5189999999999999</v>
      </c>
      <c r="Q555" t="s">
        <v>52</v>
      </c>
      <c r="R555">
        <v>110</v>
      </c>
      <c r="S555">
        <v>24</v>
      </c>
      <c r="T555">
        <v>550</v>
      </c>
      <c r="U555">
        <v>8</v>
      </c>
      <c r="V555" s="7">
        <v>0.76224839171129977</v>
      </c>
      <c r="W555">
        <v>193</v>
      </c>
      <c r="X555">
        <v>1.46</v>
      </c>
      <c r="Y555">
        <v>30.1</v>
      </c>
      <c r="Z555">
        <v>9.8000000000000007</v>
      </c>
      <c r="AA555">
        <v>7</v>
      </c>
      <c r="AB555">
        <v>35</v>
      </c>
      <c r="AC555" s="17">
        <v>192</v>
      </c>
      <c r="AD555">
        <v>0.625</v>
      </c>
      <c r="AE555" s="9">
        <v>202.5</v>
      </c>
      <c r="AF555" s="11">
        <v>0.92592592592592593</v>
      </c>
    </row>
    <row r="556" spans="1:32" x14ac:dyDescent="0.3">
      <c r="A556" t="s">
        <v>124</v>
      </c>
      <c r="B556" t="s">
        <v>16</v>
      </c>
      <c r="C556">
        <v>4.51</v>
      </c>
      <c r="D556">
        <v>318.13</v>
      </c>
      <c r="E556">
        <v>1.81</v>
      </c>
      <c r="F556">
        <v>1.85</v>
      </c>
      <c r="G556">
        <v>0.55000000000000004</v>
      </c>
      <c r="H556">
        <v>0.77</v>
      </c>
      <c r="I556">
        <v>2.0249999999999999</v>
      </c>
      <c r="J556">
        <v>49.3</v>
      </c>
      <c r="K556" t="s">
        <v>55</v>
      </c>
      <c r="L556" t="s">
        <v>51</v>
      </c>
      <c r="M556">
        <v>3</v>
      </c>
      <c r="N556">
        <v>27.222000000000001</v>
      </c>
      <c r="O556">
        <v>0</v>
      </c>
      <c r="P556" s="13">
        <v>1.5189999999999999</v>
      </c>
      <c r="Q556" t="s">
        <v>52</v>
      </c>
      <c r="R556">
        <v>110</v>
      </c>
      <c r="S556">
        <v>24</v>
      </c>
      <c r="T556">
        <v>550</v>
      </c>
      <c r="U556">
        <v>8</v>
      </c>
      <c r="V556" s="7">
        <v>0.76224839171129977</v>
      </c>
      <c r="W556">
        <v>193</v>
      </c>
      <c r="X556">
        <v>1.46</v>
      </c>
      <c r="Y556">
        <v>30.1</v>
      </c>
      <c r="Z556">
        <v>9.8000000000000007</v>
      </c>
      <c r="AA556">
        <v>7</v>
      </c>
      <c r="AB556">
        <v>35</v>
      </c>
      <c r="AC556" s="17">
        <v>192</v>
      </c>
      <c r="AD556">
        <v>0.625</v>
      </c>
      <c r="AE556" s="9">
        <v>400</v>
      </c>
      <c r="AF556" s="11">
        <v>0.9375</v>
      </c>
    </row>
    <row r="557" spans="1:32" x14ac:dyDescent="0.3">
      <c r="A557" t="s">
        <v>124</v>
      </c>
      <c r="B557" t="s">
        <v>16</v>
      </c>
      <c r="C557">
        <v>4.51</v>
      </c>
      <c r="D557">
        <v>318.13</v>
      </c>
      <c r="E557">
        <v>1.81</v>
      </c>
      <c r="F557">
        <v>1.85</v>
      </c>
      <c r="G557">
        <v>0.55000000000000004</v>
      </c>
      <c r="H557">
        <v>0.77</v>
      </c>
      <c r="I557">
        <v>2.0249999999999999</v>
      </c>
      <c r="J557">
        <v>49.3</v>
      </c>
      <c r="K557" t="s">
        <v>55</v>
      </c>
      <c r="L557" t="s">
        <v>51</v>
      </c>
      <c r="M557">
        <v>3</v>
      </c>
      <c r="N557">
        <v>27.222000000000001</v>
      </c>
      <c r="O557">
        <v>0</v>
      </c>
      <c r="P557" s="13">
        <v>1.5189999999999999</v>
      </c>
      <c r="Q557" t="s">
        <v>52</v>
      </c>
      <c r="R557">
        <v>110</v>
      </c>
      <c r="S557">
        <v>24</v>
      </c>
      <c r="T557">
        <v>550</v>
      </c>
      <c r="U557">
        <v>8</v>
      </c>
      <c r="V557" s="7">
        <v>0.76224839171129977</v>
      </c>
      <c r="W557">
        <v>193</v>
      </c>
      <c r="X557">
        <v>1.46</v>
      </c>
      <c r="Y557">
        <v>30.1</v>
      </c>
      <c r="Z557">
        <v>9.8000000000000007</v>
      </c>
      <c r="AA557">
        <v>7</v>
      </c>
      <c r="AB557">
        <v>35</v>
      </c>
      <c r="AC557" s="17">
        <v>192</v>
      </c>
      <c r="AD557">
        <v>0.625</v>
      </c>
      <c r="AE557" s="9">
        <v>821.875</v>
      </c>
      <c r="AF557" s="11">
        <v>0.87832699619771859</v>
      </c>
    </row>
    <row r="558" spans="1:32" x14ac:dyDescent="0.3">
      <c r="A558" t="s">
        <v>124</v>
      </c>
      <c r="B558" t="s">
        <v>16</v>
      </c>
      <c r="C558">
        <v>4.51</v>
      </c>
      <c r="D558">
        <v>318.13</v>
      </c>
      <c r="E558">
        <v>1.81</v>
      </c>
      <c r="F558">
        <v>1.85</v>
      </c>
      <c r="G558">
        <v>0.55000000000000004</v>
      </c>
      <c r="H558">
        <v>0.77</v>
      </c>
      <c r="I558">
        <v>2.0249999999999999</v>
      </c>
      <c r="J558">
        <v>49.3</v>
      </c>
      <c r="K558" t="s">
        <v>55</v>
      </c>
      <c r="L558" t="s">
        <v>51</v>
      </c>
      <c r="M558">
        <v>3</v>
      </c>
      <c r="N558">
        <v>27.222000000000001</v>
      </c>
      <c r="O558">
        <v>0</v>
      </c>
      <c r="P558" s="13">
        <v>1.5189999999999999</v>
      </c>
      <c r="Q558" t="s">
        <v>52</v>
      </c>
      <c r="R558">
        <v>110</v>
      </c>
      <c r="S558">
        <v>24</v>
      </c>
      <c r="T558">
        <v>550</v>
      </c>
      <c r="U558">
        <v>8</v>
      </c>
      <c r="V558" s="7">
        <v>0.76224839171129977</v>
      </c>
      <c r="W558">
        <v>193</v>
      </c>
      <c r="X558">
        <v>1.46</v>
      </c>
      <c r="Y558">
        <v>30.1</v>
      </c>
      <c r="Z558">
        <v>9.8000000000000007</v>
      </c>
      <c r="AA558">
        <v>7</v>
      </c>
      <c r="AB558">
        <v>35</v>
      </c>
      <c r="AC558" s="17">
        <v>192</v>
      </c>
      <c r="AD558">
        <v>0.625</v>
      </c>
      <c r="AE558" s="9">
        <v>1221.875</v>
      </c>
      <c r="AF558" s="11">
        <v>0.71355498721227617</v>
      </c>
    </row>
    <row r="559" spans="1:32" x14ac:dyDescent="0.3">
      <c r="A559" t="s">
        <v>124</v>
      </c>
      <c r="B559" t="s">
        <v>16</v>
      </c>
      <c r="C559">
        <v>4.51</v>
      </c>
      <c r="D559">
        <v>318.13</v>
      </c>
      <c r="E559">
        <v>1.81</v>
      </c>
      <c r="F559">
        <v>1.85</v>
      </c>
      <c r="G559">
        <v>0.55000000000000004</v>
      </c>
      <c r="H559">
        <v>0.77</v>
      </c>
      <c r="I559">
        <v>2.0249999999999999</v>
      </c>
      <c r="J559">
        <v>49.3</v>
      </c>
      <c r="K559" t="s">
        <v>55</v>
      </c>
      <c r="L559" t="s">
        <v>51</v>
      </c>
      <c r="M559">
        <v>3</v>
      </c>
      <c r="N559">
        <v>27.222000000000001</v>
      </c>
      <c r="O559">
        <v>0</v>
      </c>
      <c r="P559" s="13">
        <v>1.5189999999999999</v>
      </c>
      <c r="Q559" t="s">
        <v>52</v>
      </c>
      <c r="R559">
        <v>110</v>
      </c>
      <c r="S559">
        <v>24</v>
      </c>
      <c r="T559">
        <v>550</v>
      </c>
      <c r="U559">
        <v>8</v>
      </c>
      <c r="V559" s="7">
        <v>0.76224839171129977</v>
      </c>
      <c r="W559">
        <v>193</v>
      </c>
      <c r="X559">
        <v>1.46</v>
      </c>
      <c r="Y559">
        <v>30.1</v>
      </c>
      <c r="Z559">
        <v>9.8000000000000007</v>
      </c>
      <c r="AA559">
        <v>7</v>
      </c>
      <c r="AB559">
        <v>35</v>
      </c>
      <c r="AC559" s="17">
        <v>192</v>
      </c>
      <c r="AD559">
        <v>0.625</v>
      </c>
      <c r="AE559" s="9">
        <v>1632.5</v>
      </c>
      <c r="AF559" s="11">
        <v>0.62021439509954057</v>
      </c>
    </row>
    <row r="560" spans="1:32" x14ac:dyDescent="0.3">
      <c r="A560" t="s">
        <v>125</v>
      </c>
      <c r="B560" t="s">
        <v>44</v>
      </c>
      <c r="C560">
        <v>-0.25</v>
      </c>
      <c r="D560">
        <v>361.37</v>
      </c>
      <c r="E560">
        <v>1.65</v>
      </c>
      <c r="F560">
        <v>2.1</v>
      </c>
      <c r="G560">
        <v>0.7</v>
      </c>
      <c r="H560">
        <v>1.4</v>
      </c>
      <c r="I560" s="7">
        <v>2.5043000000000002</v>
      </c>
      <c r="J560" s="10">
        <v>76.2</v>
      </c>
      <c r="K560" t="s">
        <v>57</v>
      </c>
      <c r="L560" t="s">
        <v>46</v>
      </c>
      <c r="M560">
        <v>5</v>
      </c>
      <c r="N560">
        <v>62.262999999999998</v>
      </c>
      <c r="O560">
        <v>8.3000000000000007</v>
      </c>
      <c r="P560" s="13">
        <v>1.8879999999999999</v>
      </c>
      <c r="Q560" t="s">
        <v>52</v>
      </c>
      <c r="R560">
        <v>70</v>
      </c>
      <c r="S560">
        <v>24</v>
      </c>
      <c r="T560" t="s">
        <v>164</v>
      </c>
      <c r="U560" t="s">
        <v>164</v>
      </c>
      <c r="V560" s="7">
        <v>1.1325394517406338</v>
      </c>
      <c r="W560">
        <v>82</v>
      </c>
      <c r="X560">
        <v>0.21</v>
      </c>
      <c r="Y560">
        <v>8.5</v>
      </c>
      <c r="Z560">
        <v>6.8</v>
      </c>
      <c r="AA560">
        <v>6</v>
      </c>
      <c r="AB560">
        <v>25</v>
      </c>
      <c r="AC560" s="20">
        <f>92.5/60</f>
        <v>1.5416666666666667</v>
      </c>
      <c r="AD560">
        <f>0.05/0.025</f>
        <v>2</v>
      </c>
      <c r="AE560">
        <v>150</v>
      </c>
      <c r="AF560" s="14">
        <v>0.92469999999999997</v>
      </c>
    </row>
    <row r="561" spans="1:32" x14ac:dyDescent="0.3">
      <c r="A561" t="s">
        <v>125</v>
      </c>
      <c r="B561" t="s">
        <v>44</v>
      </c>
      <c r="C561">
        <v>-0.25</v>
      </c>
      <c r="D561">
        <v>361.37</v>
      </c>
      <c r="E561">
        <v>1.65</v>
      </c>
      <c r="F561">
        <v>2.1</v>
      </c>
      <c r="G561">
        <v>0.7</v>
      </c>
      <c r="H561">
        <v>1.4</v>
      </c>
      <c r="I561" s="7">
        <v>2.5043000000000002</v>
      </c>
      <c r="J561" s="10">
        <v>76.2</v>
      </c>
      <c r="K561" t="s">
        <v>57</v>
      </c>
      <c r="L561" t="s">
        <v>46</v>
      </c>
      <c r="M561">
        <v>5</v>
      </c>
      <c r="N561">
        <v>62.262999999999998</v>
      </c>
      <c r="O561">
        <v>8.3000000000000007</v>
      </c>
      <c r="P561" s="13">
        <v>1.8879999999999999</v>
      </c>
      <c r="Q561" t="s">
        <v>52</v>
      </c>
      <c r="R561">
        <v>70</v>
      </c>
      <c r="S561">
        <v>24</v>
      </c>
      <c r="T561" t="s">
        <v>164</v>
      </c>
      <c r="U561" t="s">
        <v>164</v>
      </c>
      <c r="V561" s="7">
        <v>1.1325394517406338</v>
      </c>
      <c r="W561">
        <v>82</v>
      </c>
      <c r="X561">
        <v>0.21</v>
      </c>
      <c r="Y561">
        <v>8.5</v>
      </c>
      <c r="Z561">
        <v>6.8</v>
      </c>
      <c r="AA561">
        <v>6</v>
      </c>
      <c r="AB561">
        <v>25</v>
      </c>
      <c r="AC561" s="21">
        <f>5/60</f>
        <v>8.3333333333333329E-2</v>
      </c>
      <c r="AD561">
        <f>0.01/0.025</f>
        <v>0.39999999999999997</v>
      </c>
      <c r="AE561">
        <v>150</v>
      </c>
      <c r="AF561" s="14">
        <v>0.31390000000000001</v>
      </c>
    </row>
    <row r="562" spans="1:32" x14ac:dyDescent="0.3">
      <c r="A562" t="s">
        <v>125</v>
      </c>
      <c r="B562" t="s">
        <v>44</v>
      </c>
      <c r="C562">
        <v>-0.25</v>
      </c>
      <c r="D562">
        <v>361.37</v>
      </c>
      <c r="E562">
        <v>1.65</v>
      </c>
      <c r="F562">
        <v>2.1</v>
      </c>
      <c r="G562">
        <v>0.7</v>
      </c>
      <c r="H562">
        <v>1.4</v>
      </c>
      <c r="I562" s="7">
        <v>2.5043000000000002</v>
      </c>
      <c r="J562" s="10">
        <v>76.2</v>
      </c>
      <c r="K562" t="s">
        <v>57</v>
      </c>
      <c r="L562" t="s">
        <v>46</v>
      </c>
      <c r="M562">
        <v>5</v>
      </c>
      <c r="N562">
        <v>62.262999999999998</v>
      </c>
      <c r="O562">
        <v>8.3000000000000007</v>
      </c>
      <c r="P562" s="13">
        <v>1.8879999999999999</v>
      </c>
      <c r="Q562" t="s">
        <v>52</v>
      </c>
      <c r="R562">
        <v>70</v>
      </c>
      <c r="S562">
        <v>24</v>
      </c>
      <c r="T562" t="s">
        <v>164</v>
      </c>
      <c r="U562" t="s">
        <v>164</v>
      </c>
      <c r="V562" s="7">
        <v>1.1325394517406338</v>
      </c>
      <c r="W562">
        <v>82</v>
      </c>
      <c r="X562">
        <v>0.21</v>
      </c>
      <c r="Y562">
        <v>8.5</v>
      </c>
      <c r="Z562">
        <v>6.8</v>
      </c>
      <c r="AA562">
        <v>6</v>
      </c>
      <c r="AB562">
        <v>25</v>
      </c>
      <c r="AC562" s="20">
        <f>92.5/60</f>
        <v>1.5416666666666667</v>
      </c>
      <c r="AD562">
        <f>0.05/0.025</f>
        <v>2</v>
      </c>
      <c r="AE562">
        <v>150</v>
      </c>
      <c r="AF562" s="14">
        <v>0.92479999999999996</v>
      </c>
    </row>
    <row r="563" spans="1:32" x14ac:dyDescent="0.3">
      <c r="A563" t="s">
        <v>125</v>
      </c>
      <c r="B563" t="s">
        <v>44</v>
      </c>
      <c r="C563">
        <v>-0.25</v>
      </c>
      <c r="D563">
        <v>361.37</v>
      </c>
      <c r="E563">
        <v>1.65</v>
      </c>
      <c r="F563">
        <v>2.1</v>
      </c>
      <c r="G563">
        <v>0.7</v>
      </c>
      <c r="H563">
        <v>1.4</v>
      </c>
      <c r="I563" s="7">
        <v>2.5043000000000002</v>
      </c>
      <c r="J563" s="10">
        <v>76.2</v>
      </c>
      <c r="K563" t="s">
        <v>57</v>
      </c>
      <c r="L563" t="s">
        <v>46</v>
      </c>
      <c r="M563">
        <v>5</v>
      </c>
      <c r="N563">
        <v>62.262999999999998</v>
      </c>
      <c r="O563">
        <v>8.3000000000000007</v>
      </c>
      <c r="P563" s="13">
        <v>1.8879999999999999</v>
      </c>
      <c r="Q563" t="s">
        <v>52</v>
      </c>
      <c r="R563">
        <v>70</v>
      </c>
      <c r="S563">
        <v>24</v>
      </c>
      <c r="T563" t="s">
        <v>164</v>
      </c>
      <c r="U563" t="s">
        <v>164</v>
      </c>
      <c r="V563" s="7">
        <v>1.1325394517406338</v>
      </c>
      <c r="W563">
        <v>82</v>
      </c>
      <c r="X563">
        <v>0.21</v>
      </c>
      <c r="Y563">
        <v>8.5</v>
      </c>
      <c r="Z563">
        <v>6.8</v>
      </c>
      <c r="AA563">
        <v>9</v>
      </c>
      <c r="AB563">
        <v>25</v>
      </c>
      <c r="AC563" s="20">
        <f>92.5/60</f>
        <v>1.5416666666666667</v>
      </c>
      <c r="AD563">
        <f>0.01/0.025</f>
        <v>0.39999999999999997</v>
      </c>
      <c r="AE563">
        <v>150</v>
      </c>
      <c r="AF563" s="14">
        <v>0.3674</v>
      </c>
    </row>
    <row r="564" spans="1:32" x14ac:dyDescent="0.3">
      <c r="A564" t="s">
        <v>125</v>
      </c>
      <c r="B564" t="s">
        <v>44</v>
      </c>
      <c r="C564">
        <v>-0.25</v>
      </c>
      <c r="D564">
        <v>361.37</v>
      </c>
      <c r="E564">
        <v>1.65</v>
      </c>
      <c r="F564">
        <v>2.1</v>
      </c>
      <c r="G564">
        <v>0.7</v>
      </c>
      <c r="H564">
        <v>1.4</v>
      </c>
      <c r="I564" s="7">
        <v>2.5043000000000002</v>
      </c>
      <c r="J564" s="10">
        <v>76.2</v>
      </c>
      <c r="K564" t="s">
        <v>57</v>
      </c>
      <c r="L564" t="s">
        <v>46</v>
      </c>
      <c r="M564">
        <v>5</v>
      </c>
      <c r="N564">
        <v>62.262999999999998</v>
      </c>
      <c r="O564">
        <v>8.3000000000000007</v>
      </c>
      <c r="P564" s="13">
        <v>1.8879999999999999</v>
      </c>
      <c r="Q564" t="s">
        <v>52</v>
      </c>
      <c r="R564">
        <v>70</v>
      </c>
      <c r="S564">
        <v>24</v>
      </c>
      <c r="T564" t="s">
        <v>164</v>
      </c>
      <c r="U564" t="s">
        <v>164</v>
      </c>
      <c r="V564" s="7">
        <v>1.1325394517406338</v>
      </c>
      <c r="W564">
        <v>82</v>
      </c>
      <c r="X564">
        <v>0.21</v>
      </c>
      <c r="Y564">
        <v>8.5</v>
      </c>
      <c r="Z564">
        <v>6.8</v>
      </c>
      <c r="AA564">
        <v>6</v>
      </c>
      <c r="AB564">
        <v>25</v>
      </c>
      <c r="AC564" s="20">
        <f>92.5/60</f>
        <v>1.5416666666666667</v>
      </c>
      <c r="AD564">
        <f>0.05/0.025</f>
        <v>2</v>
      </c>
      <c r="AE564">
        <v>150</v>
      </c>
      <c r="AF564" s="14">
        <v>0.90380000000000005</v>
      </c>
    </row>
    <row r="565" spans="1:32" x14ac:dyDescent="0.3">
      <c r="A565" t="s">
        <v>125</v>
      </c>
      <c r="B565" t="s">
        <v>44</v>
      </c>
      <c r="C565">
        <v>-0.25</v>
      </c>
      <c r="D565">
        <v>361.37</v>
      </c>
      <c r="E565">
        <v>1.65</v>
      </c>
      <c r="F565">
        <v>2.1</v>
      </c>
      <c r="G565">
        <v>0.7</v>
      </c>
      <c r="H565">
        <v>1.4</v>
      </c>
      <c r="I565" s="7">
        <v>2.5043000000000002</v>
      </c>
      <c r="J565" s="10">
        <v>76.2</v>
      </c>
      <c r="K565" t="s">
        <v>57</v>
      </c>
      <c r="L565" t="s">
        <v>46</v>
      </c>
      <c r="M565">
        <v>5</v>
      </c>
      <c r="N565">
        <v>62.262999999999998</v>
      </c>
      <c r="O565">
        <v>8.3000000000000007</v>
      </c>
      <c r="P565" s="13">
        <v>1.8879999999999999</v>
      </c>
      <c r="Q565" t="s">
        <v>52</v>
      </c>
      <c r="R565">
        <v>70</v>
      </c>
      <c r="S565">
        <v>24</v>
      </c>
      <c r="T565" t="s">
        <v>164</v>
      </c>
      <c r="U565" t="s">
        <v>164</v>
      </c>
      <c r="V565" s="7">
        <v>1.1325394517406338</v>
      </c>
      <c r="W565">
        <v>82</v>
      </c>
      <c r="X565">
        <v>0.21</v>
      </c>
      <c r="Y565">
        <v>8.5</v>
      </c>
      <c r="Z565">
        <v>6.8</v>
      </c>
      <c r="AA565">
        <v>6</v>
      </c>
      <c r="AB565">
        <v>25</v>
      </c>
      <c r="AC565" s="20">
        <f>92.5/60</f>
        <v>1.5416666666666667</v>
      </c>
      <c r="AD565">
        <f>0.05/0.025</f>
        <v>2</v>
      </c>
      <c r="AE565">
        <v>150</v>
      </c>
      <c r="AF565" s="14">
        <v>0.93169999999999997</v>
      </c>
    </row>
    <row r="566" spans="1:32" x14ac:dyDescent="0.3">
      <c r="A566" t="s">
        <v>125</v>
      </c>
      <c r="B566" t="s">
        <v>44</v>
      </c>
      <c r="C566">
        <v>-0.25</v>
      </c>
      <c r="D566">
        <v>361.37</v>
      </c>
      <c r="E566">
        <v>1.65</v>
      </c>
      <c r="F566">
        <v>2.1</v>
      </c>
      <c r="G566">
        <v>0.7</v>
      </c>
      <c r="H566">
        <v>1.4</v>
      </c>
      <c r="I566" s="7">
        <v>2.5043000000000002</v>
      </c>
      <c r="J566" s="10">
        <v>76.2</v>
      </c>
      <c r="K566" t="s">
        <v>57</v>
      </c>
      <c r="L566" t="s">
        <v>46</v>
      </c>
      <c r="M566">
        <v>5</v>
      </c>
      <c r="N566">
        <v>62.262999999999998</v>
      </c>
      <c r="O566">
        <v>8.3000000000000007</v>
      </c>
      <c r="P566" s="13">
        <v>1.8879999999999999</v>
      </c>
      <c r="Q566" t="s">
        <v>52</v>
      </c>
      <c r="R566">
        <v>70</v>
      </c>
      <c r="S566">
        <v>24</v>
      </c>
      <c r="T566" t="s">
        <v>164</v>
      </c>
      <c r="U566" t="s">
        <v>164</v>
      </c>
      <c r="V566" s="7">
        <v>1.1325394517406338</v>
      </c>
      <c r="W566">
        <v>82</v>
      </c>
      <c r="X566">
        <v>0.21</v>
      </c>
      <c r="Y566">
        <v>8.5</v>
      </c>
      <c r="Z566">
        <v>6.8</v>
      </c>
      <c r="AA566">
        <v>3</v>
      </c>
      <c r="AB566">
        <v>25</v>
      </c>
      <c r="AC566" s="21">
        <f>5/60</f>
        <v>8.3333333333333329E-2</v>
      </c>
      <c r="AD566">
        <f>0.05/0.025</f>
        <v>2</v>
      </c>
      <c r="AE566">
        <v>150</v>
      </c>
      <c r="AF566" s="14">
        <v>0.34789999999999999</v>
      </c>
    </row>
    <row r="567" spans="1:32" x14ac:dyDescent="0.3">
      <c r="A567" t="s">
        <v>125</v>
      </c>
      <c r="B567" t="s">
        <v>44</v>
      </c>
      <c r="C567">
        <v>-0.25</v>
      </c>
      <c r="D567">
        <v>361.37</v>
      </c>
      <c r="E567">
        <v>1.65</v>
      </c>
      <c r="F567">
        <v>2.1</v>
      </c>
      <c r="G567">
        <v>0.7</v>
      </c>
      <c r="H567">
        <v>1.4</v>
      </c>
      <c r="I567" s="7">
        <v>2.5043000000000002</v>
      </c>
      <c r="J567" s="10">
        <v>76.2</v>
      </c>
      <c r="K567" t="s">
        <v>57</v>
      </c>
      <c r="L567" t="s">
        <v>46</v>
      </c>
      <c r="M567">
        <v>5</v>
      </c>
      <c r="N567">
        <v>62.262999999999998</v>
      </c>
      <c r="O567">
        <v>8.3000000000000007</v>
      </c>
      <c r="P567" s="13">
        <v>1.8879999999999999</v>
      </c>
      <c r="Q567" t="s">
        <v>52</v>
      </c>
      <c r="R567">
        <v>70</v>
      </c>
      <c r="S567">
        <v>24</v>
      </c>
      <c r="T567" t="s">
        <v>164</v>
      </c>
      <c r="U567" t="s">
        <v>164</v>
      </c>
      <c r="V567" s="7">
        <v>1.1325394517406338</v>
      </c>
      <c r="W567">
        <v>82</v>
      </c>
      <c r="X567">
        <v>0.21</v>
      </c>
      <c r="Y567">
        <v>8.5</v>
      </c>
      <c r="Z567">
        <v>6.8</v>
      </c>
      <c r="AA567">
        <v>9</v>
      </c>
      <c r="AB567">
        <v>25</v>
      </c>
      <c r="AC567" s="21">
        <f>5/60</f>
        <v>8.3333333333333329E-2</v>
      </c>
      <c r="AD567">
        <f>0.05/0.025</f>
        <v>2</v>
      </c>
      <c r="AE567">
        <v>150</v>
      </c>
      <c r="AF567" s="14">
        <v>0.3997</v>
      </c>
    </row>
    <row r="568" spans="1:32" x14ac:dyDescent="0.3">
      <c r="A568" t="s">
        <v>125</v>
      </c>
      <c r="B568" t="s">
        <v>44</v>
      </c>
      <c r="C568">
        <v>-0.25</v>
      </c>
      <c r="D568">
        <v>361.37</v>
      </c>
      <c r="E568">
        <v>1.65</v>
      </c>
      <c r="F568">
        <v>2.1</v>
      </c>
      <c r="G568">
        <v>0.7</v>
      </c>
      <c r="H568">
        <v>1.4</v>
      </c>
      <c r="I568" s="7">
        <v>2.5043000000000002</v>
      </c>
      <c r="J568" s="10">
        <v>76.2</v>
      </c>
      <c r="K568" t="s">
        <v>57</v>
      </c>
      <c r="L568" t="s">
        <v>46</v>
      </c>
      <c r="M568">
        <v>5</v>
      </c>
      <c r="N568">
        <v>62.262999999999998</v>
      </c>
      <c r="O568">
        <v>8.3000000000000007</v>
      </c>
      <c r="P568" s="13">
        <v>1.8879999999999999</v>
      </c>
      <c r="Q568" t="s">
        <v>52</v>
      </c>
      <c r="R568">
        <v>70</v>
      </c>
      <c r="S568">
        <v>24</v>
      </c>
      <c r="T568" t="s">
        <v>164</v>
      </c>
      <c r="U568" t="s">
        <v>164</v>
      </c>
      <c r="V568" s="7">
        <v>1.1325394517406338</v>
      </c>
      <c r="W568">
        <v>82</v>
      </c>
      <c r="X568">
        <v>0.21</v>
      </c>
      <c r="Y568">
        <v>8.5</v>
      </c>
      <c r="Z568">
        <v>6.8</v>
      </c>
      <c r="AA568">
        <v>6</v>
      </c>
      <c r="AB568">
        <v>25</v>
      </c>
      <c r="AC568" s="17">
        <f>180/60</f>
        <v>3</v>
      </c>
      <c r="AD568">
        <f>0.01/0.025</f>
        <v>0.39999999999999997</v>
      </c>
      <c r="AE568">
        <v>150</v>
      </c>
      <c r="AF568" s="14">
        <v>0.80940000000000001</v>
      </c>
    </row>
    <row r="569" spans="1:32" x14ac:dyDescent="0.3">
      <c r="A569" t="s">
        <v>125</v>
      </c>
      <c r="B569" t="s">
        <v>44</v>
      </c>
      <c r="C569">
        <v>-0.25</v>
      </c>
      <c r="D569">
        <v>361.37</v>
      </c>
      <c r="E569">
        <v>1.65</v>
      </c>
      <c r="F569">
        <v>2.1</v>
      </c>
      <c r="G569">
        <v>0.7</v>
      </c>
      <c r="H569">
        <v>1.4</v>
      </c>
      <c r="I569" s="7">
        <v>2.5043000000000002</v>
      </c>
      <c r="J569" s="10">
        <v>76.2</v>
      </c>
      <c r="K569" t="s">
        <v>57</v>
      </c>
      <c r="L569" t="s">
        <v>46</v>
      </c>
      <c r="M569">
        <v>5</v>
      </c>
      <c r="N569">
        <v>62.262999999999998</v>
      </c>
      <c r="O569">
        <v>8.3000000000000007</v>
      </c>
      <c r="P569" s="13">
        <v>1.8879999999999999</v>
      </c>
      <c r="Q569" t="s">
        <v>52</v>
      </c>
      <c r="R569">
        <v>70</v>
      </c>
      <c r="S569">
        <v>24</v>
      </c>
      <c r="T569" t="s">
        <v>164</v>
      </c>
      <c r="U569" t="s">
        <v>164</v>
      </c>
      <c r="V569" s="7">
        <v>1.1325394517406338</v>
      </c>
      <c r="W569">
        <v>82</v>
      </c>
      <c r="X569">
        <v>0.21</v>
      </c>
      <c r="Y569">
        <v>8.5</v>
      </c>
      <c r="Z569">
        <v>6.8</v>
      </c>
      <c r="AA569">
        <v>6</v>
      </c>
      <c r="AB569">
        <v>25</v>
      </c>
      <c r="AC569" s="20">
        <f>92.5/60</f>
        <v>1.5416666666666667</v>
      </c>
      <c r="AD569">
        <f>0.05/0.025</f>
        <v>2</v>
      </c>
      <c r="AE569">
        <v>150</v>
      </c>
      <c r="AF569" s="14">
        <v>0.92179999999999995</v>
      </c>
    </row>
    <row r="570" spans="1:32" x14ac:dyDescent="0.3">
      <c r="A570" t="s">
        <v>125</v>
      </c>
      <c r="B570" t="s">
        <v>44</v>
      </c>
      <c r="C570">
        <v>-0.25</v>
      </c>
      <c r="D570">
        <v>361.37</v>
      </c>
      <c r="E570">
        <v>1.65</v>
      </c>
      <c r="F570">
        <v>2.1</v>
      </c>
      <c r="G570">
        <v>0.7</v>
      </c>
      <c r="H570">
        <v>1.4</v>
      </c>
      <c r="I570" s="7">
        <v>2.5043000000000002</v>
      </c>
      <c r="J570" s="10">
        <v>76.2</v>
      </c>
      <c r="K570" t="s">
        <v>57</v>
      </c>
      <c r="L570" t="s">
        <v>46</v>
      </c>
      <c r="M570">
        <v>5</v>
      </c>
      <c r="N570">
        <v>62.262999999999998</v>
      </c>
      <c r="O570">
        <v>8.3000000000000007</v>
      </c>
      <c r="P570" s="13">
        <v>1.8879999999999999</v>
      </c>
      <c r="Q570" t="s">
        <v>52</v>
      </c>
      <c r="R570">
        <v>70</v>
      </c>
      <c r="S570">
        <v>24</v>
      </c>
      <c r="T570" t="s">
        <v>164</v>
      </c>
      <c r="U570" t="s">
        <v>164</v>
      </c>
      <c r="V570" s="7">
        <v>1.1325394517406338</v>
      </c>
      <c r="W570">
        <v>82</v>
      </c>
      <c r="X570">
        <v>0.21</v>
      </c>
      <c r="Y570">
        <v>8.5</v>
      </c>
      <c r="Z570">
        <v>6.8</v>
      </c>
      <c r="AA570">
        <v>9</v>
      </c>
      <c r="AB570">
        <v>25</v>
      </c>
      <c r="AC570" s="18">
        <f>180/60</f>
        <v>3</v>
      </c>
      <c r="AD570">
        <f>0.05/0.025</f>
        <v>2</v>
      </c>
      <c r="AE570">
        <v>150</v>
      </c>
      <c r="AF570" s="14">
        <v>0.63749999999999996</v>
      </c>
    </row>
    <row r="571" spans="1:32" x14ac:dyDescent="0.3">
      <c r="A571" t="s">
        <v>125</v>
      </c>
      <c r="B571" t="s">
        <v>44</v>
      </c>
      <c r="C571">
        <v>-0.25</v>
      </c>
      <c r="D571">
        <v>361.37</v>
      </c>
      <c r="E571">
        <v>1.65</v>
      </c>
      <c r="F571">
        <v>2.1</v>
      </c>
      <c r="G571">
        <v>0.7</v>
      </c>
      <c r="H571">
        <v>1.4</v>
      </c>
      <c r="I571" s="7">
        <v>2.5043000000000002</v>
      </c>
      <c r="J571" s="10">
        <v>76.2</v>
      </c>
      <c r="K571" t="s">
        <v>57</v>
      </c>
      <c r="L571" t="s">
        <v>46</v>
      </c>
      <c r="M571">
        <v>5</v>
      </c>
      <c r="N571">
        <v>62.262999999999998</v>
      </c>
      <c r="O571">
        <v>8.3000000000000007</v>
      </c>
      <c r="P571" s="13">
        <v>1.8879999999999999</v>
      </c>
      <c r="Q571" t="s">
        <v>52</v>
      </c>
      <c r="R571">
        <v>70</v>
      </c>
      <c r="S571">
        <v>24</v>
      </c>
      <c r="T571" t="s">
        <v>164</v>
      </c>
      <c r="U571" t="s">
        <v>164</v>
      </c>
      <c r="V571" s="7">
        <v>1.1325394517406338</v>
      </c>
      <c r="W571">
        <v>82</v>
      </c>
      <c r="X571">
        <v>0.21</v>
      </c>
      <c r="Y571">
        <v>8.5</v>
      </c>
      <c r="Z571">
        <v>6.8</v>
      </c>
      <c r="AA571">
        <v>3</v>
      </c>
      <c r="AB571">
        <v>25</v>
      </c>
      <c r="AC571" s="20">
        <f>92.5/60</f>
        <v>1.5416666666666667</v>
      </c>
      <c r="AD571">
        <f>0.01/0.025</f>
        <v>0.39999999999999997</v>
      </c>
      <c r="AE571">
        <v>150</v>
      </c>
      <c r="AF571" s="14">
        <v>0.29720000000000002</v>
      </c>
    </row>
    <row r="572" spans="1:32" x14ac:dyDescent="0.3">
      <c r="A572" t="s">
        <v>125</v>
      </c>
      <c r="B572" t="s">
        <v>44</v>
      </c>
      <c r="C572">
        <v>-0.25</v>
      </c>
      <c r="D572">
        <v>361.37</v>
      </c>
      <c r="E572">
        <v>1.65</v>
      </c>
      <c r="F572">
        <v>2.1</v>
      </c>
      <c r="G572">
        <v>0.7</v>
      </c>
      <c r="H572">
        <v>1.4</v>
      </c>
      <c r="I572" s="7">
        <v>2.5043000000000002</v>
      </c>
      <c r="J572" s="10">
        <v>76.2</v>
      </c>
      <c r="K572" t="s">
        <v>57</v>
      </c>
      <c r="L572" t="s">
        <v>46</v>
      </c>
      <c r="M572">
        <v>5</v>
      </c>
      <c r="N572">
        <v>62.262999999999998</v>
      </c>
      <c r="O572">
        <v>8.3000000000000007</v>
      </c>
      <c r="P572" s="13">
        <v>1.8879999999999999</v>
      </c>
      <c r="Q572" t="s">
        <v>52</v>
      </c>
      <c r="R572">
        <v>70</v>
      </c>
      <c r="S572">
        <v>24</v>
      </c>
      <c r="T572" t="s">
        <v>164</v>
      </c>
      <c r="U572" t="s">
        <v>164</v>
      </c>
      <c r="V572" s="7">
        <v>1.1325394517406338</v>
      </c>
      <c r="W572">
        <v>82</v>
      </c>
      <c r="X572">
        <v>0.21</v>
      </c>
      <c r="Y572">
        <v>8.5</v>
      </c>
      <c r="Z572">
        <v>6.8</v>
      </c>
      <c r="AA572">
        <v>6</v>
      </c>
      <c r="AB572">
        <v>25</v>
      </c>
      <c r="AC572" s="18">
        <f>180/60</f>
        <v>3</v>
      </c>
      <c r="AD572">
        <f>0.09/0.025</f>
        <v>3.5999999999999996</v>
      </c>
      <c r="AE572">
        <v>150</v>
      </c>
      <c r="AF572" s="14">
        <v>0.98270000000000002</v>
      </c>
    </row>
    <row r="573" spans="1:32" x14ac:dyDescent="0.3">
      <c r="A573" t="s">
        <v>125</v>
      </c>
      <c r="B573" t="s">
        <v>44</v>
      </c>
      <c r="C573">
        <v>-0.25</v>
      </c>
      <c r="D573">
        <v>361.37</v>
      </c>
      <c r="E573">
        <v>1.65</v>
      </c>
      <c r="F573">
        <v>2.1</v>
      </c>
      <c r="G573">
        <v>0.7</v>
      </c>
      <c r="H573">
        <v>1.4</v>
      </c>
      <c r="I573" s="7">
        <v>2.5043000000000002</v>
      </c>
      <c r="J573" s="10">
        <v>76.2</v>
      </c>
      <c r="K573" t="s">
        <v>57</v>
      </c>
      <c r="L573" t="s">
        <v>46</v>
      </c>
      <c r="M573">
        <v>5</v>
      </c>
      <c r="N573">
        <v>62.262999999999998</v>
      </c>
      <c r="O573">
        <v>8.3000000000000007</v>
      </c>
      <c r="P573" s="13">
        <v>1.8879999999999999</v>
      </c>
      <c r="Q573" t="s">
        <v>52</v>
      </c>
      <c r="R573">
        <v>70</v>
      </c>
      <c r="S573">
        <v>24</v>
      </c>
      <c r="T573" t="s">
        <v>164</v>
      </c>
      <c r="U573" t="s">
        <v>164</v>
      </c>
      <c r="V573" s="7">
        <v>1.1325394517406338</v>
      </c>
      <c r="W573">
        <v>82</v>
      </c>
      <c r="X573">
        <v>0.21</v>
      </c>
      <c r="Y573">
        <v>8.5</v>
      </c>
      <c r="Z573">
        <v>6.8</v>
      </c>
      <c r="AA573">
        <v>6</v>
      </c>
      <c r="AB573">
        <v>25</v>
      </c>
      <c r="AC573" s="20">
        <f>5/60</f>
        <v>8.3333333333333329E-2</v>
      </c>
      <c r="AD573">
        <f>0.09/0.025</f>
        <v>3.5999999999999996</v>
      </c>
      <c r="AE573">
        <v>150</v>
      </c>
      <c r="AF573" s="14">
        <v>0.68230000000000002</v>
      </c>
    </row>
    <row r="574" spans="1:32" x14ac:dyDescent="0.3">
      <c r="A574" t="s">
        <v>125</v>
      </c>
      <c r="B574" t="s">
        <v>44</v>
      </c>
      <c r="C574">
        <v>-0.25</v>
      </c>
      <c r="D574">
        <v>361.37</v>
      </c>
      <c r="E574">
        <v>1.65</v>
      </c>
      <c r="F574">
        <v>2.1</v>
      </c>
      <c r="G574">
        <v>0.7</v>
      </c>
      <c r="H574">
        <v>1.4</v>
      </c>
      <c r="I574" s="7">
        <v>2.5043000000000002</v>
      </c>
      <c r="J574" s="10">
        <v>76.2</v>
      </c>
      <c r="K574" t="s">
        <v>57</v>
      </c>
      <c r="L574" t="s">
        <v>46</v>
      </c>
      <c r="M574">
        <v>5</v>
      </c>
      <c r="N574">
        <v>62.262999999999998</v>
      </c>
      <c r="O574">
        <v>8.3000000000000007</v>
      </c>
      <c r="P574" s="13">
        <v>1.8879999999999999</v>
      </c>
      <c r="Q574" t="s">
        <v>52</v>
      </c>
      <c r="R574">
        <v>70</v>
      </c>
      <c r="S574">
        <v>24</v>
      </c>
      <c r="T574" t="s">
        <v>164</v>
      </c>
      <c r="U574" t="s">
        <v>164</v>
      </c>
      <c r="V574" s="7">
        <v>1.1325394517406338</v>
      </c>
      <c r="W574">
        <v>82</v>
      </c>
      <c r="X574">
        <v>0.21</v>
      </c>
      <c r="Y574">
        <v>8.5</v>
      </c>
      <c r="Z574">
        <v>6.8</v>
      </c>
      <c r="AA574">
        <v>3</v>
      </c>
      <c r="AB574">
        <v>25</v>
      </c>
      <c r="AC574" s="20">
        <f>92.5/60</f>
        <v>1.5416666666666667</v>
      </c>
      <c r="AD574">
        <f>0.09/0.025</f>
        <v>3.5999999999999996</v>
      </c>
      <c r="AE574">
        <v>150</v>
      </c>
      <c r="AF574" s="14">
        <v>0.54369999999999996</v>
      </c>
    </row>
    <row r="575" spans="1:32" x14ac:dyDescent="0.3">
      <c r="A575" t="s">
        <v>125</v>
      </c>
      <c r="B575" t="s">
        <v>44</v>
      </c>
      <c r="C575">
        <v>-0.25</v>
      </c>
      <c r="D575">
        <v>361.37</v>
      </c>
      <c r="E575">
        <v>1.65</v>
      </c>
      <c r="F575">
        <v>2.1</v>
      </c>
      <c r="G575">
        <v>0.7</v>
      </c>
      <c r="H575">
        <v>1.4</v>
      </c>
      <c r="I575" s="7">
        <v>2.5043000000000002</v>
      </c>
      <c r="J575" s="10">
        <v>76.2</v>
      </c>
      <c r="K575" t="s">
        <v>57</v>
      </c>
      <c r="L575" t="s">
        <v>46</v>
      </c>
      <c r="M575">
        <v>5</v>
      </c>
      <c r="N575">
        <v>62.262999999999998</v>
      </c>
      <c r="O575">
        <v>8.3000000000000007</v>
      </c>
      <c r="P575" s="13">
        <v>1.8879999999999999</v>
      </c>
      <c r="Q575" t="s">
        <v>52</v>
      </c>
      <c r="R575">
        <v>70</v>
      </c>
      <c r="S575">
        <v>24</v>
      </c>
      <c r="T575" t="s">
        <v>164</v>
      </c>
      <c r="U575" t="s">
        <v>164</v>
      </c>
      <c r="V575" s="7">
        <v>1.1325394517406338</v>
      </c>
      <c r="W575">
        <v>82</v>
      </c>
      <c r="X575">
        <v>0.21</v>
      </c>
      <c r="Y575">
        <v>8.5</v>
      </c>
      <c r="Z575">
        <v>6.8</v>
      </c>
      <c r="AA575">
        <v>9</v>
      </c>
      <c r="AB575">
        <v>25</v>
      </c>
      <c r="AC575" s="20">
        <f>92.5/60</f>
        <v>1.5416666666666667</v>
      </c>
      <c r="AD575">
        <f>0.09/0.025</f>
        <v>3.5999999999999996</v>
      </c>
      <c r="AE575">
        <v>150</v>
      </c>
      <c r="AF575" s="14">
        <v>0.57194</v>
      </c>
    </row>
    <row r="576" spans="1:32" x14ac:dyDescent="0.3">
      <c r="A576" t="s">
        <v>125</v>
      </c>
      <c r="B576" t="s">
        <v>44</v>
      </c>
      <c r="C576">
        <v>-0.25</v>
      </c>
      <c r="D576">
        <v>361.37</v>
      </c>
      <c r="E576">
        <v>1.65</v>
      </c>
      <c r="F576">
        <v>2.1</v>
      </c>
      <c r="G576">
        <v>0.7</v>
      </c>
      <c r="H576">
        <v>1.4</v>
      </c>
      <c r="I576" s="7">
        <v>2.5043000000000002</v>
      </c>
      <c r="J576" s="10">
        <v>76.2</v>
      </c>
      <c r="K576" t="s">
        <v>57</v>
      </c>
      <c r="L576" t="s">
        <v>46</v>
      </c>
      <c r="M576">
        <v>5</v>
      </c>
      <c r="N576">
        <v>62.262999999999998</v>
      </c>
      <c r="O576">
        <v>8.3000000000000007</v>
      </c>
      <c r="P576" s="13">
        <v>1.8879999999999999</v>
      </c>
      <c r="Q576" t="s">
        <v>52</v>
      </c>
      <c r="R576">
        <v>70</v>
      </c>
      <c r="S576">
        <v>24</v>
      </c>
      <c r="T576" t="s">
        <v>164</v>
      </c>
      <c r="U576" t="s">
        <v>164</v>
      </c>
      <c r="V576" s="7">
        <v>1.1325394517406338</v>
      </c>
      <c r="W576">
        <v>82</v>
      </c>
      <c r="X576">
        <v>0.21</v>
      </c>
      <c r="Y576">
        <v>8.5</v>
      </c>
      <c r="Z576">
        <v>6.8</v>
      </c>
      <c r="AA576">
        <v>3</v>
      </c>
      <c r="AB576">
        <v>25</v>
      </c>
      <c r="AC576" s="18">
        <f>180/60</f>
        <v>3</v>
      </c>
      <c r="AD576">
        <f>0.05/0.025</f>
        <v>2</v>
      </c>
      <c r="AE576">
        <v>150</v>
      </c>
      <c r="AF576" s="14">
        <v>0.61480000000000001</v>
      </c>
    </row>
    <row r="577" spans="1:32" x14ac:dyDescent="0.3">
      <c r="A577" t="s">
        <v>125</v>
      </c>
      <c r="B577" t="s">
        <v>44</v>
      </c>
      <c r="C577">
        <v>-0.25</v>
      </c>
      <c r="D577">
        <v>361.37</v>
      </c>
      <c r="E577">
        <v>1.65</v>
      </c>
      <c r="F577">
        <v>2.1</v>
      </c>
      <c r="G577">
        <v>0.7</v>
      </c>
      <c r="H577">
        <v>1.4</v>
      </c>
      <c r="I577" s="7">
        <v>2.5043000000000002</v>
      </c>
      <c r="J577" s="10">
        <v>76.2</v>
      </c>
      <c r="K577" t="s">
        <v>57</v>
      </c>
      <c r="L577" t="s">
        <v>46</v>
      </c>
      <c r="M577">
        <v>5</v>
      </c>
      <c r="N577">
        <v>62.262999999999998</v>
      </c>
      <c r="O577">
        <v>8.3000000000000007</v>
      </c>
      <c r="P577" s="13">
        <v>1.8879999999999999</v>
      </c>
      <c r="Q577" t="s">
        <v>52</v>
      </c>
      <c r="R577">
        <v>70</v>
      </c>
      <c r="S577">
        <v>24</v>
      </c>
      <c r="T577" t="s">
        <v>164</v>
      </c>
      <c r="U577" t="s">
        <v>164</v>
      </c>
      <c r="V577" s="7">
        <v>1.1325394517406338</v>
      </c>
      <c r="W577">
        <v>82</v>
      </c>
      <c r="X577">
        <v>0.21</v>
      </c>
      <c r="Y577">
        <v>8.5</v>
      </c>
      <c r="Z577">
        <v>6.8</v>
      </c>
      <c r="AA577">
        <v>6</v>
      </c>
      <c r="AB577">
        <v>25</v>
      </c>
      <c r="AC577" s="21">
        <v>8.3333333329999995E-2</v>
      </c>
      <c r="AD577">
        <f>0.05/0.05</f>
        <v>1</v>
      </c>
      <c r="AE577">
        <v>150</v>
      </c>
      <c r="AF577" s="11">
        <v>0.36666666666666664</v>
      </c>
    </row>
    <row r="578" spans="1:32" x14ac:dyDescent="0.3">
      <c r="A578" t="s">
        <v>125</v>
      </c>
      <c r="B578" t="s">
        <v>44</v>
      </c>
      <c r="C578">
        <v>-0.25</v>
      </c>
      <c r="D578">
        <v>361.37</v>
      </c>
      <c r="E578">
        <v>1.65</v>
      </c>
      <c r="F578">
        <v>2.1</v>
      </c>
      <c r="G578">
        <v>0.7</v>
      </c>
      <c r="H578">
        <v>1.4</v>
      </c>
      <c r="I578" s="7">
        <v>2.5043000000000002</v>
      </c>
      <c r="J578" s="10">
        <v>76.2</v>
      </c>
      <c r="K578" t="s">
        <v>57</v>
      </c>
      <c r="L578" t="s">
        <v>46</v>
      </c>
      <c r="M578">
        <v>5</v>
      </c>
      <c r="N578">
        <v>62.262999999999998</v>
      </c>
      <c r="O578">
        <v>8.3000000000000007</v>
      </c>
      <c r="P578" s="13">
        <v>1.8879999999999999</v>
      </c>
      <c r="Q578" t="s">
        <v>52</v>
      </c>
      <c r="R578">
        <v>70</v>
      </c>
      <c r="S578">
        <v>24</v>
      </c>
      <c r="T578" t="s">
        <v>164</v>
      </c>
      <c r="U578" t="s">
        <v>164</v>
      </c>
      <c r="V578" s="7">
        <v>1.1325394517406338</v>
      </c>
      <c r="W578">
        <v>82</v>
      </c>
      <c r="X578">
        <v>0.21</v>
      </c>
      <c r="Y578">
        <v>8.5</v>
      </c>
      <c r="Z578">
        <v>6.8</v>
      </c>
      <c r="AA578">
        <v>6</v>
      </c>
      <c r="AB578">
        <v>25</v>
      </c>
      <c r="AC578" s="21">
        <v>0.16666666669999999</v>
      </c>
      <c r="AD578">
        <f t="shared" ref="AD578:AD584" si="4">0.05/0.05</f>
        <v>1</v>
      </c>
      <c r="AE578">
        <v>150</v>
      </c>
      <c r="AF578" s="11">
        <v>0.53333333333333333</v>
      </c>
    </row>
    <row r="579" spans="1:32" x14ac:dyDescent="0.3">
      <c r="A579" t="s">
        <v>125</v>
      </c>
      <c r="B579" t="s">
        <v>44</v>
      </c>
      <c r="C579">
        <v>-0.25</v>
      </c>
      <c r="D579">
        <v>361.37</v>
      </c>
      <c r="E579">
        <v>1.65</v>
      </c>
      <c r="F579">
        <v>2.1</v>
      </c>
      <c r="G579">
        <v>0.7</v>
      </c>
      <c r="H579">
        <v>1.4</v>
      </c>
      <c r="I579" s="7">
        <v>2.5043000000000002</v>
      </c>
      <c r="J579" s="10">
        <v>76.2</v>
      </c>
      <c r="K579" t="s">
        <v>57</v>
      </c>
      <c r="L579" t="s">
        <v>46</v>
      </c>
      <c r="M579">
        <v>5</v>
      </c>
      <c r="N579">
        <v>62.262999999999998</v>
      </c>
      <c r="O579">
        <v>8.3000000000000007</v>
      </c>
      <c r="P579" s="13">
        <v>1.8879999999999999</v>
      </c>
      <c r="Q579" t="s">
        <v>52</v>
      </c>
      <c r="R579">
        <v>70</v>
      </c>
      <c r="S579">
        <v>24</v>
      </c>
      <c r="T579" t="s">
        <v>164</v>
      </c>
      <c r="U579" t="s">
        <v>164</v>
      </c>
      <c r="V579" s="7">
        <v>1.1325394517406338</v>
      </c>
      <c r="W579">
        <v>82</v>
      </c>
      <c r="X579">
        <v>0.21</v>
      </c>
      <c r="Y579">
        <v>8.5</v>
      </c>
      <c r="Z579">
        <v>6.8</v>
      </c>
      <c r="AA579">
        <v>6</v>
      </c>
      <c r="AB579">
        <v>25</v>
      </c>
      <c r="AC579" s="21">
        <v>0.25</v>
      </c>
      <c r="AD579">
        <f t="shared" si="4"/>
        <v>1</v>
      </c>
      <c r="AE579">
        <v>150</v>
      </c>
      <c r="AF579" s="11">
        <v>0.6</v>
      </c>
    </row>
    <row r="580" spans="1:32" x14ac:dyDescent="0.3">
      <c r="A580" t="s">
        <v>125</v>
      </c>
      <c r="B580" t="s">
        <v>44</v>
      </c>
      <c r="C580">
        <v>-0.25</v>
      </c>
      <c r="D580">
        <v>361.37</v>
      </c>
      <c r="E580">
        <v>1.65</v>
      </c>
      <c r="F580">
        <v>2.1</v>
      </c>
      <c r="G580">
        <v>0.7</v>
      </c>
      <c r="H580">
        <v>1.4</v>
      </c>
      <c r="I580" s="7">
        <v>2.5043000000000002</v>
      </c>
      <c r="J580" s="10">
        <v>76.2</v>
      </c>
      <c r="K580" t="s">
        <v>57</v>
      </c>
      <c r="L580" t="s">
        <v>46</v>
      </c>
      <c r="M580">
        <v>5</v>
      </c>
      <c r="N580">
        <v>62.262999999999998</v>
      </c>
      <c r="O580">
        <v>8.3000000000000007</v>
      </c>
      <c r="P580" s="13">
        <v>1.8879999999999999</v>
      </c>
      <c r="Q580" t="s">
        <v>52</v>
      </c>
      <c r="R580">
        <v>70</v>
      </c>
      <c r="S580">
        <v>24</v>
      </c>
      <c r="T580" t="s">
        <v>164</v>
      </c>
      <c r="U580" t="s">
        <v>164</v>
      </c>
      <c r="V580" s="7">
        <v>1.1325394517406338</v>
      </c>
      <c r="W580">
        <v>82</v>
      </c>
      <c r="X580">
        <v>0.21</v>
      </c>
      <c r="Y580">
        <v>8.5</v>
      </c>
      <c r="Z580">
        <v>6.8</v>
      </c>
      <c r="AA580">
        <v>6</v>
      </c>
      <c r="AB580">
        <v>25</v>
      </c>
      <c r="AC580" s="21">
        <v>0.33333333329999998</v>
      </c>
      <c r="AD580">
        <f t="shared" si="4"/>
        <v>1</v>
      </c>
      <c r="AE580">
        <v>150</v>
      </c>
      <c r="AF580" s="11">
        <v>0.6333333333333333</v>
      </c>
    </row>
    <row r="581" spans="1:32" x14ac:dyDescent="0.3">
      <c r="A581" t="s">
        <v>125</v>
      </c>
      <c r="B581" t="s">
        <v>44</v>
      </c>
      <c r="C581">
        <v>-0.25</v>
      </c>
      <c r="D581">
        <v>361.37</v>
      </c>
      <c r="E581">
        <v>1.65</v>
      </c>
      <c r="F581">
        <v>2.1</v>
      </c>
      <c r="G581">
        <v>0.7</v>
      </c>
      <c r="H581">
        <v>1.4</v>
      </c>
      <c r="I581" s="7">
        <v>2.5043000000000002</v>
      </c>
      <c r="J581" s="10">
        <v>76.2</v>
      </c>
      <c r="K581" t="s">
        <v>57</v>
      </c>
      <c r="L581" t="s">
        <v>46</v>
      </c>
      <c r="M581">
        <v>5</v>
      </c>
      <c r="N581">
        <v>62.262999999999998</v>
      </c>
      <c r="O581">
        <v>8.3000000000000007</v>
      </c>
      <c r="P581" s="13">
        <v>1.8879999999999999</v>
      </c>
      <c r="Q581" t="s">
        <v>52</v>
      </c>
      <c r="R581">
        <v>70</v>
      </c>
      <c r="S581">
        <v>24</v>
      </c>
      <c r="T581" t="s">
        <v>164</v>
      </c>
      <c r="U581" t="s">
        <v>164</v>
      </c>
      <c r="V581" s="7">
        <v>1.1325394517406338</v>
      </c>
      <c r="W581">
        <v>82</v>
      </c>
      <c r="X581">
        <v>0.21</v>
      </c>
      <c r="Y581">
        <v>8.5</v>
      </c>
      <c r="Z581">
        <v>6.8</v>
      </c>
      <c r="AA581">
        <v>6</v>
      </c>
      <c r="AB581">
        <v>25</v>
      </c>
      <c r="AC581" s="21">
        <v>0.5</v>
      </c>
      <c r="AD581">
        <f t="shared" si="4"/>
        <v>1</v>
      </c>
      <c r="AE581">
        <v>150</v>
      </c>
      <c r="AF581" s="11">
        <v>0.65333333333333332</v>
      </c>
    </row>
    <row r="582" spans="1:32" x14ac:dyDescent="0.3">
      <c r="A582" t="s">
        <v>125</v>
      </c>
      <c r="B582" t="s">
        <v>44</v>
      </c>
      <c r="C582">
        <v>-0.25</v>
      </c>
      <c r="D582">
        <v>361.37</v>
      </c>
      <c r="E582">
        <v>1.65</v>
      </c>
      <c r="F582">
        <v>2.1</v>
      </c>
      <c r="G582">
        <v>0.7</v>
      </c>
      <c r="H582">
        <v>1.4</v>
      </c>
      <c r="I582" s="7">
        <v>2.5043000000000002</v>
      </c>
      <c r="J582" s="10">
        <v>76.2</v>
      </c>
      <c r="K582" t="s">
        <v>57</v>
      </c>
      <c r="L582" t="s">
        <v>46</v>
      </c>
      <c r="M582">
        <v>5</v>
      </c>
      <c r="N582">
        <v>62.262999999999998</v>
      </c>
      <c r="O582">
        <v>8.3000000000000007</v>
      </c>
      <c r="P582" s="13">
        <v>1.8879999999999999</v>
      </c>
      <c r="Q582" t="s">
        <v>52</v>
      </c>
      <c r="R582">
        <v>70</v>
      </c>
      <c r="S582">
        <v>24</v>
      </c>
      <c r="T582" t="s">
        <v>164</v>
      </c>
      <c r="U582" t="s">
        <v>164</v>
      </c>
      <c r="V582" s="7">
        <v>1.1325394517406338</v>
      </c>
      <c r="W582">
        <v>82</v>
      </c>
      <c r="X582">
        <v>0.21</v>
      </c>
      <c r="Y582">
        <v>8.5</v>
      </c>
      <c r="Z582">
        <v>6.8</v>
      </c>
      <c r="AA582">
        <v>6</v>
      </c>
      <c r="AB582">
        <v>25</v>
      </c>
      <c r="AC582" s="18">
        <v>1</v>
      </c>
      <c r="AD582">
        <f t="shared" si="4"/>
        <v>1</v>
      </c>
      <c r="AE582">
        <v>150</v>
      </c>
      <c r="AF582" s="11">
        <v>0.64666666666666661</v>
      </c>
    </row>
    <row r="583" spans="1:32" x14ac:dyDescent="0.3">
      <c r="A583" t="s">
        <v>125</v>
      </c>
      <c r="B583" t="s">
        <v>44</v>
      </c>
      <c r="C583">
        <v>-0.25</v>
      </c>
      <c r="D583">
        <v>361.37</v>
      </c>
      <c r="E583">
        <v>1.65</v>
      </c>
      <c r="F583">
        <v>2.1</v>
      </c>
      <c r="G583">
        <v>0.7</v>
      </c>
      <c r="H583">
        <v>1.4</v>
      </c>
      <c r="I583" s="7">
        <v>2.5043000000000002</v>
      </c>
      <c r="J583" s="10">
        <v>76.2</v>
      </c>
      <c r="K583" t="s">
        <v>57</v>
      </c>
      <c r="L583" t="s">
        <v>46</v>
      </c>
      <c r="M583">
        <v>5</v>
      </c>
      <c r="N583">
        <v>62.262999999999998</v>
      </c>
      <c r="O583">
        <v>8.3000000000000007</v>
      </c>
      <c r="P583" s="13">
        <v>1.8879999999999999</v>
      </c>
      <c r="Q583" t="s">
        <v>52</v>
      </c>
      <c r="R583">
        <v>70</v>
      </c>
      <c r="S583">
        <v>24</v>
      </c>
      <c r="T583" t="s">
        <v>164</v>
      </c>
      <c r="U583" t="s">
        <v>164</v>
      </c>
      <c r="V583" s="7">
        <v>1.1325394517406338</v>
      </c>
      <c r="W583">
        <v>82</v>
      </c>
      <c r="X583">
        <v>0.21</v>
      </c>
      <c r="Y583">
        <v>8.5</v>
      </c>
      <c r="Z583">
        <v>6.8</v>
      </c>
      <c r="AA583">
        <v>6</v>
      </c>
      <c r="AB583">
        <v>25</v>
      </c>
      <c r="AC583" s="18">
        <v>2</v>
      </c>
      <c r="AD583">
        <f t="shared" si="4"/>
        <v>1</v>
      </c>
      <c r="AE583">
        <v>150</v>
      </c>
      <c r="AF583" s="11">
        <v>0.62</v>
      </c>
    </row>
    <row r="584" spans="1:32" x14ac:dyDescent="0.3">
      <c r="A584" t="s">
        <v>125</v>
      </c>
      <c r="B584" t="s">
        <v>44</v>
      </c>
      <c r="C584">
        <v>-0.25</v>
      </c>
      <c r="D584">
        <v>361.37</v>
      </c>
      <c r="E584">
        <v>1.65</v>
      </c>
      <c r="F584">
        <v>2.1</v>
      </c>
      <c r="G584">
        <v>0.7</v>
      </c>
      <c r="H584">
        <v>1.4</v>
      </c>
      <c r="I584" s="7">
        <v>2.5043000000000002</v>
      </c>
      <c r="J584" s="10">
        <v>76.2</v>
      </c>
      <c r="K584" t="s">
        <v>57</v>
      </c>
      <c r="L584" t="s">
        <v>46</v>
      </c>
      <c r="M584">
        <v>5</v>
      </c>
      <c r="N584">
        <v>62.262999999999998</v>
      </c>
      <c r="O584">
        <v>8.3000000000000007</v>
      </c>
      <c r="P584" s="13">
        <v>1.8879999999999999</v>
      </c>
      <c r="Q584" t="s">
        <v>52</v>
      </c>
      <c r="R584">
        <v>70</v>
      </c>
      <c r="S584">
        <v>24</v>
      </c>
      <c r="T584" t="s">
        <v>164</v>
      </c>
      <c r="U584" t="s">
        <v>164</v>
      </c>
      <c r="V584" s="7">
        <v>1.1325394517406338</v>
      </c>
      <c r="W584">
        <v>82</v>
      </c>
      <c r="X584">
        <v>0.21</v>
      </c>
      <c r="Y584">
        <v>8.5</v>
      </c>
      <c r="Z584">
        <v>6.8</v>
      </c>
      <c r="AA584">
        <v>6</v>
      </c>
      <c r="AB584">
        <v>25</v>
      </c>
      <c r="AC584" s="18">
        <v>3</v>
      </c>
      <c r="AD584">
        <f t="shared" si="4"/>
        <v>1</v>
      </c>
      <c r="AE584">
        <v>150</v>
      </c>
      <c r="AF584" s="11">
        <v>0.64000000000000012</v>
      </c>
    </row>
    <row r="585" spans="1:32" x14ac:dyDescent="0.3">
      <c r="A585" t="s">
        <v>125</v>
      </c>
      <c r="B585" t="s">
        <v>44</v>
      </c>
      <c r="C585">
        <v>-0.25</v>
      </c>
      <c r="D585">
        <v>361.37</v>
      </c>
      <c r="E585">
        <v>1.65</v>
      </c>
      <c r="F585">
        <v>2.1</v>
      </c>
      <c r="G585">
        <v>0.7</v>
      </c>
      <c r="H585">
        <v>1.4</v>
      </c>
      <c r="I585" s="7">
        <v>2.5043000000000002</v>
      </c>
      <c r="J585" s="10">
        <v>76.2</v>
      </c>
      <c r="K585" t="s">
        <v>57</v>
      </c>
      <c r="L585" t="s">
        <v>46</v>
      </c>
      <c r="M585">
        <v>5</v>
      </c>
      <c r="N585">
        <v>62.262999999999998</v>
      </c>
      <c r="O585">
        <v>8.3000000000000007</v>
      </c>
      <c r="P585" s="13">
        <v>1.8879999999999999</v>
      </c>
      <c r="Q585" t="s">
        <v>52</v>
      </c>
      <c r="R585">
        <v>70</v>
      </c>
      <c r="S585">
        <v>24</v>
      </c>
      <c r="T585" t="s">
        <v>164</v>
      </c>
      <c r="U585" t="s">
        <v>164</v>
      </c>
      <c r="V585" s="7">
        <v>1.1325394517406338</v>
      </c>
      <c r="W585">
        <v>105</v>
      </c>
      <c r="X585">
        <v>0.28000000000000003</v>
      </c>
      <c r="Y585">
        <v>9.6999999999999993</v>
      </c>
      <c r="Z585">
        <v>6.1</v>
      </c>
      <c r="AA585">
        <v>6</v>
      </c>
      <c r="AB585">
        <v>25</v>
      </c>
      <c r="AC585" s="20">
        <f>92.5/60</f>
        <v>1.5416666666666667</v>
      </c>
      <c r="AD585">
        <f>0.05/0.025</f>
        <v>2</v>
      </c>
      <c r="AE585">
        <v>150</v>
      </c>
      <c r="AF585" s="14">
        <v>0.80469999999999997</v>
      </c>
    </row>
    <row r="586" spans="1:32" x14ac:dyDescent="0.3">
      <c r="A586" t="s">
        <v>125</v>
      </c>
      <c r="B586" t="s">
        <v>44</v>
      </c>
      <c r="C586">
        <v>-0.25</v>
      </c>
      <c r="D586">
        <v>361.37</v>
      </c>
      <c r="E586">
        <v>1.65</v>
      </c>
      <c r="F586">
        <v>2.1</v>
      </c>
      <c r="G586">
        <v>0.7</v>
      </c>
      <c r="H586">
        <v>1.4</v>
      </c>
      <c r="I586" s="7">
        <v>2.5043000000000002</v>
      </c>
      <c r="J586" s="10">
        <v>76.2</v>
      </c>
      <c r="K586" t="s">
        <v>57</v>
      </c>
      <c r="L586" t="s">
        <v>46</v>
      </c>
      <c r="M586">
        <v>5</v>
      </c>
      <c r="N586">
        <v>62.262999999999998</v>
      </c>
      <c r="O586">
        <v>8.3000000000000007</v>
      </c>
      <c r="P586" s="13">
        <v>1.8879999999999999</v>
      </c>
      <c r="Q586" t="s">
        <v>52</v>
      </c>
      <c r="R586">
        <v>70</v>
      </c>
      <c r="S586">
        <v>24</v>
      </c>
      <c r="T586">
        <v>550</v>
      </c>
      <c r="U586">
        <v>4</v>
      </c>
      <c r="V586" s="7">
        <v>1.1325394517406338</v>
      </c>
      <c r="W586">
        <v>105</v>
      </c>
      <c r="X586">
        <v>0.28000000000000003</v>
      </c>
      <c r="Y586">
        <v>9.6999999999999993</v>
      </c>
      <c r="Z586">
        <v>6.1</v>
      </c>
      <c r="AA586">
        <v>6</v>
      </c>
      <c r="AB586">
        <v>25</v>
      </c>
      <c r="AC586" s="20">
        <f>5/60</f>
        <v>8.3333333333333329E-2</v>
      </c>
      <c r="AD586">
        <f>0.01/0.025</f>
        <v>0.39999999999999997</v>
      </c>
      <c r="AE586">
        <v>150</v>
      </c>
      <c r="AF586" s="14">
        <v>0.2185</v>
      </c>
    </row>
    <row r="587" spans="1:32" x14ac:dyDescent="0.3">
      <c r="A587" t="s">
        <v>125</v>
      </c>
      <c r="B587" t="s">
        <v>44</v>
      </c>
      <c r="C587">
        <v>-0.25</v>
      </c>
      <c r="D587">
        <v>361.37</v>
      </c>
      <c r="E587">
        <v>1.65</v>
      </c>
      <c r="F587">
        <v>2.1</v>
      </c>
      <c r="G587">
        <v>0.7</v>
      </c>
      <c r="H587">
        <v>1.4</v>
      </c>
      <c r="I587" s="7">
        <v>2.5043000000000002</v>
      </c>
      <c r="J587" s="10">
        <v>76.2</v>
      </c>
      <c r="K587" t="s">
        <v>57</v>
      </c>
      <c r="L587" t="s">
        <v>46</v>
      </c>
      <c r="M587">
        <v>5</v>
      </c>
      <c r="N587">
        <v>62.262999999999998</v>
      </c>
      <c r="O587">
        <v>8.3000000000000007</v>
      </c>
      <c r="P587" s="13">
        <v>1.8879999999999999</v>
      </c>
      <c r="Q587" t="s">
        <v>52</v>
      </c>
      <c r="R587">
        <v>70</v>
      </c>
      <c r="S587">
        <v>24</v>
      </c>
      <c r="T587">
        <v>550</v>
      </c>
      <c r="U587">
        <v>4</v>
      </c>
      <c r="V587" s="7">
        <v>1.1325394517406338</v>
      </c>
      <c r="W587">
        <v>105</v>
      </c>
      <c r="X587">
        <v>0.28000000000000003</v>
      </c>
      <c r="Y587">
        <v>9.6999999999999993</v>
      </c>
      <c r="Z587">
        <v>6.1</v>
      </c>
      <c r="AA587">
        <v>6</v>
      </c>
      <c r="AB587">
        <v>25</v>
      </c>
      <c r="AC587" s="20">
        <f>92.5/60</f>
        <v>1.5416666666666667</v>
      </c>
      <c r="AD587">
        <f>0.05/0.025</f>
        <v>2</v>
      </c>
      <c r="AE587">
        <v>150</v>
      </c>
      <c r="AF587" s="14">
        <v>0.79479999999999995</v>
      </c>
    </row>
    <row r="588" spans="1:32" x14ac:dyDescent="0.3">
      <c r="A588" t="s">
        <v>125</v>
      </c>
      <c r="B588" t="s">
        <v>44</v>
      </c>
      <c r="C588">
        <v>-0.25</v>
      </c>
      <c r="D588">
        <v>361.37</v>
      </c>
      <c r="E588">
        <v>1.65</v>
      </c>
      <c r="F588">
        <v>2.1</v>
      </c>
      <c r="G588">
        <v>0.7</v>
      </c>
      <c r="H588">
        <v>1.4</v>
      </c>
      <c r="I588" s="7">
        <v>2.5043000000000002</v>
      </c>
      <c r="J588" s="10">
        <v>76.2</v>
      </c>
      <c r="K588" t="s">
        <v>57</v>
      </c>
      <c r="L588" t="s">
        <v>46</v>
      </c>
      <c r="M588">
        <v>5</v>
      </c>
      <c r="N588">
        <v>62.262999999999998</v>
      </c>
      <c r="O588">
        <v>8.3000000000000007</v>
      </c>
      <c r="P588" s="13">
        <v>1.8879999999999999</v>
      </c>
      <c r="Q588" t="s">
        <v>52</v>
      </c>
      <c r="R588">
        <v>70</v>
      </c>
      <c r="S588">
        <v>24</v>
      </c>
      <c r="T588">
        <v>550</v>
      </c>
      <c r="U588">
        <v>4</v>
      </c>
      <c r="V588" s="7">
        <v>1.1325394517406338</v>
      </c>
      <c r="W588">
        <v>105</v>
      </c>
      <c r="X588">
        <v>0.28000000000000003</v>
      </c>
      <c r="Y588">
        <v>9.6999999999999993</v>
      </c>
      <c r="Z588">
        <v>6.1</v>
      </c>
      <c r="AA588">
        <v>9</v>
      </c>
      <c r="AB588">
        <v>25</v>
      </c>
      <c r="AC588" s="20">
        <f>92.5/60</f>
        <v>1.5416666666666667</v>
      </c>
      <c r="AD588">
        <f>0.01/0.025</f>
        <v>0.39999999999999997</v>
      </c>
      <c r="AE588">
        <v>150</v>
      </c>
      <c r="AF588" s="14">
        <v>0.24740000000000001</v>
      </c>
    </row>
    <row r="589" spans="1:32" x14ac:dyDescent="0.3">
      <c r="A589" t="s">
        <v>125</v>
      </c>
      <c r="B589" t="s">
        <v>44</v>
      </c>
      <c r="C589">
        <v>-0.25</v>
      </c>
      <c r="D589">
        <v>361.37</v>
      </c>
      <c r="E589">
        <v>1.65</v>
      </c>
      <c r="F589">
        <v>2.1</v>
      </c>
      <c r="G589">
        <v>0.7</v>
      </c>
      <c r="H589">
        <v>1.4</v>
      </c>
      <c r="I589" s="7">
        <v>2.5043000000000002</v>
      </c>
      <c r="J589" s="10">
        <v>76.2</v>
      </c>
      <c r="K589" t="s">
        <v>57</v>
      </c>
      <c r="L589" t="s">
        <v>46</v>
      </c>
      <c r="M589">
        <v>5</v>
      </c>
      <c r="N589">
        <v>62.262999999999998</v>
      </c>
      <c r="O589">
        <v>8.3000000000000007</v>
      </c>
      <c r="P589" s="13">
        <v>1.8879999999999999</v>
      </c>
      <c r="Q589" t="s">
        <v>52</v>
      </c>
      <c r="R589">
        <v>70</v>
      </c>
      <c r="S589">
        <v>24</v>
      </c>
      <c r="T589">
        <v>550</v>
      </c>
      <c r="U589">
        <v>4</v>
      </c>
      <c r="V589" s="7">
        <v>1.1325394517406338</v>
      </c>
      <c r="W589">
        <v>105</v>
      </c>
      <c r="X589">
        <v>0.28000000000000003</v>
      </c>
      <c r="Y589">
        <v>9.6999999999999993</v>
      </c>
      <c r="Z589">
        <v>6.1</v>
      </c>
      <c r="AA589">
        <v>6</v>
      </c>
      <c r="AB589">
        <v>25</v>
      </c>
      <c r="AC589" s="20">
        <f>92.5/60</f>
        <v>1.5416666666666667</v>
      </c>
      <c r="AD589">
        <f>0.05/0.025</f>
        <v>2</v>
      </c>
      <c r="AE589">
        <v>150</v>
      </c>
      <c r="AF589" s="14">
        <v>0.77190000000000003</v>
      </c>
    </row>
    <row r="590" spans="1:32" x14ac:dyDescent="0.3">
      <c r="A590" t="s">
        <v>125</v>
      </c>
      <c r="B590" t="s">
        <v>44</v>
      </c>
      <c r="C590">
        <v>-0.25</v>
      </c>
      <c r="D590">
        <v>361.37</v>
      </c>
      <c r="E590">
        <v>1.65</v>
      </c>
      <c r="F590">
        <v>2.1</v>
      </c>
      <c r="G590">
        <v>0.7</v>
      </c>
      <c r="H590">
        <v>1.4</v>
      </c>
      <c r="I590" s="7">
        <v>2.5043000000000002</v>
      </c>
      <c r="J590" s="10">
        <v>76.2</v>
      </c>
      <c r="K590" t="s">
        <v>57</v>
      </c>
      <c r="L590" t="s">
        <v>46</v>
      </c>
      <c r="M590">
        <v>5</v>
      </c>
      <c r="N590">
        <v>62.262999999999998</v>
      </c>
      <c r="O590">
        <v>8.3000000000000007</v>
      </c>
      <c r="P590" s="13">
        <v>1.8879999999999999</v>
      </c>
      <c r="Q590" t="s">
        <v>52</v>
      </c>
      <c r="R590">
        <v>70</v>
      </c>
      <c r="S590">
        <v>24</v>
      </c>
      <c r="T590">
        <v>550</v>
      </c>
      <c r="U590">
        <v>4</v>
      </c>
      <c r="V590" s="7">
        <v>1.1325394517406338</v>
      </c>
      <c r="W590">
        <v>105</v>
      </c>
      <c r="X590">
        <v>0.28000000000000003</v>
      </c>
      <c r="Y590">
        <v>9.6999999999999993</v>
      </c>
      <c r="Z590">
        <v>6.1</v>
      </c>
      <c r="AA590">
        <v>6</v>
      </c>
      <c r="AB590">
        <v>25</v>
      </c>
      <c r="AC590" s="20">
        <f>92.5/60</f>
        <v>1.5416666666666667</v>
      </c>
      <c r="AD590">
        <f>0.05/0.025</f>
        <v>2</v>
      </c>
      <c r="AE590">
        <v>150</v>
      </c>
      <c r="AF590" s="14">
        <v>0.80279999999999996</v>
      </c>
    </row>
    <row r="591" spans="1:32" x14ac:dyDescent="0.3">
      <c r="A591" t="s">
        <v>125</v>
      </c>
      <c r="B591" t="s">
        <v>44</v>
      </c>
      <c r="C591">
        <v>-0.25</v>
      </c>
      <c r="D591">
        <v>361.37</v>
      </c>
      <c r="E591">
        <v>1.65</v>
      </c>
      <c r="F591">
        <v>2.1</v>
      </c>
      <c r="G591">
        <v>0.7</v>
      </c>
      <c r="H591">
        <v>1.4</v>
      </c>
      <c r="I591" s="7">
        <v>2.5043000000000002</v>
      </c>
      <c r="J591" s="10">
        <v>76.2</v>
      </c>
      <c r="K591" t="s">
        <v>57</v>
      </c>
      <c r="L591" t="s">
        <v>46</v>
      </c>
      <c r="M591">
        <v>5</v>
      </c>
      <c r="N591">
        <v>62.262999999999998</v>
      </c>
      <c r="O591">
        <v>8.3000000000000007</v>
      </c>
      <c r="P591" s="13">
        <v>1.8879999999999999</v>
      </c>
      <c r="Q591" t="s">
        <v>52</v>
      </c>
      <c r="R591">
        <v>70</v>
      </c>
      <c r="S591">
        <v>24</v>
      </c>
      <c r="T591">
        <v>550</v>
      </c>
      <c r="U591">
        <v>4</v>
      </c>
      <c r="V591" s="7">
        <v>1.1325394517406338</v>
      </c>
      <c r="W591">
        <v>105</v>
      </c>
      <c r="X591">
        <v>0.28000000000000003</v>
      </c>
      <c r="Y591">
        <v>9.6999999999999993</v>
      </c>
      <c r="Z591">
        <v>6.1</v>
      </c>
      <c r="AA591">
        <v>3</v>
      </c>
      <c r="AB591">
        <v>25</v>
      </c>
      <c r="AC591" s="20">
        <f>5/60</f>
        <v>8.3333333333333329E-2</v>
      </c>
      <c r="AD591">
        <f>0.05/0.025</f>
        <v>2</v>
      </c>
      <c r="AE591">
        <v>150</v>
      </c>
      <c r="AF591" s="14">
        <v>0.22789999999999999</v>
      </c>
    </row>
    <row r="592" spans="1:32" x14ac:dyDescent="0.3">
      <c r="A592" t="s">
        <v>125</v>
      </c>
      <c r="B592" t="s">
        <v>44</v>
      </c>
      <c r="C592">
        <v>-0.25</v>
      </c>
      <c r="D592">
        <v>361.37</v>
      </c>
      <c r="E592">
        <v>1.65</v>
      </c>
      <c r="F592">
        <v>2.1</v>
      </c>
      <c r="G592">
        <v>0.7</v>
      </c>
      <c r="H592">
        <v>1.4</v>
      </c>
      <c r="I592" s="7">
        <v>2.5043000000000002</v>
      </c>
      <c r="J592" s="10">
        <v>76.2</v>
      </c>
      <c r="K592" t="s">
        <v>57</v>
      </c>
      <c r="L592" t="s">
        <v>46</v>
      </c>
      <c r="M592">
        <v>5</v>
      </c>
      <c r="N592">
        <v>62.262999999999998</v>
      </c>
      <c r="O592">
        <v>8.3000000000000007</v>
      </c>
      <c r="P592" s="13">
        <v>1.8879999999999999</v>
      </c>
      <c r="Q592" t="s">
        <v>52</v>
      </c>
      <c r="R592">
        <v>70</v>
      </c>
      <c r="S592">
        <v>24</v>
      </c>
      <c r="T592">
        <v>550</v>
      </c>
      <c r="U592">
        <v>4</v>
      </c>
      <c r="V592" s="7">
        <v>1.1325394517406338</v>
      </c>
      <c r="W592">
        <v>105</v>
      </c>
      <c r="X592">
        <v>0.28000000000000003</v>
      </c>
      <c r="Y592">
        <v>9.6999999999999993</v>
      </c>
      <c r="Z592">
        <v>6.1</v>
      </c>
      <c r="AA592">
        <v>9</v>
      </c>
      <c r="AB592">
        <v>25</v>
      </c>
      <c r="AC592" s="20">
        <f>5/60</f>
        <v>8.3333333333333329E-2</v>
      </c>
      <c r="AD592">
        <f>0.05/0.025</f>
        <v>2</v>
      </c>
      <c r="AE592">
        <v>150</v>
      </c>
      <c r="AF592" s="14">
        <v>0.2797</v>
      </c>
    </row>
    <row r="593" spans="1:32" x14ac:dyDescent="0.3">
      <c r="A593" t="s">
        <v>125</v>
      </c>
      <c r="B593" t="s">
        <v>44</v>
      </c>
      <c r="C593">
        <v>-0.25</v>
      </c>
      <c r="D593">
        <v>361.37</v>
      </c>
      <c r="E593">
        <v>1.65</v>
      </c>
      <c r="F593">
        <v>2.1</v>
      </c>
      <c r="G593">
        <v>0.7</v>
      </c>
      <c r="H593">
        <v>1.4</v>
      </c>
      <c r="I593" s="7">
        <v>2.5043000000000002</v>
      </c>
      <c r="J593" s="10">
        <v>76.2</v>
      </c>
      <c r="K593" t="s">
        <v>57</v>
      </c>
      <c r="L593" t="s">
        <v>46</v>
      </c>
      <c r="M593">
        <v>5</v>
      </c>
      <c r="N593">
        <v>62.262999999999998</v>
      </c>
      <c r="O593">
        <v>8.3000000000000007</v>
      </c>
      <c r="P593" s="13">
        <v>1.8879999999999999</v>
      </c>
      <c r="Q593" t="s">
        <v>52</v>
      </c>
      <c r="R593">
        <v>70</v>
      </c>
      <c r="S593">
        <v>24</v>
      </c>
      <c r="T593">
        <v>550</v>
      </c>
      <c r="U593">
        <v>4</v>
      </c>
      <c r="V593" s="7">
        <v>1.1325394517406338</v>
      </c>
      <c r="W593">
        <v>105</v>
      </c>
      <c r="X593">
        <v>0.28000000000000003</v>
      </c>
      <c r="Y593">
        <v>9.6999999999999993</v>
      </c>
      <c r="Z593">
        <v>6.1</v>
      </c>
      <c r="AA593">
        <v>6</v>
      </c>
      <c r="AB593">
        <v>25</v>
      </c>
      <c r="AC593" s="17">
        <f>180/60</f>
        <v>3</v>
      </c>
      <c r="AD593">
        <f>0.01/0.025</f>
        <v>0.39999999999999997</v>
      </c>
      <c r="AE593">
        <v>150</v>
      </c>
      <c r="AF593" s="14">
        <v>0.68940000000000001</v>
      </c>
    </row>
    <row r="594" spans="1:32" x14ac:dyDescent="0.3">
      <c r="A594" t="s">
        <v>125</v>
      </c>
      <c r="B594" t="s">
        <v>44</v>
      </c>
      <c r="C594">
        <v>-0.25</v>
      </c>
      <c r="D594">
        <v>361.37</v>
      </c>
      <c r="E594">
        <v>1.65</v>
      </c>
      <c r="F594">
        <v>2.1</v>
      </c>
      <c r="G594">
        <v>0.7</v>
      </c>
      <c r="H594">
        <v>1.4</v>
      </c>
      <c r="I594" s="7">
        <v>2.5043000000000002</v>
      </c>
      <c r="J594" s="10">
        <v>76.2</v>
      </c>
      <c r="K594" t="s">
        <v>57</v>
      </c>
      <c r="L594" t="s">
        <v>46</v>
      </c>
      <c r="M594">
        <v>5</v>
      </c>
      <c r="N594">
        <v>62.262999999999998</v>
      </c>
      <c r="O594">
        <v>8.3000000000000007</v>
      </c>
      <c r="P594" s="13">
        <v>1.8879999999999999</v>
      </c>
      <c r="Q594" t="s">
        <v>52</v>
      </c>
      <c r="R594">
        <v>70</v>
      </c>
      <c r="S594">
        <v>24</v>
      </c>
      <c r="T594">
        <v>550</v>
      </c>
      <c r="U594">
        <v>4</v>
      </c>
      <c r="V594" s="7">
        <v>1.1325394517406338</v>
      </c>
      <c r="W594">
        <v>105</v>
      </c>
      <c r="X594">
        <v>0.28000000000000003</v>
      </c>
      <c r="Y594">
        <v>9.6999999999999993</v>
      </c>
      <c r="Z594">
        <v>6.1</v>
      </c>
      <c r="AA594">
        <v>6</v>
      </c>
      <c r="AB594">
        <v>25</v>
      </c>
      <c r="AC594" s="20">
        <f>92.5/60</f>
        <v>1.5416666666666667</v>
      </c>
      <c r="AD594">
        <f>0.05/0.025</f>
        <v>2</v>
      </c>
      <c r="AE594">
        <v>150</v>
      </c>
      <c r="AF594" s="14">
        <v>0.80179999999999996</v>
      </c>
    </row>
    <row r="595" spans="1:32" x14ac:dyDescent="0.3">
      <c r="A595" t="s">
        <v>125</v>
      </c>
      <c r="B595" t="s">
        <v>44</v>
      </c>
      <c r="C595">
        <v>-0.25</v>
      </c>
      <c r="D595">
        <v>361.37</v>
      </c>
      <c r="E595">
        <v>1.65</v>
      </c>
      <c r="F595">
        <v>2.1</v>
      </c>
      <c r="G595">
        <v>0.7</v>
      </c>
      <c r="H595">
        <v>1.4</v>
      </c>
      <c r="I595" s="7">
        <v>2.5043000000000002</v>
      </c>
      <c r="J595" s="10">
        <v>76.2</v>
      </c>
      <c r="K595" t="s">
        <v>57</v>
      </c>
      <c r="L595" t="s">
        <v>46</v>
      </c>
      <c r="M595">
        <v>5</v>
      </c>
      <c r="N595">
        <v>62.262999999999998</v>
      </c>
      <c r="O595">
        <v>8.3000000000000007</v>
      </c>
      <c r="P595" s="13">
        <v>1.8879999999999999</v>
      </c>
      <c r="Q595" t="s">
        <v>52</v>
      </c>
      <c r="R595">
        <v>70</v>
      </c>
      <c r="S595">
        <v>24</v>
      </c>
      <c r="T595">
        <v>550</v>
      </c>
      <c r="U595">
        <v>4</v>
      </c>
      <c r="V595" s="7">
        <v>1.1325394517406338</v>
      </c>
      <c r="W595">
        <v>105</v>
      </c>
      <c r="X595">
        <v>0.28000000000000003</v>
      </c>
      <c r="Y595">
        <v>9.6999999999999993</v>
      </c>
      <c r="Z595">
        <v>6.1</v>
      </c>
      <c r="AA595">
        <v>9</v>
      </c>
      <c r="AB595">
        <v>25</v>
      </c>
      <c r="AC595" s="17">
        <f>180/60</f>
        <v>3</v>
      </c>
      <c r="AD595">
        <f t="shared" ref="AD595:AD601" si="5">0.05/0.025</f>
        <v>2</v>
      </c>
      <c r="AE595">
        <v>150</v>
      </c>
      <c r="AF595" s="14">
        <v>0.4919</v>
      </c>
    </row>
    <row r="596" spans="1:32" x14ac:dyDescent="0.3">
      <c r="A596" t="s">
        <v>125</v>
      </c>
      <c r="B596" t="s">
        <v>44</v>
      </c>
      <c r="C596">
        <v>-0.25</v>
      </c>
      <c r="D596">
        <v>361.37</v>
      </c>
      <c r="E596">
        <v>1.65</v>
      </c>
      <c r="F596">
        <v>2.1</v>
      </c>
      <c r="G596">
        <v>0.7</v>
      </c>
      <c r="H596">
        <v>1.4</v>
      </c>
      <c r="I596" s="7">
        <v>2.5043000000000002</v>
      </c>
      <c r="J596" s="10">
        <v>76.2</v>
      </c>
      <c r="K596" t="s">
        <v>57</v>
      </c>
      <c r="L596" t="s">
        <v>46</v>
      </c>
      <c r="M596">
        <v>5</v>
      </c>
      <c r="N596">
        <v>62.262999999999998</v>
      </c>
      <c r="O596">
        <v>8.3000000000000007</v>
      </c>
      <c r="P596" s="13">
        <v>1.8879999999999999</v>
      </c>
      <c r="Q596" t="s">
        <v>52</v>
      </c>
      <c r="R596">
        <v>70</v>
      </c>
      <c r="S596">
        <v>24</v>
      </c>
      <c r="T596">
        <v>550</v>
      </c>
      <c r="U596">
        <v>4</v>
      </c>
      <c r="V596" s="7">
        <v>1.1325394517406338</v>
      </c>
      <c r="W596">
        <v>105</v>
      </c>
      <c r="X596">
        <v>0.28000000000000003</v>
      </c>
      <c r="Y596">
        <v>9.6999999999999993</v>
      </c>
      <c r="Z596">
        <v>6.1</v>
      </c>
      <c r="AA596">
        <v>3</v>
      </c>
      <c r="AB596">
        <v>25</v>
      </c>
      <c r="AC596" s="20">
        <f>92.5/60</f>
        <v>1.5416666666666667</v>
      </c>
      <c r="AD596">
        <f>0.01/0.025</f>
        <v>0.39999999999999997</v>
      </c>
      <c r="AE596">
        <v>150</v>
      </c>
      <c r="AF596" s="14">
        <v>0.1928</v>
      </c>
    </row>
    <row r="597" spans="1:32" x14ac:dyDescent="0.3">
      <c r="A597" t="s">
        <v>125</v>
      </c>
      <c r="B597" t="s">
        <v>44</v>
      </c>
      <c r="C597">
        <v>-0.25</v>
      </c>
      <c r="D597">
        <v>361.37</v>
      </c>
      <c r="E597">
        <v>1.65</v>
      </c>
      <c r="F597">
        <v>2.1</v>
      </c>
      <c r="G597">
        <v>0.7</v>
      </c>
      <c r="H597">
        <v>1.4</v>
      </c>
      <c r="I597" s="7">
        <v>2.5043000000000002</v>
      </c>
      <c r="J597" s="10">
        <v>76.2</v>
      </c>
      <c r="K597" t="s">
        <v>57</v>
      </c>
      <c r="L597" t="s">
        <v>46</v>
      </c>
      <c r="M597">
        <v>5</v>
      </c>
      <c r="N597">
        <v>62.262999999999998</v>
      </c>
      <c r="O597">
        <v>8.3000000000000007</v>
      </c>
      <c r="P597" s="13">
        <v>1.8879999999999999</v>
      </c>
      <c r="Q597" t="s">
        <v>52</v>
      </c>
      <c r="R597">
        <v>70</v>
      </c>
      <c r="S597">
        <v>24</v>
      </c>
      <c r="T597">
        <v>550</v>
      </c>
      <c r="U597">
        <v>4</v>
      </c>
      <c r="V597" s="7">
        <v>1.1325394517406338</v>
      </c>
      <c r="W597">
        <v>105</v>
      </c>
      <c r="X597">
        <v>0.28000000000000003</v>
      </c>
      <c r="Y597">
        <v>9.6999999999999993</v>
      </c>
      <c r="Z597">
        <v>6.1</v>
      </c>
      <c r="AA597">
        <v>6</v>
      </c>
      <c r="AB597">
        <v>25</v>
      </c>
      <c r="AC597" s="17">
        <f>180/60</f>
        <v>3</v>
      </c>
      <c r="AD597">
        <f>0.09/0.025</f>
        <v>3.5999999999999996</v>
      </c>
      <c r="AE597">
        <v>150</v>
      </c>
      <c r="AF597" s="14">
        <v>0.87150000000000005</v>
      </c>
    </row>
    <row r="598" spans="1:32" x14ac:dyDescent="0.3">
      <c r="A598" t="s">
        <v>125</v>
      </c>
      <c r="B598" t="s">
        <v>44</v>
      </c>
      <c r="C598">
        <v>-0.25</v>
      </c>
      <c r="D598">
        <v>361.37</v>
      </c>
      <c r="E598">
        <v>1.65</v>
      </c>
      <c r="F598">
        <v>2.1</v>
      </c>
      <c r="G598">
        <v>0.7</v>
      </c>
      <c r="H598">
        <v>1.4</v>
      </c>
      <c r="I598" s="7">
        <v>2.5043000000000002</v>
      </c>
      <c r="J598" s="10">
        <v>76.2</v>
      </c>
      <c r="K598" t="s">
        <v>57</v>
      </c>
      <c r="L598" t="s">
        <v>46</v>
      </c>
      <c r="M598">
        <v>5</v>
      </c>
      <c r="N598">
        <v>62.262999999999998</v>
      </c>
      <c r="O598">
        <v>8.3000000000000007</v>
      </c>
      <c r="P598" s="13">
        <v>1.8879999999999999</v>
      </c>
      <c r="Q598" t="s">
        <v>52</v>
      </c>
      <c r="R598">
        <v>70</v>
      </c>
      <c r="S598">
        <v>24</v>
      </c>
      <c r="T598">
        <v>550</v>
      </c>
      <c r="U598">
        <v>4</v>
      </c>
      <c r="V598" s="7">
        <v>1.1325394517406338</v>
      </c>
      <c r="W598">
        <v>105</v>
      </c>
      <c r="X598">
        <v>0.28000000000000003</v>
      </c>
      <c r="Y598">
        <v>9.6999999999999993</v>
      </c>
      <c r="Z598">
        <v>6.1</v>
      </c>
      <c r="AA598">
        <v>6</v>
      </c>
      <c r="AB598">
        <v>25</v>
      </c>
      <c r="AC598" s="20">
        <f>5/60</f>
        <v>8.3333333333333329E-2</v>
      </c>
      <c r="AD598">
        <f>0.09/0.025</f>
        <v>3.5999999999999996</v>
      </c>
      <c r="AE598">
        <v>150</v>
      </c>
      <c r="AF598" s="14">
        <v>0.56179999999999997</v>
      </c>
    </row>
    <row r="599" spans="1:32" x14ac:dyDescent="0.3">
      <c r="A599" t="s">
        <v>125</v>
      </c>
      <c r="B599" t="s">
        <v>44</v>
      </c>
      <c r="C599">
        <v>-0.25</v>
      </c>
      <c r="D599">
        <v>361.37</v>
      </c>
      <c r="E599">
        <v>1.65</v>
      </c>
      <c r="F599">
        <v>2.1</v>
      </c>
      <c r="G599">
        <v>0.7</v>
      </c>
      <c r="H599">
        <v>1.4</v>
      </c>
      <c r="I599" s="7">
        <v>2.5043000000000002</v>
      </c>
      <c r="J599" s="10">
        <v>76.2</v>
      </c>
      <c r="K599" t="s">
        <v>57</v>
      </c>
      <c r="L599" t="s">
        <v>46</v>
      </c>
      <c r="M599">
        <v>5</v>
      </c>
      <c r="N599">
        <v>62.262999999999998</v>
      </c>
      <c r="O599">
        <v>8.3000000000000007</v>
      </c>
      <c r="P599" s="13">
        <v>1.8879999999999999</v>
      </c>
      <c r="Q599" t="s">
        <v>52</v>
      </c>
      <c r="R599">
        <v>70</v>
      </c>
      <c r="S599">
        <v>24</v>
      </c>
      <c r="T599">
        <v>550</v>
      </c>
      <c r="U599">
        <v>4</v>
      </c>
      <c r="V599" s="7">
        <v>1.1325394517406338</v>
      </c>
      <c r="W599">
        <v>105</v>
      </c>
      <c r="X599">
        <v>0.28000000000000003</v>
      </c>
      <c r="Y599">
        <v>9.6999999999999993</v>
      </c>
      <c r="Z599">
        <v>6.1</v>
      </c>
      <c r="AA599">
        <v>3</v>
      </c>
      <c r="AB599">
        <v>25</v>
      </c>
      <c r="AC599" s="20">
        <f>92.5/60</f>
        <v>1.5416666666666667</v>
      </c>
      <c r="AD599">
        <f>0.09/0.025</f>
        <v>3.5999999999999996</v>
      </c>
      <c r="AE599">
        <v>150</v>
      </c>
      <c r="AF599" s="14">
        <v>0.40920000000000001</v>
      </c>
    </row>
    <row r="600" spans="1:32" x14ac:dyDescent="0.3">
      <c r="A600" t="s">
        <v>125</v>
      </c>
      <c r="B600" t="s">
        <v>44</v>
      </c>
      <c r="C600">
        <v>-0.25</v>
      </c>
      <c r="D600">
        <v>361.37</v>
      </c>
      <c r="E600">
        <v>1.65</v>
      </c>
      <c r="F600">
        <v>2.1</v>
      </c>
      <c r="G600">
        <v>0.7</v>
      </c>
      <c r="H600">
        <v>1.4</v>
      </c>
      <c r="I600" s="7">
        <v>2.5043000000000002</v>
      </c>
      <c r="J600" s="10">
        <v>76.2</v>
      </c>
      <c r="K600" t="s">
        <v>57</v>
      </c>
      <c r="L600" t="s">
        <v>46</v>
      </c>
      <c r="M600">
        <v>5</v>
      </c>
      <c r="N600">
        <v>62.262999999999998</v>
      </c>
      <c r="O600">
        <v>8.3000000000000007</v>
      </c>
      <c r="P600" s="13">
        <v>1.8879999999999999</v>
      </c>
      <c r="Q600" t="s">
        <v>52</v>
      </c>
      <c r="R600">
        <v>70</v>
      </c>
      <c r="S600">
        <v>24</v>
      </c>
      <c r="T600">
        <v>550</v>
      </c>
      <c r="U600">
        <v>4</v>
      </c>
      <c r="V600" s="7">
        <v>1.1325394517406338</v>
      </c>
      <c r="W600">
        <v>105</v>
      </c>
      <c r="X600">
        <v>0.28000000000000003</v>
      </c>
      <c r="Y600">
        <v>9.6999999999999993</v>
      </c>
      <c r="Z600">
        <v>6.1</v>
      </c>
      <c r="AA600">
        <v>9</v>
      </c>
      <c r="AB600">
        <v>25</v>
      </c>
      <c r="AC600" s="20">
        <f>92.5/60</f>
        <v>1.5416666666666667</v>
      </c>
      <c r="AD600">
        <f>0.09/0.025</f>
        <v>3.5999999999999996</v>
      </c>
      <c r="AE600">
        <v>150</v>
      </c>
      <c r="AF600" s="14">
        <v>0.44180000000000003</v>
      </c>
    </row>
    <row r="601" spans="1:32" x14ac:dyDescent="0.3">
      <c r="A601" t="s">
        <v>125</v>
      </c>
      <c r="B601" t="s">
        <v>44</v>
      </c>
      <c r="C601">
        <v>-0.25</v>
      </c>
      <c r="D601">
        <v>361.37</v>
      </c>
      <c r="E601">
        <v>1.65</v>
      </c>
      <c r="F601">
        <v>2.1</v>
      </c>
      <c r="G601">
        <v>0.7</v>
      </c>
      <c r="H601">
        <v>1.4</v>
      </c>
      <c r="I601" s="7">
        <v>2.5043000000000002</v>
      </c>
      <c r="J601" s="10">
        <v>76.2</v>
      </c>
      <c r="K601" t="s">
        <v>57</v>
      </c>
      <c r="L601" t="s">
        <v>46</v>
      </c>
      <c r="M601">
        <v>5</v>
      </c>
      <c r="N601">
        <v>62.262999999999998</v>
      </c>
      <c r="O601">
        <v>8.3000000000000007</v>
      </c>
      <c r="P601" s="13">
        <v>1.8879999999999999</v>
      </c>
      <c r="Q601" t="s">
        <v>52</v>
      </c>
      <c r="R601">
        <v>70</v>
      </c>
      <c r="S601">
        <v>24</v>
      </c>
      <c r="T601">
        <v>550</v>
      </c>
      <c r="U601">
        <v>4</v>
      </c>
      <c r="V601" s="7">
        <v>1.1325394517406338</v>
      </c>
      <c r="W601">
        <v>105</v>
      </c>
      <c r="X601">
        <v>0.28000000000000003</v>
      </c>
      <c r="Y601">
        <v>9.6999999999999993</v>
      </c>
      <c r="Z601">
        <v>6.1</v>
      </c>
      <c r="AA601">
        <v>3</v>
      </c>
      <c r="AB601">
        <v>25</v>
      </c>
      <c r="AC601" s="17">
        <f>180/60</f>
        <v>3</v>
      </c>
      <c r="AD601">
        <f t="shared" si="5"/>
        <v>2</v>
      </c>
      <c r="AE601">
        <v>150</v>
      </c>
      <c r="AF601" s="14">
        <v>0.47920000000000001</v>
      </c>
    </row>
    <row r="602" spans="1:32" x14ac:dyDescent="0.3">
      <c r="A602" t="s">
        <v>125</v>
      </c>
      <c r="B602" t="s">
        <v>44</v>
      </c>
      <c r="C602">
        <v>-0.25</v>
      </c>
      <c r="D602">
        <v>361.37</v>
      </c>
      <c r="E602">
        <v>1.65</v>
      </c>
      <c r="F602">
        <v>2.1</v>
      </c>
      <c r="G602">
        <v>0.7</v>
      </c>
      <c r="H602">
        <v>1.4</v>
      </c>
      <c r="I602" s="7">
        <v>2.5043000000000002</v>
      </c>
      <c r="J602" s="10">
        <v>76.2</v>
      </c>
      <c r="K602" t="s">
        <v>57</v>
      </c>
      <c r="L602" t="s">
        <v>46</v>
      </c>
      <c r="M602">
        <v>5</v>
      </c>
      <c r="N602">
        <v>62.262999999999998</v>
      </c>
      <c r="O602">
        <v>8.3000000000000007</v>
      </c>
      <c r="P602" s="13">
        <v>1.8879999999999999</v>
      </c>
      <c r="Q602" t="s">
        <v>52</v>
      </c>
      <c r="R602">
        <v>70</v>
      </c>
      <c r="S602">
        <v>24</v>
      </c>
      <c r="T602">
        <v>550</v>
      </c>
      <c r="U602">
        <v>4</v>
      </c>
      <c r="V602" s="7">
        <v>1.1325394517406338</v>
      </c>
      <c r="W602">
        <v>105</v>
      </c>
      <c r="X602">
        <v>0.28000000000000003</v>
      </c>
      <c r="Y602">
        <v>9.6999999999999993</v>
      </c>
      <c r="Z602">
        <v>6.1</v>
      </c>
      <c r="AA602">
        <v>6</v>
      </c>
      <c r="AB602">
        <v>25</v>
      </c>
      <c r="AC602" s="13">
        <v>8.3333333333333329E-2</v>
      </c>
      <c r="AD602">
        <v>1</v>
      </c>
      <c r="AE602">
        <v>150</v>
      </c>
      <c r="AF602" s="11">
        <v>1.466666666666659E-2</v>
      </c>
    </row>
    <row r="603" spans="1:32" x14ac:dyDescent="0.3">
      <c r="A603" t="s">
        <v>125</v>
      </c>
      <c r="B603" t="s">
        <v>44</v>
      </c>
      <c r="C603">
        <v>-0.25</v>
      </c>
      <c r="D603">
        <v>361.37</v>
      </c>
      <c r="E603">
        <v>1.65</v>
      </c>
      <c r="F603">
        <v>2.1</v>
      </c>
      <c r="G603">
        <v>0.7</v>
      </c>
      <c r="H603">
        <v>1.4</v>
      </c>
      <c r="I603" s="7">
        <v>2.5043000000000002</v>
      </c>
      <c r="J603" s="10">
        <v>76.2</v>
      </c>
      <c r="K603" t="s">
        <v>57</v>
      </c>
      <c r="L603" t="s">
        <v>46</v>
      </c>
      <c r="M603">
        <v>5</v>
      </c>
      <c r="N603">
        <v>62.262999999999998</v>
      </c>
      <c r="O603">
        <v>8.3000000000000007</v>
      </c>
      <c r="P603" s="13">
        <v>1.8879999999999999</v>
      </c>
      <c r="Q603" t="s">
        <v>52</v>
      </c>
      <c r="R603">
        <v>70</v>
      </c>
      <c r="S603">
        <v>24</v>
      </c>
      <c r="T603">
        <v>550</v>
      </c>
      <c r="U603">
        <v>4</v>
      </c>
      <c r="V603" s="7">
        <v>1.1325394517406338</v>
      </c>
      <c r="W603">
        <v>105</v>
      </c>
      <c r="X603">
        <v>0.28000000000000003</v>
      </c>
      <c r="Y603">
        <v>9.6999999999999993</v>
      </c>
      <c r="Z603">
        <v>6.1</v>
      </c>
      <c r="AA603">
        <v>6</v>
      </c>
      <c r="AB603">
        <v>25</v>
      </c>
      <c r="AC603" s="13">
        <v>0.16666666666666666</v>
      </c>
      <c r="AD603">
        <v>1</v>
      </c>
      <c r="AE603">
        <v>150</v>
      </c>
      <c r="AF603" s="11">
        <v>1.6666666666666666E-2</v>
      </c>
    </row>
    <row r="604" spans="1:32" x14ac:dyDescent="0.3">
      <c r="A604" t="s">
        <v>125</v>
      </c>
      <c r="B604" t="s">
        <v>44</v>
      </c>
      <c r="C604">
        <v>-0.25</v>
      </c>
      <c r="D604">
        <v>361.37</v>
      </c>
      <c r="E604">
        <v>1.65</v>
      </c>
      <c r="F604">
        <v>2.1</v>
      </c>
      <c r="G604">
        <v>0.7</v>
      </c>
      <c r="H604">
        <v>1.4</v>
      </c>
      <c r="I604" s="7">
        <v>2.5043000000000002</v>
      </c>
      <c r="J604" s="10">
        <v>76.2</v>
      </c>
      <c r="K604" t="s">
        <v>57</v>
      </c>
      <c r="L604" t="s">
        <v>46</v>
      </c>
      <c r="M604">
        <v>5</v>
      </c>
      <c r="N604">
        <v>62.262999999999998</v>
      </c>
      <c r="O604">
        <v>8.3000000000000007</v>
      </c>
      <c r="P604" s="13">
        <v>1.8879999999999999</v>
      </c>
      <c r="Q604" t="s">
        <v>52</v>
      </c>
      <c r="R604">
        <v>70</v>
      </c>
      <c r="S604">
        <v>24</v>
      </c>
      <c r="T604">
        <v>550</v>
      </c>
      <c r="U604">
        <v>4</v>
      </c>
      <c r="V604" s="7">
        <v>1.1325394517406338</v>
      </c>
      <c r="W604">
        <v>105</v>
      </c>
      <c r="X604">
        <v>0.28000000000000003</v>
      </c>
      <c r="Y604">
        <v>9.6999999999999993</v>
      </c>
      <c r="Z604">
        <v>6.1</v>
      </c>
      <c r="AA604">
        <v>6</v>
      </c>
      <c r="AB604">
        <v>25</v>
      </c>
      <c r="AC604" s="13">
        <v>0.25</v>
      </c>
      <c r="AD604">
        <v>1</v>
      </c>
      <c r="AE604">
        <v>150</v>
      </c>
      <c r="AF604" s="11">
        <v>2.0666666666666628E-2</v>
      </c>
    </row>
    <row r="605" spans="1:32" x14ac:dyDescent="0.3">
      <c r="A605" t="s">
        <v>125</v>
      </c>
      <c r="B605" t="s">
        <v>44</v>
      </c>
      <c r="C605">
        <v>-0.25</v>
      </c>
      <c r="D605">
        <v>361.37</v>
      </c>
      <c r="E605">
        <v>1.65</v>
      </c>
      <c r="F605">
        <v>2.1</v>
      </c>
      <c r="G605">
        <v>0.7</v>
      </c>
      <c r="H605">
        <v>1.4</v>
      </c>
      <c r="I605" s="7">
        <v>2.5043000000000002</v>
      </c>
      <c r="J605" s="10">
        <v>76.2</v>
      </c>
      <c r="K605" t="s">
        <v>57</v>
      </c>
      <c r="L605" t="s">
        <v>46</v>
      </c>
      <c r="M605">
        <v>5</v>
      </c>
      <c r="N605">
        <v>62.262999999999998</v>
      </c>
      <c r="O605">
        <v>8.3000000000000007</v>
      </c>
      <c r="P605" s="13">
        <v>1.8879999999999999</v>
      </c>
      <c r="Q605" t="s">
        <v>52</v>
      </c>
      <c r="R605">
        <v>70</v>
      </c>
      <c r="S605">
        <v>24</v>
      </c>
      <c r="T605">
        <v>550</v>
      </c>
      <c r="U605">
        <v>4</v>
      </c>
      <c r="V605" s="7">
        <v>1.1325394517406338</v>
      </c>
      <c r="W605">
        <v>105</v>
      </c>
      <c r="X605">
        <v>0.28000000000000003</v>
      </c>
      <c r="Y605">
        <v>9.6999999999999993</v>
      </c>
      <c r="Z605">
        <v>6.1</v>
      </c>
      <c r="AA605">
        <v>6</v>
      </c>
      <c r="AB605">
        <v>25</v>
      </c>
      <c r="AC605" s="13">
        <v>0.33333333333333331</v>
      </c>
      <c r="AD605">
        <v>1</v>
      </c>
      <c r="AE605">
        <v>150</v>
      </c>
      <c r="AF605" s="11">
        <v>2.7333333333333296E-2</v>
      </c>
    </row>
    <row r="606" spans="1:32" x14ac:dyDescent="0.3">
      <c r="A606" t="s">
        <v>125</v>
      </c>
      <c r="B606" t="s">
        <v>44</v>
      </c>
      <c r="C606">
        <v>-0.25</v>
      </c>
      <c r="D606">
        <v>361.37</v>
      </c>
      <c r="E606">
        <v>1.65</v>
      </c>
      <c r="F606">
        <v>2.1</v>
      </c>
      <c r="G606">
        <v>0.7</v>
      </c>
      <c r="H606">
        <v>1.4</v>
      </c>
      <c r="I606" s="7">
        <v>2.5043000000000002</v>
      </c>
      <c r="J606" s="10">
        <v>76.2</v>
      </c>
      <c r="K606" t="s">
        <v>57</v>
      </c>
      <c r="L606" t="s">
        <v>46</v>
      </c>
      <c r="M606">
        <v>5</v>
      </c>
      <c r="N606">
        <v>62.262999999999998</v>
      </c>
      <c r="O606">
        <v>8.3000000000000007</v>
      </c>
      <c r="P606" s="13">
        <v>1.8879999999999999</v>
      </c>
      <c r="Q606" t="s">
        <v>52</v>
      </c>
      <c r="R606">
        <v>70</v>
      </c>
      <c r="S606">
        <v>24</v>
      </c>
      <c r="T606">
        <v>550</v>
      </c>
      <c r="U606">
        <v>4</v>
      </c>
      <c r="V606" s="7">
        <v>1.1325394517406338</v>
      </c>
      <c r="W606">
        <v>105</v>
      </c>
      <c r="X606">
        <v>0.28000000000000003</v>
      </c>
      <c r="Y606">
        <v>9.6999999999999993</v>
      </c>
      <c r="Z606">
        <v>6.1</v>
      </c>
      <c r="AA606">
        <v>6</v>
      </c>
      <c r="AB606">
        <v>25</v>
      </c>
      <c r="AC606" s="13">
        <v>0.5</v>
      </c>
      <c r="AD606">
        <v>1</v>
      </c>
      <c r="AE606">
        <v>150</v>
      </c>
      <c r="AF606" s="11">
        <v>2.7333333333333296E-2</v>
      </c>
    </row>
    <row r="607" spans="1:32" x14ac:dyDescent="0.3">
      <c r="A607" t="s">
        <v>125</v>
      </c>
      <c r="B607" t="s">
        <v>44</v>
      </c>
      <c r="C607">
        <v>-0.25</v>
      </c>
      <c r="D607">
        <v>361.37</v>
      </c>
      <c r="E607">
        <v>1.65</v>
      </c>
      <c r="F607">
        <v>2.1</v>
      </c>
      <c r="G607">
        <v>0.7</v>
      </c>
      <c r="H607">
        <v>1.4</v>
      </c>
      <c r="I607" s="7">
        <v>2.5043000000000002</v>
      </c>
      <c r="J607" s="10">
        <v>76.2</v>
      </c>
      <c r="K607" t="s">
        <v>57</v>
      </c>
      <c r="L607" t="s">
        <v>46</v>
      </c>
      <c r="M607">
        <v>5</v>
      </c>
      <c r="N607">
        <v>62.262999999999998</v>
      </c>
      <c r="O607">
        <v>8.3000000000000007</v>
      </c>
      <c r="P607" s="13">
        <v>1.8879999999999999</v>
      </c>
      <c r="Q607" t="s">
        <v>52</v>
      </c>
      <c r="R607">
        <v>70</v>
      </c>
      <c r="S607">
        <v>24</v>
      </c>
      <c r="T607">
        <v>550</v>
      </c>
      <c r="U607">
        <v>4</v>
      </c>
      <c r="V607" s="7">
        <v>1.1325394517406338</v>
      </c>
      <c r="W607">
        <v>105</v>
      </c>
      <c r="X607">
        <v>0.28000000000000003</v>
      </c>
      <c r="Y607">
        <v>9.6999999999999993</v>
      </c>
      <c r="Z607">
        <v>6.1</v>
      </c>
      <c r="AA607">
        <v>6</v>
      </c>
      <c r="AB607">
        <v>25</v>
      </c>
      <c r="AC607" s="10">
        <v>1</v>
      </c>
      <c r="AD607">
        <v>1</v>
      </c>
      <c r="AE607">
        <v>150</v>
      </c>
      <c r="AF607" s="11">
        <v>2.7333333333333296E-2</v>
      </c>
    </row>
    <row r="608" spans="1:32" x14ac:dyDescent="0.3">
      <c r="A608" t="s">
        <v>125</v>
      </c>
      <c r="B608" t="s">
        <v>44</v>
      </c>
      <c r="C608">
        <v>-0.25</v>
      </c>
      <c r="D608">
        <v>361.37</v>
      </c>
      <c r="E608">
        <v>1.65</v>
      </c>
      <c r="F608">
        <v>2.1</v>
      </c>
      <c r="G608">
        <v>0.7</v>
      </c>
      <c r="H608">
        <v>1.4</v>
      </c>
      <c r="I608" s="7">
        <v>2.5043000000000002</v>
      </c>
      <c r="J608" s="10">
        <v>76.2</v>
      </c>
      <c r="K608" t="s">
        <v>57</v>
      </c>
      <c r="L608" t="s">
        <v>46</v>
      </c>
      <c r="M608">
        <v>5</v>
      </c>
      <c r="N608">
        <v>62.262999999999998</v>
      </c>
      <c r="O608">
        <v>8.3000000000000007</v>
      </c>
      <c r="P608" s="13">
        <v>1.8879999999999999</v>
      </c>
      <c r="Q608" t="s">
        <v>52</v>
      </c>
      <c r="R608">
        <v>70</v>
      </c>
      <c r="S608">
        <v>24</v>
      </c>
      <c r="T608">
        <v>550</v>
      </c>
      <c r="U608">
        <v>4</v>
      </c>
      <c r="V608" s="7">
        <v>1.1325394517406338</v>
      </c>
      <c r="W608">
        <v>105</v>
      </c>
      <c r="X608">
        <v>0.28000000000000003</v>
      </c>
      <c r="Y608">
        <v>9.6999999999999993</v>
      </c>
      <c r="Z608">
        <v>6.1</v>
      </c>
      <c r="AA608">
        <v>6</v>
      </c>
      <c r="AB608">
        <v>25</v>
      </c>
      <c r="AC608" s="10">
        <v>1.5</v>
      </c>
      <c r="AD608">
        <v>1</v>
      </c>
      <c r="AE608">
        <v>150</v>
      </c>
      <c r="AF608" s="11">
        <v>2.7999999999999924E-2</v>
      </c>
    </row>
    <row r="609" spans="1:32" x14ac:dyDescent="0.3">
      <c r="A609" t="s">
        <v>125</v>
      </c>
      <c r="B609" t="s">
        <v>44</v>
      </c>
      <c r="C609">
        <v>-0.25</v>
      </c>
      <c r="D609">
        <v>361.37</v>
      </c>
      <c r="E609">
        <v>1.65</v>
      </c>
      <c r="F609">
        <v>2.1</v>
      </c>
      <c r="G609">
        <v>0.7</v>
      </c>
      <c r="H609">
        <v>1.4</v>
      </c>
      <c r="I609" s="7">
        <v>2.5043000000000002</v>
      </c>
      <c r="J609" s="10">
        <v>76.2</v>
      </c>
      <c r="K609" t="s">
        <v>57</v>
      </c>
      <c r="L609" t="s">
        <v>46</v>
      </c>
      <c r="M609">
        <v>5</v>
      </c>
      <c r="N609">
        <v>62.262999999999998</v>
      </c>
      <c r="O609">
        <v>8.3000000000000007</v>
      </c>
      <c r="P609" s="13">
        <v>1.8879999999999999</v>
      </c>
      <c r="Q609" t="s">
        <v>52</v>
      </c>
      <c r="R609">
        <v>70</v>
      </c>
      <c r="S609">
        <v>24</v>
      </c>
      <c r="T609">
        <v>550</v>
      </c>
      <c r="U609">
        <v>4</v>
      </c>
      <c r="V609" s="7">
        <v>1.1325394517406338</v>
      </c>
      <c r="W609">
        <v>105</v>
      </c>
      <c r="X609">
        <v>0.28000000000000003</v>
      </c>
      <c r="Y609">
        <v>9.6999999999999993</v>
      </c>
      <c r="Z609">
        <v>6.1</v>
      </c>
      <c r="AA609">
        <v>6</v>
      </c>
      <c r="AB609">
        <v>25</v>
      </c>
      <c r="AC609" s="10">
        <v>2</v>
      </c>
      <c r="AD609">
        <v>1</v>
      </c>
      <c r="AE609">
        <v>150</v>
      </c>
      <c r="AF609" s="11">
        <v>2.7333333333333296E-2</v>
      </c>
    </row>
    <row r="610" spans="1:32" x14ac:dyDescent="0.3">
      <c r="A610" t="s">
        <v>126</v>
      </c>
      <c r="B610" t="s">
        <v>15</v>
      </c>
      <c r="C610">
        <v>0.28000000000000003</v>
      </c>
      <c r="D610">
        <v>331.34</v>
      </c>
      <c r="E610">
        <v>2.2000000000000002</v>
      </c>
      <c r="F610">
        <v>2.34</v>
      </c>
      <c r="G610">
        <v>0.7</v>
      </c>
      <c r="H610">
        <v>2.52</v>
      </c>
      <c r="I610">
        <v>2.3047</v>
      </c>
      <c r="J610">
        <v>72.900000000000006</v>
      </c>
      <c r="K610" t="s">
        <v>55</v>
      </c>
      <c r="L610" t="s">
        <v>51</v>
      </c>
      <c r="M610">
        <v>3</v>
      </c>
      <c r="N610">
        <v>27.222000000000001</v>
      </c>
      <c r="O610">
        <v>0</v>
      </c>
      <c r="P610" s="13">
        <v>1.5189999999999999</v>
      </c>
      <c r="Q610" t="s">
        <v>52</v>
      </c>
      <c r="R610">
        <v>80</v>
      </c>
      <c r="S610">
        <v>12</v>
      </c>
      <c r="T610" t="s">
        <v>164</v>
      </c>
      <c r="U610" t="s">
        <v>164</v>
      </c>
      <c r="V610" s="7">
        <v>0.775575856753842</v>
      </c>
      <c r="W610">
        <v>119.18</v>
      </c>
      <c r="X610" s="13">
        <v>0.38</v>
      </c>
      <c r="Y610">
        <v>13.1</v>
      </c>
      <c r="Z610">
        <v>10.52</v>
      </c>
      <c r="AA610">
        <v>4</v>
      </c>
      <c r="AB610">
        <v>25</v>
      </c>
      <c r="AC610" s="17">
        <f>1440/60</f>
        <v>24</v>
      </c>
      <c r="AD610">
        <v>0.2</v>
      </c>
      <c r="AE610">
        <v>100</v>
      </c>
      <c r="AF610" s="11">
        <v>0.35</v>
      </c>
    </row>
    <row r="611" spans="1:32" x14ac:dyDescent="0.3">
      <c r="A611" t="s">
        <v>126</v>
      </c>
      <c r="B611" t="s">
        <v>15</v>
      </c>
      <c r="C611">
        <v>0.28000000000000003</v>
      </c>
      <c r="D611">
        <v>331.34</v>
      </c>
      <c r="E611">
        <v>2.2000000000000002</v>
      </c>
      <c r="F611">
        <v>2.34</v>
      </c>
      <c r="G611">
        <v>0.7</v>
      </c>
      <c r="H611">
        <v>2.52</v>
      </c>
      <c r="I611">
        <v>2.3047</v>
      </c>
      <c r="J611">
        <v>72.900000000000006</v>
      </c>
      <c r="K611" t="s">
        <v>55</v>
      </c>
      <c r="L611" t="s">
        <v>51</v>
      </c>
      <c r="M611">
        <v>3</v>
      </c>
      <c r="N611">
        <v>27.222000000000001</v>
      </c>
      <c r="O611">
        <v>0</v>
      </c>
      <c r="P611" s="13">
        <v>1.5189999999999999</v>
      </c>
      <c r="Q611" t="s">
        <v>52</v>
      </c>
      <c r="R611">
        <v>80</v>
      </c>
      <c r="S611">
        <v>12</v>
      </c>
      <c r="T611" t="s">
        <v>164</v>
      </c>
      <c r="U611" t="s">
        <v>164</v>
      </c>
      <c r="V611" s="7">
        <v>0.775575856753842</v>
      </c>
      <c r="W611">
        <v>119.18</v>
      </c>
      <c r="X611" s="13">
        <v>0.38</v>
      </c>
      <c r="Y611">
        <v>13.1</v>
      </c>
      <c r="Z611">
        <v>10.52</v>
      </c>
      <c r="AA611">
        <v>6</v>
      </c>
      <c r="AB611">
        <v>25</v>
      </c>
      <c r="AC611" s="17">
        <f t="shared" ref="AC611:AC613" si="6">1440/60</f>
        <v>24</v>
      </c>
      <c r="AD611">
        <v>0.2</v>
      </c>
      <c r="AE611">
        <v>100</v>
      </c>
      <c r="AF611" s="11">
        <v>0.76</v>
      </c>
    </row>
    <row r="612" spans="1:32" x14ac:dyDescent="0.3">
      <c r="A612" t="s">
        <v>126</v>
      </c>
      <c r="B612" t="s">
        <v>15</v>
      </c>
      <c r="C612">
        <v>0.28000000000000003</v>
      </c>
      <c r="D612">
        <v>331.34</v>
      </c>
      <c r="E612">
        <v>2.2000000000000002</v>
      </c>
      <c r="F612">
        <v>2.34</v>
      </c>
      <c r="G612">
        <v>0.7</v>
      </c>
      <c r="H612">
        <v>2.52</v>
      </c>
      <c r="I612">
        <v>2.3047</v>
      </c>
      <c r="J612">
        <v>72.900000000000006</v>
      </c>
      <c r="K612" t="s">
        <v>55</v>
      </c>
      <c r="L612" t="s">
        <v>51</v>
      </c>
      <c r="M612">
        <v>3</v>
      </c>
      <c r="N612">
        <v>27.222000000000001</v>
      </c>
      <c r="O612">
        <v>0</v>
      </c>
      <c r="P612" s="13">
        <v>1.5189999999999999</v>
      </c>
      <c r="Q612" t="s">
        <v>52</v>
      </c>
      <c r="R612">
        <v>80</v>
      </c>
      <c r="S612">
        <v>12</v>
      </c>
      <c r="T612" t="s">
        <v>164</v>
      </c>
      <c r="U612" t="s">
        <v>164</v>
      </c>
      <c r="V612" s="7">
        <v>0.775575856753842</v>
      </c>
      <c r="W612">
        <v>119.18</v>
      </c>
      <c r="X612" s="13">
        <v>0.38</v>
      </c>
      <c r="Y612">
        <v>13.1</v>
      </c>
      <c r="Z612">
        <v>10.52</v>
      </c>
      <c r="AA612">
        <v>8</v>
      </c>
      <c r="AB612">
        <v>25</v>
      </c>
      <c r="AC612" s="17">
        <f t="shared" si="6"/>
        <v>24</v>
      </c>
      <c r="AD612">
        <v>0.2</v>
      </c>
      <c r="AE612">
        <v>100</v>
      </c>
      <c r="AF612" s="11">
        <v>0.8</v>
      </c>
    </row>
    <row r="613" spans="1:32" x14ac:dyDescent="0.3">
      <c r="A613" t="s">
        <v>126</v>
      </c>
      <c r="B613" t="s">
        <v>15</v>
      </c>
      <c r="C613">
        <v>0.28000000000000003</v>
      </c>
      <c r="D613">
        <v>331.34</v>
      </c>
      <c r="E613">
        <v>2.2000000000000002</v>
      </c>
      <c r="F613">
        <v>2.34</v>
      </c>
      <c r="G613">
        <v>0.7</v>
      </c>
      <c r="H613">
        <v>2.52</v>
      </c>
      <c r="I613">
        <v>2.3047</v>
      </c>
      <c r="J613">
        <v>72.900000000000006</v>
      </c>
      <c r="K613" t="s">
        <v>55</v>
      </c>
      <c r="L613" t="s">
        <v>51</v>
      </c>
      <c r="M613">
        <v>3</v>
      </c>
      <c r="N613">
        <v>27.222000000000001</v>
      </c>
      <c r="O613">
        <v>0</v>
      </c>
      <c r="P613" s="13">
        <v>1.5189999999999999</v>
      </c>
      <c r="Q613" t="s">
        <v>52</v>
      </c>
      <c r="R613">
        <v>80</v>
      </c>
      <c r="S613">
        <v>12</v>
      </c>
      <c r="T613" t="s">
        <v>164</v>
      </c>
      <c r="U613" t="s">
        <v>164</v>
      </c>
      <c r="V613" s="7">
        <v>0.775575856753842</v>
      </c>
      <c r="W613">
        <v>119.18</v>
      </c>
      <c r="X613" s="13">
        <v>0.38</v>
      </c>
      <c r="Y613">
        <v>13.1</v>
      </c>
      <c r="Z613">
        <v>10.52</v>
      </c>
      <c r="AA613">
        <v>10</v>
      </c>
      <c r="AB613">
        <v>25</v>
      </c>
      <c r="AC613" s="17">
        <f t="shared" si="6"/>
        <v>24</v>
      </c>
      <c r="AD613">
        <v>0.2</v>
      </c>
      <c r="AE613">
        <v>100</v>
      </c>
      <c r="AF613" s="11">
        <v>0.65</v>
      </c>
    </row>
    <row r="614" spans="1:32" x14ac:dyDescent="0.3">
      <c r="A614" t="s">
        <v>126</v>
      </c>
      <c r="B614" t="s">
        <v>15</v>
      </c>
      <c r="C614">
        <v>0.28000000000000003</v>
      </c>
      <c r="D614">
        <v>331.34</v>
      </c>
      <c r="E614">
        <v>2.2000000000000002</v>
      </c>
      <c r="F614">
        <v>2.34</v>
      </c>
      <c r="G614">
        <v>0.7</v>
      </c>
      <c r="H614">
        <v>2.52</v>
      </c>
      <c r="I614">
        <v>2.3047</v>
      </c>
      <c r="J614">
        <v>72.900000000000006</v>
      </c>
      <c r="K614" t="s">
        <v>55</v>
      </c>
      <c r="L614" t="s">
        <v>51</v>
      </c>
      <c r="M614">
        <v>3</v>
      </c>
      <c r="N614">
        <v>27.222000000000001</v>
      </c>
      <c r="O614">
        <v>0</v>
      </c>
      <c r="P614" s="13">
        <v>1.5189999999999999</v>
      </c>
      <c r="Q614" t="s">
        <v>52</v>
      </c>
      <c r="R614">
        <v>80</v>
      </c>
      <c r="S614">
        <v>12</v>
      </c>
      <c r="T614" t="s">
        <v>164</v>
      </c>
      <c r="U614" t="s">
        <v>164</v>
      </c>
      <c r="V614" s="7">
        <v>0.775575856753842</v>
      </c>
      <c r="W614">
        <v>119.18</v>
      </c>
      <c r="X614" s="13">
        <v>0.38</v>
      </c>
      <c r="Y614">
        <v>13.1</v>
      </c>
      <c r="Z614">
        <v>10.52</v>
      </c>
      <c r="AA614">
        <v>5</v>
      </c>
      <c r="AB614">
        <v>25</v>
      </c>
      <c r="AC614" s="17">
        <v>24</v>
      </c>
      <c r="AD614">
        <f>0.1/0.5</f>
        <v>0.2</v>
      </c>
      <c r="AE614">
        <v>30</v>
      </c>
      <c r="AF614" s="11">
        <v>0.16666666666666666</v>
      </c>
    </row>
    <row r="615" spans="1:32" x14ac:dyDescent="0.3">
      <c r="A615" t="s">
        <v>126</v>
      </c>
      <c r="B615" t="s">
        <v>15</v>
      </c>
      <c r="C615">
        <v>0.28000000000000003</v>
      </c>
      <c r="D615">
        <v>331.34</v>
      </c>
      <c r="E615">
        <v>2.2000000000000002</v>
      </c>
      <c r="F615">
        <v>2.34</v>
      </c>
      <c r="G615">
        <v>0.7</v>
      </c>
      <c r="H615">
        <v>2.52</v>
      </c>
      <c r="I615">
        <v>2.3047</v>
      </c>
      <c r="J615">
        <v>72.900000000000006</v>
      </c>
      <c r="K615" t="s">
        <v>55</v>
      </c>
      <c r="L615" t="s">
        <v>51</v>
      </c>
      <c r="M615">
        <v>3</v>
      </c>
      <c r="N615">
        <v>27.222000000000001</v>
      </c>
      <c r="O615">
        <v>0</v>
      </c>
      <c r="P615" s="13">
        <v>1.5189999999999999</v>
      </c>
      <c r="Q615" t="s">
        <v>52</v>
      </c>
      <c r="R615">
        <v>80</v>
      </c>
      <c r="S615">
        <v>12</v>
      </c>
      <c r="T615" t="s">
        <v>164</v>
      </c>
      <c r="U615" t="s">
        <v>164</v>
      </c>
      <c r="V615" s="7">
        <v>0.775575856753842</v>
      </c>
      <c r="W615">
        <v>119.18</v>
      </c>
      <c r="X615" s="13">
        <v>0.38</v>
      </c>
      <c r="Y615">
        <v>13.1</v>
      </c>
      <c r="Z615">
        <v>10.52</v>
      </c>
      <c r="AA615">
        <v>5</v>
      </c>
      <c r="AB615">
        <v>25</v>
      </c>
      <c r="AC615" s="17">
        <v>24</v>
      </c>
      <c r="AD615">
        <f t="shared" ref="AD615:AD635" si="7">0.1/0.5</f>
        <v>0.2</v>
      </c>
      <c r="AE615">
        <v>58</v>
      </c>
      <c r="AF615" s="11">
        <v>0.31034482758620691</v>
      </c>
    </row>
    <row r="616" spans="1:32" x14ac:dyDescent="0.3">
      <c r="A616" t="s">
        <v>126</v>
      </c>
      <c r="B616" t="s">
        <v>15</v>
      </c>
      <c r="C616">
        <v>0.28000000000000003</v>
      </c>
      <c r="D616">
        <v>331.34</v>
      </c>
      <c r="E616">
        <v>2.2000000000000002</v>
      </c>
      <c r="F616">
        <v>2.34</v>
      </c>
      <c r="G616">
        <v>0.7</v>
      </c>
      <c r="H616">
        <v>2.52</v>
      </c>
      <c r="I616">
        <v>2.3047</v>
      </c>
      <c r="J616">
        <v>72.900000000000006</v>
      </c>
      <c r="K616" t="s">
        <v>55</v>
      </c>
      <c r="L616" t="s">
        <v>51</v>
      </c>
      <c r="M616">
        <v>3</v>
      </c>
      <c r="N616">
        <v>27.222000000000001</v>
      </c>
      <c r="O616">
        <v>0</v>
      </c>
      <c r="P616" s="13">
        <v>1.5189999999999999</v>
      </c>
      <c r="Q616" t="s">
        <v>52</v>
      </c>
      <c r="R616">
        <v>80</v>
      </c>
      <c r="S616">
        <v>12</v>
      </c>
      <c r="T616" t="s">
        <v>164</v>
      </c>
      <c r="U616" t="s">
        <v>164</v>
      </c>
      <c r="V616" s="7">
        <v>0.775575856753842</v>
      </c>
      <c r="W616">
        <v>119.18</v>
      </c>
      <c r="X616" s="13">
        <v>0.38</v>
      </c>
      <c r="Y616">
        <v>13.1</v>
      </c>
      <c r="Z616">
        <v>10.52</v>
      </c>
      <c r="AA616">
        <v>5</v>
      </c>
      <c r="AB616">
        <v>25</v>
      </c>
      <c r="AC616" s="17">
        <v>24</v>
      </c>
      <c r="AD616">
        <f t="shared" si="7"/>
        <v>0.2</v>
      </c>
      <c r="AE616">
        <v>109</v>
      </c>
      <c r="AF616" s="11">
        <v>0.1743119266055046</v>
      </c>
    </row>
    <row r="617" spans="1:32" x14ac:dyDescent="0.3">
      <c r="A617" t="s">
        <v>126</v>
      </c>
      <c r="B617" t="s">
        <v>15</v>
      </c>
      <c r="C617">
        <v>0.28000000000000003</v>
      </c>
      <c r="D617">
        <v>331.34</v>
      </c>
      <c r="E617">
        <v>2.2000000000000002</v>
      </c>
      <c r="F617">
        <v>2.34</v>
      </c>
      <c r="G617">
        <v>0.7</v>
      </c>
      <c r="H617">
        <v>2.52</v>
      </c>
      <c r="I617">
        <v>2.3047</v>
      </c>
      <c r="J617">
        <v>72.900000000000006</v>
      </c>
      <c r="K617" t="s">
        <v>55</v>
      </c>
      <c r="L617" t="s">
        <v>51</v>
      </c>
      <c r="M617">
        <v>3</v>
      </c>
      <c r="N617">
        <v>27.222000000000001</v>
      </c>
      <c r="O617">
        <v>0</v>
      </c>
      <c r="P617" s="13">
        <v>1.5189999999999999</v>
      </c>
      <c r="Q617" t="s">
        <v>52</v>
      </c>
      <c r="R617">
        <v>80</v>
      </c>
      <c r="S617">
        <v>12</v>
      </c>
      <c r="T617" t="s">
        <v>164</v>
      </c>
      <c r="U617" t="s">
        <v>164</v>
      </c>
      <c r="V617" s="7">
        <v>0.775575856753842</v>
      </c>
      <c r="W617">
        <v>119.18</v>
      </c>
      <c r="X617" s="13">
        <v>0.38</v>
      </c>
      <c r="Y617">
        <v>13.1</v>
      </c>
      <c r="Z617">
        <v>10.52</v>
      </c>
      <c r="AA617">
        <v>5</v>
      </c>
      <c r="AB617">
        <v>25</v>
      </c>
      <c r="AC617" s="17">
        <v>24</v>
      </c>
      <c r="AD617">
        <f t="shared" si="7"/>
        <v>0.2</v>
      </c>
      <c r="AE617">
        <v>150</v>
      </c>
      <c r="AF617" s="11">
        <v>0.13333333333333333</v>
      </c>
    </row>
    <row r="618" spans="1:32" x14ac:dyDescent="0.3">
      <c r="A618" t="s">
        <v>126</v>
      </c>
      <c r="B618" t="s">
        <v>15</v>
      </c>
      <c r="C618">
        <v>0.28000000000000003</v>
      </c>
      <c r="D618">
        <v>331.34</v>
      </c>
      <c r="E618">
        <v>2.2000000000000002</v>
      </c>
      <c r="F618">
        <v>2.34</v>
      </c>
      <c r="G618">
        <v>0.7</v>
      </c>
      <c r="H618">
        <v>2.52</v>
      </c>
      <c r="I618">
        <v>2.3047</v>
      </c>
      <c r="J618">
        <v>72.900000000000006</v>
      </c>
      <c r="K618" t="s">
        <v>55</v>
      </c>
      <c r="L618" t="s">
        <v>51</v>
      </c>
      <c r="M618">
        <v>3</v>
      </c>
      <c r="N618">
        <v>27.222000000000001</v>
      </c>
      <c r="O618">
        <v>0</v>
      </c>
      <c r="P618" s="13">
        <v>1.5189999999999999</v>
      </c>
      <c r="Q618" t="s">
        <v>52</v>
      </c>
      <c r="R618">
        <v>80</v>
      </c>
      <c r="S618">
        <v>12</v>
      </c>
      <c r="T618" t="s">
        <v>164</v>
      </c>
      <c r="U618" t="s">
        <v>164</v>
      </c>
      <c r="V618" s="7">
        <v>0.775575856753842</v>
      </c>
      <c r="W618">
        <v>119.18</v>
      </c>
      <c r="X618" s="13">
        <v>0.38</v>
      </c>
      <c r="Y618">
        <v>13.1</v>
      </c>
      <c r="Z618">
        <v>10.52</v>
      </c>
      <c r="AA618">
        <v>5</v>
      </c>
      <c r="AB618">
        <v>25</v>
      </c>
      <c r="AC618" s="17">
        <v>24</v>
      </c>
      <c r="AD618">
        <f t="shared" si="7"/>
        <v>0.2</v>
      </c>
      <c r="AE618">
        <v>210</v>
      </c>
      <c r="AF618" s="11">
        <v>9.5238095238095233E-2</v>
      </c>
    </row>
    <row r="619" spans="1:32" x14ac:dyDescent="0.3">
      <c r="A619" t="s">
        <v>126</v>
      </c>
      <c r="B619" t="s">
        <v>15</v>
      </c>
      <c r="C619">
        <v>0.28000000000000003</v>
      </c>
      <c r="D619">
        <v>331.34</v>
      </c>
      <c r="E619">
        <v>2.2000000000000002</v>
      </c>
      <c r="F619">
        <v>2.34</v>
      </c>
      <c r="G619">
        <v>0.7</v>
      </c>
      <c r="H619">
        <v>2.52</v>
      </c>
      <c r="I619">
        <v>2.3047</v>
      </c>
      <c r="J619">
        <v>72.900000000000006</v>
      </c>
      <c r="K619" t="s">
        <v>55</v>
      </c>
      <c r="L619" t="s">
        <v>51</v>
      </c>
      <c r="M619">
        <v>3</v>
      </c>
      <c r="N619">
        <v>27.222000000000001</v>
      </c>
      <c r="O619">
        <v>0</v>
      </c>
      <c r="P619" s="13">
        <v>1.5189999999999999</v>
      </c>
      <c r="Q619" t="s">
        <v>52</v>
      </c>
      <c r="R619">
        <v>80</v>
      </c>
      <c r="S619">
        <v>12</v>
      </c>
      <c r="T619" t="s">
        <v>164</v>
      </c>
      <c r="U619" t="s">
        <v>164</v>
      </c>
      <c r="V619" s="7">
        <v>0.775575856753842</v>
      </c>
      <c r="W619">
        <v>119.18</v>
      </c>
      <c r="X619" s="13">
        <v>0.38</v>
      </c>
      <c r="Y619">
        <v>13.1</v>
      </c>
      <c r="Z619">
        <v>10.52</v>
      </c>
      <c r="AA619">
        <v>5</v>
      </c>
      <c r="AB619">
        <v>25</v>
      </c>
      <c r="AC619" s="17">
        <v>24</v>
      </c>
      <c r="AD619">
        <f t="shared" si="7"/>
        <v>0.2</v>
      </c>
      <c r="AE619">
        <v>310</v>
      </c>
      <c r="AF619" s="11">
        <v>6.4516129032258063E-2</v>
      </c>
    </row>
    <row r="620" spans="1:32" x14ac:dyDescent="0.3">
      <c r="A620" t="s">
        <v>126</v>
      </c>
      <c r="B620" t="s">
        <v>15</v>
      </c>
      <c r="C620">
        <v>0.28000000000000003</v>
      </c>
      <c r="D620">
        <v>331.34</v>
      </c>
      <c r="E620">
        <v>2.2000000000000002</v>
      </c>
      <c r="F620">
        <v>2.34</v>
      </c>
      <c r="G620">
        <v>0.7</v>
      </c>
      <c r="H620">
        <v>2.52</v>
      </c>
      <c r="I620">
        <v>2.3047</v>
      </c>
      <c r="J620">
        <v>72.900000000000006</v>
      </c>
      <c r="K620" t="s">
        <v>55</v>
      </c>
      <c r="L620" t="s">
        <v>51</v>
      </c>
      <c r="M620">
        <v>3</v>
      </c>
      <c r="N620">
        <v>27.222000000000001</v>
      </c>
      <c r="O620">
        <v>0</v>
      </c>
      <c r="P620" s="13">
        <v>1.5189999999999999</v>
      </c>
      <c r="Q620" t="s">
        <v>52</v>
      </c>
      <c r="R620">
        <v>80</v>
      </c>
      <c r="S620">
        <v>12</v>
      </c>
      <c r="T620" t="s">
        <v>164</v>
      </c>
      <c r="U620" t="s">
        <v>164</v>
      </c>
      <c r="V620" s="7">
        <v>0.775575856753842</v>
      </c>
      <c r="W620">
        <v>119.18</v>
      </c>
      <c r="X620" s="13">
        <v>0.38</v>
      </c>
      <c r="Y620">
        <v>13.1</v>
      </c>
      <c r="Z620">
        <v>10.52</v>
      </c>
      <c r="AA620">
        <v>5</v>
      </c>
      <c r="AB620">
        <v>25</v>
      </c>
      <c r="AC620" s="21">
        <f>1/60</f>
        <v>1.6666666666666666E-2</v>
      </c>
      <c r="AD620">
        <f t="shared" si="7"/>
        <v>0.2</v>
      </c>
      <c r="AE620">
        <v>50</v>
      </c>
      <c r="AF620" s="11">
        <v>0.1</v>
      </c>
    </row>
    <row r="621" spans="1:32" x14ac:dyDescent="0.3">
      <c r="A621" t="s">
        <v>126</v>
      </c>
      <c r="B621" t="s">
        <v>15</v>
      </c>
      <c r="C621">
        <v>0.28000000000000003</v>
      </c>
      <c r="D621">
        <v>331.34</v>
      </c>
      <c r="E621">
        <v>2.2000000000000002</v>
      </c>
      <c r="F621">
        <v>2.34</v>
      </c>
      <c r="G621">
        <v>0.7</v>
      </c>
      <c r="H621">
        <v>2.52</v>
      </c>
      <c r="I621">
        <v>2.3047</v>
      </c>
      <c r="J621">
        <v>72.900000000000006</v>
      </c>
      <c r="K621" t="s">
        <v>55</v>
      </c>
      <c r="L621" t="s">
        <v>51</v>
      </c>
      <c r="M621">
        <v>3</v>
      </c>
      <c r="N621">
        <v>27.222000000000001</v>
      </c>
      <c r="O621">
        <v>0</v>
      </c>
      <c r="P621" s="13">
        <v>1.5189999999999999</v>
      </c>
      <c r="Q621" t="s">
        <v>52</v>
      </c>
      <c r="R621">
        <v>80</v>
      </c>
      <c r="S621">
        <v>12</v>
      </c>
      <c r="T621" t="s">
        <v>164</v>
      </c>
      <c r="U621" t="s">
        <v>164</v>
      </c>
      <c r="V621" s="7">
        <v>0.775575856753842</v>
      </c>
      <c r="W621">
        <v>119.18</v>
      </c>
      <c r="X621" s="13">
        <v>0.38</v>
      </c>
      <c r="Y621">
        <v>13.1</v>
      </c>
      <c r="Z621">
        <v>10.52</v>
      </c>
      <c r="AA621">
        <v>5</v>
      </c>
      <c r="AB621">
        <v>25</v>
      </c>
      <c r="AC621" s="21">
        <f>2/60</f>
        <v>3.3333333333333333E-2</v>
      </c>
      <c r="AD621">
        <f t="shared" si="7"/>
        <v>0.2</v>
      </c>
      <c r="AE621">
        <v>50</v>
      </c>
      <c r="AF621" s="11">
        <v>0.2</v>
      </c>
    </row>
    <row r="622" spans="1:32" x14ac:dyDescent="0.3">
      <c r="A622" t="s">
        <v>126</v>
      </c>
      <c r="B622" t="s">
        <v>15</v>
      </c>
      <c r="C622">
        <v>0.28000000000000003</v>
      </c>
      <c r="D622">
        <v>331.34</v>
      </c>
      <c r="E622">
        <v>2.2000000000000002</v>
      </c>
      <c r="F622">
        <v>2.34</v>
      </c>
      <c r="G622">
        <v>0.7</v>
      </c>
      <c r="H622">
        <v>2.52</v>
      </c>
      <c r="I622">
        <v>2.3047</v>
      </c>
      <c r="J622">
        <v>72.900000000000006</v>
      </c>
      <c r="K622" t="s">
        <v>55</v>
      </c>
      <c r="L622" t="s">
        <v>51</v>
      </c>
      <c r="M622">
        <v>3</v>
      </c>
      <c r="N622">
        <v>27.222000000000001</v>
      </c>
      <c r="O622">
        <v>0</v>
      </c>
      <c r="P622" s="13">
        <v>1.5189999999999999</v>
      </c>
      <c r="Q622" t="s">
        <v>52</v>
      </c>
      <c r="R622">
        <v>80</v>
      </c>
      <c r="S622">
        <v>12</v>
      </c>
      <c r="T622" t="s">
        <v>164</v>
      </c>
      <c r="U622" t="s">
        <v>164</v>
      </c>
      <c r="V622" s="7">
        <v>0.775575856753842</v>
      </c>
      <c r="W622">
        <v>119.18</v>
      </c>
      <c r="X622" s="13">
        <v>0.38</v>
      </c>
      <c r="Y622">
        <v>13.1</v>
      </c>
      <c r="Z622">
        <v>10.52</v>
      </c>
      <c r="AA622">
        <v>5</v>
      </c>
      <c r="AB622">
        <v>25</v>
      </c>
      <c r="AC622" s="21">
        <f>10/60</f>
        <v>0.16666666666666666</v>
      </c>
      <c r="AD622">
        <f t="shared" si="7"/>
        <v>0.2</v>
      </c>
      <c r="AE622">
        <v>50</v>
      </c>
      <c r="AF622" s="11">
        <v>0.22</v>
      </c>
    </row>
    <row r="623" spans="1:32" x14ac:dyDescent="0.3">
      <c r="A623" t="s">
        <v>126</v>
      </c>
      <c r="B623" t="s">
        <v>15</v>
      </c>
      <c r="C623">
        <v>0.28000000000000003</v>
      </c>
      <c r="D623">
        <v>331.34</v>
      </c>
      <c r="E623">
        <v>2.2000000000000002</v>
      </c>
      <c r="F623">
        <v>2.34</v>
      </c>
      <c r="G623">
        <v>0.7</v>
      </c>
      <c r="H623">
        <v>2.52</v>
      </c>
      <c r="I623">
        <v>2.3047</v>
      </c>
      <c r="J623">
        <v>72.900000000000006</v>
      </c>
      <c r="K623" t="s">
        <v>55</v>
      </c>
      <c r="L623" t="s">
        <v>51</v>
      </c>
      <c r="M623">
        <v>3</v>
      </c>
      <c r="N623">
        <v>27.222000000000001</v>
      </c>
      <c r="O623">
        <v>0</v>
      </c>
      <c r="P623" s="13">
        <v>1.5189999999999999</v>
      </c>
      <c r="Q623" t="s">
        <v>52</v>
      </c>
      <c r="R623">
        <v>80</v>
      </c>
      <c r="S623">
        <v>12</v>
      </c>
      <c r="T623" t="s">
        <v>164</v>
      </c>
      <c r="U623" t="s">
        <v>164</v>
      </c>
      <c r="V623" s="7">
        <v>0.775575856753842</v>
      </c>
      <c r="W623">
        <v>119.18</v>
      </c>
      <c r="X623" s="13">
        <v>0.38</v>
      </c>
      <c r="Y623">
        <v>13.1</v>
      </c>
      <c r="Z623">
        <v>10.52</v>
      </c>
      <c r="AA623">
        <v>5</v>
      </c>
      <c r="AB623">
        <v>25</v>
      </c>
      <c r="AC623" s="21">
        <f>20/60</f>
        <v>0.33333333333333331</v>
      </c>
      <c r="AD623">
        <f t="shared" si="7"/>
        <v>0.2</v>
      </c>
      <c r="AE623">
        <v>50</v>
      </c>
      <c r="AF623" s="11">
        <v>0.24</v>
      </c>
    </row>
    <row r="624" spans="1:32" x14ac:dyDescent="0.3">
      <c r="A624" t="s">
        <v>126</v>
      </c>
      <c r="B624" t="s">
        <v>15</v>
      </c>
      <c r="C624">
        <v>0.28000000000000003</v>
      </c>
      <c r="D624">
        <v>331.34</v>
      </c>
      <c r="E624">
        <v>2.2000000000000002</v>
      </c>
      <c r="F624">
        <v>2.34</v>
      </c>
      <c r="G624">
        <v>0.7</v>
      </c>
      <c r="H624">
        <v>2.52</v>
      </c>
      <c r="I624">
        <v>2.3047</v>
      </c>
      <c r="J624">
        <v>72.900000000000006</v>
      </c>
      <c r="K624" t="s">
        <v>55</v>
      </c>
      <c r="L624" t="s">
        <v>51</v>
      </c>
      <c r="M624">
        <v>3</v>
      </c>
      <c r="N624">
        <v>27.222000000000001</v>
      </c>
      <c r="O624">
        <v>0</v>
      </c>
      <c r="P624" s="13">
        <v>1.5189999999999999</v>
      </c>
      <c r="Q624" t="s">
        <v>52</v>
      </c>
      <c r="R624">
        <v>80</v>
      </c>
      <c r="S624">
        <v>12</v>
      </c>
      <c r="T624" t="s">
        <v>164</v>
      </c>
      <c r="U624" t="s">
        <v>164</v>
      </c>
      <c r="V624" s="7">
        <v>0.775575856753842</v>
      </c>
      <c r="W624">
        <v>119.18</v>
      </c>
      <c r="X624" s="13">
        <v>0.38</v>
      </c>
      <c r="Y624">
        <v>13.1</v>
      </c>
      <c r="Z624">
        <v>10.52</v>
      </c>
      <c r="AA624">
        <v>5</v>
      </c>
      <c r="AB624">
        <v>25</v>
      </c>
      <c r="AC624" s="21">
        <f>25/60</f>
        <v>0.41666666666666669</v>
      </c>
      <c r="AD624">
        <f t="shared" si="7"/>
        <v>0.2</v>
      </c>
      <c r="AE624">
        <v>50</v>
      </c>
      <c r="AF624" s="11">
        <v>0.26</v>
      </c>
    </row>
    <row r="625" spans="1:32" x14ac:dyDescent="0.3">
      <c r="A625" t="s">
        <v>126</v>
      </c>
      <c r="B625" t="s">
        <v>15</v>
      </c>
      <c r="C625">
        <v>0.28000000000000003</v>
      </c>
      <c r="D625">
        <v>331.34</v>
      </c>
      <c r="E625">
        <v>2.2000000000000002</v>
      </c>
      <c r="F625">
        <v>2.34</v>
      </c>
      <c r="G625">
        <v>0.7</v>
      </c>
      <c r="H625">
        <v>2.52</v>
      </c>
      <c r="I625">
        <v>2.3047</v>
      </c>
      <c r="J625">
        <v>72.900000000000006</v>
      </c>
      <c r="K625" t="s">
        <v>55</v>
      </c>
      <c r="L625" t="s">
        <v>51</v>
      </c>
      <c r="M625">
        <v>3</v>
      </c>
      <c r="N625">
        <v>27.222000000000001</v>
      </c>
      <c r="O625">
        <v>0</v>
      </c>
      <c r="P625" s="13">
        <v>1.5189999999999999</v>
      </c>
      <c r="Q625" t="s">
        <v>52</v>
      </c>
      <c r="R625">
        <v>80</v>
      </c>
      <c r="S625">
        <v>12</v>
      </c>
      <c r="T625" t="s">
        <v>164</v>
      </c>
      <c r="U625" t="s">
        <v>164</v>
      </c>
      <c r="V625" s="7">
        <v>0.775575856753842</v>
      </c>
      <c r="W625">
        <v>119.18</v>
      </c>
      <c r="X625" s="13">
        <v>0.38</v>
      </c>
      <c r="Y625">
        <v>13.1</v>
      </c>
      <c r="Z625">
        <v>10.52</v>
      </c>
      <c r="AA625">
        <v>5</v>
      </c>
      <c r="AB625">
        <v>25</v>
      </c>
      <c r="AC625" s="21">
        <f>100/60</f>
        <v>1.6666666666666667</v>
      </c>
      <c r="AD625">
        <f t="shared" si="7"/>
        <v>0.2</v>
      </c>
      <c r="AE625">
        <v>50</v>
      </c>
      <c r="AF625" s="11">
        <v>0.3</v>
      </c>
    </row>
    <row r="626" spans="1:32" x14ac:dyDescent="0.3">
      <c r="A626" t="s">
        <v>126</v>
      </c>
      <c r="B626" t="s">
        <v>15</v>
      </c>
      <c r="C626">
        <v>0.28000000000000003</v>
      </c>
      <c r="D626">
        <v>331.34</v>
      </c>
      <c r="E626">
        <v>2.2000000000000002</v>
      </c>
      <c r="F626">
        <v>2.34</v>
      </c>
      <c r="G626">
        <v>0.7</v>
      </c>
      <c r="H626">
        <v>2.52</v>
      </c>
      <c r="I626">
        <v>2.3047</v>
      </c>
      <c r="J626">
        <v>72.900000000000006</v>
      </c>
      <c r="K626" t="s">
        <v>55</v>
      </c>
      <c r="L626" t="s">
        <v>51</v>
      </c>
      <c r="M626">
        <v>3</v>
      </c>
      <c r="N626">
        <v>27.222000000000001</v>
      </c>
      <c r="O626">
        <v>0</v>
      </c>
      <c r="P626" s="13">
        <v>1.5189999999999999</v>
      </c>
      <c r="Q626" t="s">
        <v>52</v>
      </c>
      <c r="R626">
        <v>80</v>
      </c>
      <c r="S626">
        <v>12</v>
      </c>
      <c r="T626" t="s">
        <v>164</v>
      </c>
      <c r="U626" t="s">
        <v>164</v>
      </c>
      <c r="V626" s="7">
        <v>0.775575856753842</v>
      </c>
      <c r="W626">
        <v>119.18</v>
      </c>
      <c r="X626" s="13">
        <v>0.38</v>
      </c>
      <c r="Y626">
        <v>13.1</v>
      </c>
      <c r="Z626">
        <v>10.52</v>
      </c>
      <c r="AA626">
        <v>5</v>
      </c>
      <c r="AB626">
        <v>25</v>
      </c>
      <c r="AC626" s="21">
        <f>125/60</f>
        <v>2.0833333333333335</v>
      </c>
      <c r="AD626">
        <f t="shared" si="7"/>
        <v>0.2</v>
      </c>
      <c r="AE626">
        <v>50</v>
      </c>
      <c r="AF626" s="11">
        <v>0.34</v>
      </c>
    </row>
    <row r="627" spans="1:32" x14ac:dyDescent="0.3">
      <c r="A627" t="s">
        <v>126</v>
      </c>
      <c r="B627" t="s">
        <v>15</v>
      </c>
      <c r="C627">
        <v>0.28000000000000003</v>
      </c>
      <c r="D627">
        <v>331.34</v>
      </c>
      <c r="E627">
        <v>2.2000000000000002</v>
      </c>
      <c r="F627">
        <v>2.34</v>
      </c>
      <c r="G627">
        <v>0.7</v>
      </c>
      <c r="H627">
        <v>2.52</v>
      </c>
      <c r="I627">
        <v>2.3047</v>
      </c>
      <c r="J627">
        <v>72.900000000000006</v>
      </c>
      <c r="K627" t="s">
        <v>55</v>
      </c>
      <c r="L627" t="s">
        <v>51</v>
      </c>
      <c r="M627">
        <v>3</v>
      </c>
      <c r="N627">
        <v>27.222000000000001</v>
      </c>
      <c r="O627">
        <v>0</v>
      </c>
      <c r="P627" s="13">
        <v>1.5189999999999999</v>
      </c>
      <c r="Q627" t="s">
        <v>52</v>
      </c>
      <c r="R627">
        <v>80</v>
      </c>
      <c r="S627">
        <v>12</v>
      </c>
      <c r="T627" t="s">
        <v>164</v>
      </c>
      <c r="U627" t="s">
        <v>164</v>
      </c>
      <c r="V627" s="7">
        <v>0.775575856753842</v>
      </c>
      <c r="W627">
        <v>119.18</v>
      </c>
      <c r="X627" s="13">
        <v>0.38</v>
      </c>
      <c r="Y627">
        <v>13.1</v>
      </c>
      <c r="Z627">
        <v>10.52</v>
      </c>
      <c r="AA627">
        <v>5</v>
      </c>
      <c r="AB627">
        <v>25</v>
      </c>
      <c r="AC627" s="21">
        <f>250/60</f>
        <v>4.166666666666667</v>
      </c>
      <c r="AD627">
        <f t="shared" si="7"/>
        <v>0.2</v>
      </c>
      <c r="AE627">
        <v>50</v>
      </c>
      <c r="AF627" s="11">
        <v>0.36</v>
      </c>
    </row>
    <row r="628" spans="1:32" x14ac:dyDescent="0.3">
      <c r="A628" t="s">
        <v>126</v>
      </c>
      <c r="B628" t="s">
        <v>15</v>
      </c>
      <c r="C628">
        <v>0.28000000000000003</v>
      </c>
      <c r="D628">
        <v>331.34</v>
      </c>
      <c r="E628">
        <v>2.2000000000000002</v>
      </c>
      <c r="F628">
        <v>2.34</v>
      </c>
      <c r="G628">
        <v>0.7</v>
      </c>
      <c r="H628">
        <v>2.52</v>
      </c>
      <c r="I628">
        <v>2.3047</v>
      </c>
      <c r="J628">
        <v>72.900000000000006</v>
      </c>
      <c r="K628" t="s">
        <v>55</v>
      </c>
      <c r="L628" t="s">
        <v>51</v>
      </c>
      <c r="M628">
        <v>3</v>
      </c>
      <c r="N628">
        <v>27.222000000000001</v>
      </c>
      <c r="O628">
        <v>0</v>
      </c>
      <c r="P628" s="13">
        <v>1.5189999999999999</v>
      </c>
      <c r="Q628" t="s">
        <v>52</v>
      </c>
      <c r="R628">
        <v>80</v>
      </c>
      <c r="S628">
        <v>12</v>
      </c>
      <c r="T628" t="s">
        <v>164</v>
      </c>
      <c r="U628" t="s">
        <v>164</v>
      </c>
      <c r="V628" s="7">
        <v>0.775575856753842</v>
      </c>
      <c r="W628">
        <v>119.18</v>
      </c>
      <c r="X628" s="13">
        <v>0.38</v>
      </c>
      <c r="Y628">
        <v>13.1</v>
      </c>
      <c r="Z628">
        <v>10.52</v>
      </c>
      <c r="AA628">
        <v>5</v>
      </c>
      <c r="AB628">
        <v>25</v>
      </c>
      <c r="AC628" s="17">
        <f>375/60</f>
        <v>6.25</v>
      </c>
      <c r="AD628">
        <f t="shared" si="7"/>
        <v>0.2</v>
      </c>
      <c r="AE628">
        <v>50</v>
      </c>
      <c r="AF628" s="11">
        <v>0.36695999999999995</v>
      </c>
    </row>
    <row r="629" spans="1:32" x14ac:dyDescent="0.3">
      <c r="A629" t="s">
        <v>126</v>
      </c>
      <c r="B629" t="s">
        <v>15</v>
      </c>
      <c r="C629">
        <v>0.28000000000000003</v>
      </c>
      <c r="D629">
        <v>331.34</v>
      </c>
      <c r="E629">
        <v>2.2000000000000002</v>
      </c>
      <c r="F629">
        <v>2.34</v>
      </c>
      <c r="G629">
        <v>0.7</v>
      </c>
      <c r="H629">
        <v>2.52</v>
      </c>
      <c r="I629">
        <v>2.3047</v>
      </c>
      <c r="J629">
        <v>72.900000000000006</v>
      </c>
      <c r="K629" t="s">
        <v>55</v>
      </c>
      <c r="L629" t="s">
        <v>51</v>
      </c>
      <c r="M629">
        <v>3</v>
      </c>
      <c r="N629">
        <v>27.222000000000001</v>
      </c>
      <c r="O629">
        <v>0</v>
      </c>
      <c r="P629" s="13">
        <v>1.5189999999999999</v>
      </c>
      <c r="Q629" t="s">
        <v>52</v>
      </c>
      <c r="R629">
        <v>80</v>
      </c>
      <c r="S629">
        <v>12</v>
      </c>
      <c r="T629" t="s">
        <v>164</v>
      </c>
      <c r="U629" t="s">
        <v>164</v>
      </c>
      <c r="V629" s="7">
        <v>0.775575856753842</v>
      </c>
      <c r="W629">
        <v>119.18</v>
      </c>
      <c r="X629" s="13">
        <v>0.38</v>
      </c>
      <c r="Y629">
        <v>13.1</v>
      </c>
      <c r="Z629">
        <v>10.52</v>
      </c>
      <c r="AA629">
        <v>5</v>
      </c>
      <c r="AB629">
        <v>25</v>
      </c>
      <c r="AC629" s="17">
        <f>750/60</f>
        <v>12.5</v>
      </c>
      <c r="AD629">
        <f t="shared" si="7"/>
        <v>0.2</v>
      </c>
      <c r="AE629">
        <v>50</v>
      </c>
      <c r="AF629" s="11">
        <v>0.36695999999999995</v>
      </c>
    </row>
    <row r="630" spans="1:32" x14ac:dyDescent="0.3">
      <c r="A630" t="s">
        <v>126</v>
      </c>
      <c r="B630" t="s">
        <v>15</v>
      </c>
      <c r="C630">
        <v>0.28000000000000003</v>
      </c>
      <c r="D630">
        <v>331.34</v>
      </c>
      <c r="E630">
        <v>2.2000000000000002</v>
      </c>
      <c r="F630">
        <v>2.34</v>
      </c>
      <c r="G630">
        <v>0.7</v>
      </c>
      <c r="H630">
        <v>2.52</v>
      </c>
      <c r="I630">
        <v>2.3047</v>
      </c>
      <c r="J630">
        <v>72.900000000000006</v>
      </c>
      <c r="K630" t="s">
        <v>55</v>
      </c>
      <c r="L630" t="s">
        <v>51</v>
      </c>
      <c r="M630">
        <v>3</v>
      </c>
      <c r="N630">
        <v>27.222000000000001</v>
      </c>
      <c r="O630">
        <v>0</v>
      </c>
      <c r="P630" s="13">
        <v>1.5189999999999999</v>
      </c>
      <c r="Q630" t="s">
        <v>52</v>
      </c>
      <c r="R630">
        <v>80</v>
      </c>
      <c r="S630">
        <v>12</v>
      </c>
      <c r="T630" t="s">
        <v>164</v>
      </c>
      <c r="U630" t="s">
        <v>164</v>
      </c>
      <c r="V630" s="7">
        <v>0.775575856753842</v>
      </c>
      <c r="W630">
        <v>119.18</v>
      </c>
      <c r="X630" s="13">
        <v>0.38</v>
      </c>
      <c r="Y630">
        <v>13.1</v>
      </c>
      <c r="Z630">
        <v>10.52</v>
      </c>
      <c r="AA630">
        <v>5</v>
      </c>
      <c r="AB630">
        <v>25</v>
      </c>
      <c r="AC630" s="20">
        <f>1300/60</f>
        <v>21.666666666666668</v>
      </c>
      <c r="AD630">
        <f t="shared" si="7"/>
        <v>0.2</v>
      </c>
      <c r="AE630">
        <v>50</v>
      </c>
      <c r="AF630" s="11">
        <v>0.24</v>
      </c>
    </row>
    <row r="631" spans="1:32" x14ac:dyDescent="0.3">
      <c r="A631" t="s">
        <v>126</v>
      </c>
      <c r="B631" t="s">
        <v>15</v>
      </c>
      <c r="C631">
        <v>0.28000000000000003</v>
      </c>
      <c r="D631">
        <v>331.34</v>
      </c>
      <c r="E631">
        <v>2.2000000000000002</v>
      </c>
      <c r="F631">
        <v>2.34</v>
      </c>
      <c r="G631">
        <v>0.7</v>
      </c>
      <c r="H631">
        <v>2.52</v>
      </c>
      <c r="I631">
        <v>2.3047</v>
      </c>
      <c r="J631">
        <v>72.900000000000006</v>
      </c>
      <c r="K631" t="s">
        <v>55</v>
      </c>
      <c r="L631" t="s">
        <v>51</v>
      </c>
      <c r="M631">
        <v>3</v>
      </c>
      <c r="N631">
        <v>27.222000000000001</v>
      </c>
      <c r="O631">
        <v>0</v>
      </c>
      <c r="P631" s="13">
        <v>1.5189999999999999</v>
      </c>
      <c r="Q631" t="s">
        <v>52</v>
      </c>
      <c r="R631">
        <v>80</v>
      </c>
      <c r="S631">
        <v>12</v>
      </c>
      <c r="T631" t="s">
        <v>164</v>
      </c>
      <c r="U631" t="s">
        <v>164</v>
      </c>
      <c r="V631" s="7">
        <v>0.775575856753842</v>
      </c>
      <c r="W631">
        <v>119.18</v>
      </c>
      <c r="X631" s="13">
        <v>0.38</v>
      </c>
      <c r="Y631">
        <v>13.1</v>
      </c>
      <c r="Z631">
        <v>10.52</v>
      </c>
      <c r="AA631">
        <v>5</v>
      </c>
      <c r="AB631">
        <v>25</v>
      </c>
      <c r="AC631" s="17">
        <f>1440/60</f>
        <v>24</v>
      </c>
      <c r="AD631">
        <f t="shared" si="7"/>
        <v>0.2</v>
      </c>
      <c r="AE631">
        <v>50</v>
      </c>
      <c r="AF631" s="11">
        <v>0.36695999999999995</v>
      </c>
    </row>
    <row r="632" spans="1:32" x14ac:dyDescent="0.3">
      <c r="A632" t="s">
        <v>126</v>
      </c>
      <c r="B632" t="s">
        <v>15</v>
      </c>
      <c r="C632">
        <v>0.28000000000000003</v>
      </c>
      <c r="D632">
        <v>331.34</v>
      </c>
      <c r="E632">
        <v>2.2000000000000002</v>
      </c>
      <c r="F632">
        <v>2.34</v>
      </c>
      <c r="G632">
        <v>0.7</v>
      </c>
      <c r="H632">
        <v>2.52</v>
      </c>
      <c r="I632">
        <v>2.3047</v>
      </c>
      <c r="J632">
        <v>72.900000000000006</v>
      </c>
      <c r="K632" t="s">
        <v>55</v>
      </c>
      <c r="L632" t="s">
        <v>51</v>
      </c>
      <c r="M632">
        <v>3</v>
      </c>
      <c r="N632">
        <v>27.222000000000001</v>
      </c>
      <c r="O632">
        <v>0</v>
      </c>
      <c r="P632" s="13">
        <v>1.5189999999999999</v>
      </c>
      <c r="Q632" t="s">
        <v>52</v>
      </c>
      <c r="R632">
        <v>80</v>
      </c>
      <c r="S632">
        <v>12</v>
      </c>
      <c r="T632" t="s">
        <v>164</v>
      </c>
      <c r="U632" t="s">
        <v>164</v>
      </c>
      <c r="V632" s="7">
        <v>0.25475420124940718</v>
      </c>
      <c r="W632">
        <v>214.82</v>
      </c>
      <c r="X632" s="13">
        <v>0.95</v>
      </c>
      <c r="Y632">
        <v>14.1</v>
      </c>
      <c r="Z632">
        <v>11.56</v>
      </c>
      <c r="AA632">
        <v>4</v>
      </c>
      <c r="AB632">
        <v>25</v>
      </c>
      <c r="AC632" s="17">
        <f t="shared" ref="AC632:AC635" si="8">1440/60</f>
        <v>24</v>
      </c>
      <c r="AD632">
        <f t="shared" si="7"/>
        <v>0.2</v>
      </c>
      <c r="AE632">
        <v>100</v>
      </c>
      <c r="AF632" s="11">
        <v>1</v>
      </c>
    </row>
    <row r="633" spans="1:32" x14ac:dyDescent="0.3">
      <c r="A633" t="s">
        <v>126</v>
      </c>
      <c r="B633" t="s">
        <v>15</v>
      </c>
      <c r="C633">
        <v>0.28000000000000003</v>
      </c>
      <c r="D633">
        <v>331.34</v>
      </c>
      <c r="E633">
        <v>2.2000000000000002</v>
      </c>
      <c r="F633">
        <v>2.34</v>
      </c>
      <c r="G633">
        <v>0.7</v>
      </c>
      <c r="H633">
        <v>2.52</v>
      </c>
      <c r="I633">
        <v>2.3047</v>
      </c>
      <c r="J633">
        <v>72.900000000000006</v>
      </c>
      <c r="K633" t="s">
        <v>55</v>
      </c>
      <c r="L633" t="s">
        <v>51</v>
      </c>
      <c r="M633">
        <v>3</v>
      </c>
      <c r="N633">
        <v>27.222000000000001</v>
      </c>
      <c r="O633">
        <v>0</v>
      </c>
      <c r="P633" s="13">
        <v>1.5189999999999999</v>
      </c>
      <c r="Q633" t="s">
        <v>52</v>
      </c>
      <c r="R633">
        <v>80</v>
      </c>
      <c r="S633">
        <v>12</v>
      </c>
      <c r="T633" t="s">
        <v>164</v>
      </c>
      <c r="U633" t="s">
        <v>164</v>
      </c>
      <c r="V633" s="7">
        <v>0.25475420124940718</v>
      </c>
      <c r="W633">
        <v>214.82</v>
      </c>
      <c r="X633" s="13">
        <v>0.95</v>
      </c>
      <c r="Y633">
        <v>14.1</v>
      </c>
      <c r="Z633">
        <v>11.56</v>
      </c>
      <c r="AA633">
        <v>6</v>
      </c>
      <c r="AB633">
        <v>25</v>
      </c>
      <c r="AC633" s="17">
        <f t="shared" si="8"/>
        <v>24</v>
      </c>
      <c r="AD633">
        <f t="shared" si="7"/>
        <v>0.2</v>
      </c>
      <c r="AE633">
        <v>100</v>
      </c>
      <c r="AF633" s="11">
        <v>0.98</v>
      </c>
    </row>
    <row r="634" spans="1:32" x14ac:dyDescent="0.3">
      <c r="A634" t="s">
        <v>126</v>
      </c>
      <c r="B634" t="s">
        <v>15</v>
      </c>
      <c r="C634">
        <v>0.28000000000000003</v>
      </c>
      <c r="D634">
        <v>331.34</v>
      </c>
      <c r="E634">
        <v>2.2000000000000002</v>
      </c>
      <c r="F634">
        <v>2.34</v>
      </c>
      <c r="G634">
        <v>0.7</v>
      </c>
      <c r="H634">
        <v>2.52</v>
      </c>
      <c r="I634">
        <v>2.3047</v>
      </c>
      <c r="J634">
        <v>72.900000000000006</v>
      </c>
      <c r="K634" t="s">
        <v>55</v>
      </c>
      <c r="L634" t="s">
        <v>51</v>
      </c>
      <c r="M634">
        <v>3</v>
      </c>
      <c r="N634">
        <v>27.222000000000001</v>
      </c>
      <c r="O634">
        <v>0</v>
      </c>
      <c r="P634" s="13">
        <v>1.5189999999999999</v>
      </c>
      <c r="Q634" t="s">
        <v>52</v>
      </c>
      <c r="R634">
        <v>80</v>
      </c>
      <c r="S634">
        <v>12</v>
      </c>
      <c r="T634" t="s">
        <v>164</v>
      </c>
      <c r="U634" t="s">
        <v>164</v>
      </c>
      <c r="V634" s="7">
        <v>0.25475420124940718</v>
      </c>
      <c r="W634">
        <v>214.82</v>
      </c>
      <c r="X634" s="13">
        <v>0.95</v>
      </c>
      <c r="Y634">
        <v>14.1</v>
      </c>
      <c r="Z634">
        <v>11.56</v>
      </c>
      <c r="AA634">
        <v>8</v>
      </c>
      <c r="AB634">
        <v>25</v>
      </c>
      <c r="AC634" s="17">
        <f t="shared" si="8"/>
        <v>24</v>
      </c>
      <c r="AD634">
        <f t="shared" si="7"/>
        <v>0.2</v>
      </c>
      <c r="AE634">
        <v>100</v>
      </c>
      <c r="AF634" s="11">
        <v>0.8</v>
      </c>
    </row>
    <row r="635" spans="1:32" x14ac:dyDescent="0.3">
      <c r="A635" t="s">
        <v>126</v>
      </c>
      <c r="B635" t="s">
        <v>15</v>
      </c>
      <c r="C635">
        <v>0.28000000000000003</v>
      </c>
      <c r="D635">
        <v>331.34</v>
      </c>
      <c r="E635">
        <v>2.2000000000000002</v>
      </c>
      <c r="F635">
        <v>2.34</v>
      </c>
      <c r="G635">
        <v>0.7</v>
      </c>
      <c r="H635">
        <v>2.52</v>
      </c>
      <c r="I635">
        <v>2.3047</v>
      </c>
      <c r="J635">
        <v>72.900000000000006</v>
      </c>
      <c r="K635" t="s">
        <v>55</v>
      </c>
      <c r="L635" t="s">
        <v>51</v>
      </c>
      <c r="M635">
        <v>3</v>
      </c>
      <c r="N635">
        <v>27.222000000000001</v>
      </c>
      <c r="O635">
        <v>0</v>
      </c>
      <c r="P635" s="13">
        <v>1.5189999999999999</v>
      </c>
      <c r="Q635" t="s">
        <v>52</v>
      </c>
      <c r="R635">
        <v>80</v>
      </c>
      <c r="S635">
        <v>12</v>
      </c>
      <c r="T635" t="s">
        <v>164</v>
      </c>
      <c r="U635" t="s">
        <v>164</v>
      </c>
      <c r="V635" s="7">
        <v>0.25475420124940718</v>
      </c>
      <c r="W635">
        <v>214.82</v>
      </c>
      <c r="X635" s="13">
        <v>0.95</v>
      </c>
      <c r="Y635">
        <v>14.1</v>
      </c>
      <c r="Z635">
        <v>11.56</v>
      </c>
      <c r="AA635">
        <v>10</v>
      </c>
      <c r="AB635">
        <v>25</v>
      </c>
      <c r="AC635" s="17">
        <f t="shared" si="8"/>
        <v>24</v>
      </c>
      <c r="AD635">
        <f t="shared" si="7"/>
        <v>0.2</v>
      </c>
      <c r="AE635">
        <v>100</v>
      </c>
      <c r="AF635" s="11">
        <v>0.7</v>
      </c>
    </row>
    <row r="636" spans="1:32" x14ac:dyDescent="0.3">
      <c r="A636" t="s">
        <v>126</v>
      </c>
      <c r="B636" t="s">
        <v>15</v>
      </c>
      <c r="C636">
        <v>0.28000000000000003</v>
      </c>
      <c r="D636">
        <v>331.34</v>
      </c>
      <c r="E636">
        <v>2.2000000000000002</v>
      </c>
      <c r="F636">
        <v>2.34</v>
      </c>
      <c r="G636">
        <v>0.7</v>
      </c>
      <c r="H636">
        <v>2.52</v>
      </c>
      <c r="I636">
        <v>2.3047</v>
      </c>
      <c r="J636">
        <v>72.900000000000006</v>
      </c>
      <c r="K636" t="s">
        <v>55</v>
      </c>
      <c r="L636" t="s">
        <v>51</v>
      </c>
      <c r="M636">
        <v>3</v>
      </c>
      <c r="N636">
        <v>27.222000000000001</v>
      </c>
      <c r="O636">
        <v>0</v>
      </c>
      <c r="P636" s="13">
        <v>1.5189999999999999</v>
      </c>
      <c r="Q636" t="s">
        <v>52</v>
      </c>
      <c r="R636">
        <v>80</v>
      </c>
      <c r="S636">
        <v>12</v>
      </c>
      <c r="T636" t="s">
        <v>164</v>
      </c>
      <c r="U636" t="s">
        <v>164</v>
      </c>
      <c r="V636" s="7">
        <v>0.25475420124940718</v>
      </c>
      <c r="W636">
        <v>214.82</v>
      </c>
      <c r="X636" s="13">
        <v>0.95</v>
      </c>
      <c r="Y636">
        <v>14.1</v>
      </c>
      <c r="Z636">
        <v>11.56</v>
      </c>
      <c r="AA636">
        <v>5</v>
      </c>
      <c r="AB636">
        <v>25</v>
      </c>
      <c r="AC636" s="17">
        <v>24</v>
      </c>
      <c r="AD636">
        <f>0.1/0.5</f>
        <v>0.2</v>
      </c>
      <c r="AE636">
        <v>20</v>
      </c>
      <c r="AF636" s="11">
        <v>0.5</v>
      </c>
    </row>
    <row r="637" spans="1:32" x14ac:dyDescent="0.3">
      <c r="A637" t="s">
        <v>126</v>
      </c>
      <c r="B637" t="s">
        <v>15</v>
      </c>
      <c r="C637">
        <v>0.28000000000000003</v>
      </c>
      <c r="D637">
        <v>331.34</v>
      </c>
      <c r="E637">
        <v>2.2000000000000002</v>
      </c>
      <c r="F637">
        <v>2.34</v>
      </c>
      <c r="G637">
        <v>0.7</v>
      </c>
      <c r="H637">
        <v>2.52</v>
      </c>
      <c r="I637">
        <v>2.3047</v>
      </c>
      <c r="J637">
        <v>72.900000000000006</v>
      </c>
      <c r="K637" t="s">
        <v>55</v>
      </c>
      <c r="L637" t="s">
        <v>51</v>
      </c>
      <c r="M637">
        <v>3</v>
      </c>
      <c r="N637">
        <v>27.222000000000001</v>
      </c>
      <c r="O637">
        <v>0</v>
      </c>
      <c r="P637" s="13">
        <v>1.5189999999999999</v>
      </c>
      <c r="Q637" t="s">
        <v>52</v>
      </c>
      <c r="R637">
        <v>80</v>
      </c>
      <c r="S637">
        <v>12</v>
      </c>
      <c r="T637" t="s">
        <v>164</v>
      </c>
      <c r="U637" t="s">
        <v>164</v>
      </c>
      <c r="V637" s="7">
        <v>0.25475420124940718</v>
      </c>
      <c r="W637">
        <v>214.82</v>
      </c>
      <c r="X637" s="13">
        <v>0.95</v>
      </c>
      <c r="Y637">
        <v>14.1</v>
      </c>
      <c r="Z637">
        <v>11.56</v>
      </c>
      <c r="AA637">
        <v>5</v>
      </c>
      <c r="AB637">
        <v>25</v>
      </c>
      <c r="AC637" s="17">
        <v>24</v>
      </c>
      <c r="AD637">
        <f t="shared" ref="AD637:AD655" si="9">0.1/0.5</f>
        <v>0.2</v>
      </c>
      <c r="AE637">
        <v>33</v>
      </c>
      <c r="AF637" s="11">
        <v>0.54545454545454541</v>
      </c>
    </row>
    <row r="638" spans="1:32" x14ac:dyDescent="0.3">
      <c r="A638" t="s">
        <v>126</v>
      </c>
      <c r="B638" t="s">
        <v>15</v>
      </c>
      <c r="C638">
        <v>0.28000000000000003</v>
      </c>
      <c r="D638">
        <v>331.34</v>
      </c>
      <c r="E638">
        <v>2.2000000000000002</v>
      </c>
      <c r="F638">
        <v>2.34</v>
      </c>
      <c r="G638">
        <v>0.7</v>
      </c>
      <c r="H638">
        <v>2.52</v>
      </c>
      <c r="I638">
        <v>2.3047</v>
      </c>
      <c r="J638">
        <v>72.900000000000006</v>
      </c>
      <c r="K638" t="s">
        <v>55</v>
      </c>
      <c r="L638" t="s">
        <v>51</v>
      </c>
      <c r="M638">
        <v>3</v>
      </c>
      <c r="N638">
        <v>27.222000000000001</v>
      </c>
      <c r="O638">
        <v>0</v>
      </c>
      <c r="P638" s="13">
        <v>1.5189999999999999</v>
      </c>
      <c r="Q638" t="s">
        <v>52</v>
      </c>
      <c r="R638">
        <v>80</v>
      </c>
      <c r="S638">
        <v>12</v>
      </c>
      <c r="T638" t="s">
        <v>164</v>
      </c>
      <c r="U638" t="s">
        <v>164</v>
      </c>
      <c r="V638" s="7">
        <v>0.25475420124940718</v>
      </c>
      <c r="W638">
        <v>214.82</v>
      </c>
      <c r="X638" s="13">
        <v>0.95</v>
      </c>
      <c r="Y638">
        <v>14.1</v>
      </c>
      <c r="Z638">
        <v>11.56</v>
      </c>
      <c r="AA638">
        <v>5</v>
      </c>
      <c r="AB638">
        <v>25</v>
      </c>
      <c r="AC638" s="17">
        <v>24</v>
      </c>
      <c r="AD638">
        <f t="shared" si="9"/>
        <v>0.2</v>
      </c>
      <c r="AE638">
        <v>61</v>
      </c>
      <c r="AF638" s="11">
        <v>0.5901639344262295</v>
      </c>
    </row>
    <row r="639" spans="1:32" x14ac:dyDescent="0.3">
      <c r="A639" t="s">
        <v>126</v>
      </c>
      <c r="B639" t="s">
        <v>15</v>
      </c>
      <c r="C639">
        <v>0.28000000000000003</v>
      </c>
      <c r="D639">
        <v>331.34</v>
      </c>
      <c r="E639">
        <v>2.2000000000000002</v>
      </c>
      <c r="F639">
        <v>2.34</v>
      </c>
      <c r="G639">
        <v>0.7</v>
      </c>
      <c r="H639">
        <v>2.52</v>
      </c>
      <c r="I639">
        <v>2.3047</v>
      </c>
      <c r="J639">
        <v>72.900000000000006</v>
      </c>
      <c r="K639" t="s">
        <v>55</v>
      </c>
      <c r="L639" t="s">
        <v>51</v>
      </c>
      <c r="M639">
        <v>3</v>
      </c>
      <c r="N639">
        <v>27.222000000000001</v>
      </c>
      <c r="O639">
        <v>0</v>
      </c>
      <c r="P639" s="13">
        <v>1.5189999999999999</v>
      </c>
      <c r="Q639" t="s">
        <v>52</v>
      </c>
      <c r="R639">
        <v>80</v>
      </c>
      <c r="S639">
        <v>12</v>
      </c>
      <c r="T639" t="s">
        <v>164</v>
      </c>
      <c r="U639" t="s">
        <v>164</v>
      </c>
      <c r="V639" s="7">
        <v>0.25475420124940718</v>
      </c>
      <c r="W639">
        <v>214.82</v>
      </c>
      <c r="X639" s="13">
        <v>0.95</v>
      </c>
      <c r="Y639">
        <v>14.1</v>
      </c>
      <c r="Z639">
        <v>11.56</v>
      </c>
      <c r="AA639">
        <v>5</v>
      </c>
      <c r="AB639">
        <v>25</v>
      </c>
      <c r="AC639" s="17">
        <v>24</v>
      </c>
      <c r="AD639">
        <f t="shared" si="9"/>
        <v>0.2</v>
      </c>
      <c r="AE639">
        <v>107</v>
      </c>
      <c r="AF639" s="11">
        <v>0.57943925233644855</v>
      </c>
    </row>
    <row r="640" spans="1:32" x14ac:dyDescent="0.3">
      <c r="A640" t="s">
        <v>126</v>
      </c>
      <c r="B640" t="s">
        <v>15</v>
      </c>
      <c r="C640">
        <v>0.28000000000000003</v>
      </c>
      <c r="D640">
        <v>331.34</v>
      </c>
      <c r="E640">
        <v>2.2000000000000002</v>
      </c>
      <c r="F640">
        <v>2.34</v>
      </c>
      <c r="G640">
        <v>0.7</v>
      </c>
      <c r="H640">
        <v>2.52</v>
      </c>
      <c r="I640">
        <v>2.3047</v>
      </c>
      <c r="J640">
        <v>72.900000000000006</v>
      </c>
      <c r="K640" t="s">
        <v>55</v>
      </c>
      <c r="L640" t="s">
        <v>51</v>
      </c>
      <c r="M640">
        <v>3</v>
      </c>
      <c r="N640">
        <v>27.222000000000001</v>
      </c>
      <c r="O640">
        <v>0</v>
      </c>
      <c r="P640" s="13">
        <v>1.5189999999999999</v>
      </c>
      <c r="Q640" t="s">
        <v>52</v>
      </c>
      <c r="R640">
        <v>80</v>
      </c>
      <c r="S640">
        <v>12</v>
      </c>
      <c r="T640" t="s">
        <v>164</v>
      </c>
      <c r="U640" t="s">
        <v>164</v>
      </c>
      <c r="V640" s="7">
        <v>0.25475420124940718</v>
      </c>
      <c r="W640">
        <v>214.82</v>
      </c>
      <c r="X640" s="13">
        <v>0.95</v>
      </c>
      <c r="Y640">
        <v>14.1</v>
      </c>
      <c r="Z640">
        <v>11.56</v>
      </c>
      <c r="AA640">
        <v>5</v>
      </c>
      <c r="AB640">
        <v>25</v>
      </c>
      <c r="AC640" s="17">
        <v>24</v>
      </c>
      <c r="AD640">
        <f t="shared" si="9"/>
        <v>0.2</v>
      </c>
      <c r="AE640">
        <v>150</v>
      </c>
      <c r="AF640" s="11">
        <v>0.66666666666666663</v>
      </c>
    </row>
    <row r="641" spans="1:32" x14ac:dyDescent="0.3">
      <c r="A641" t="s">
        <v>126</v>
      </c>
      <c r="B641" t="s">
        <v>15</v>
      </c>
      <c r="C641">
        <v>0.28000000000000003</v>
      </c>
      <c r="D641">
        <v>331.34</v>
      </c>
      <c r="E641">
        <v>2.2000000000000002</v>
      </c>
      <c r="F641">
        <v>2.34</v>
      </c>
      <c r="G641">
        <v>0.7</v>
      </c>
      <c r="H641">
        <v>2.52</v>
      </c>
      <c r="I641">
        <v>2.3047</v>
      </c>
      <c r="J641">
        <v>72.900000000000006</v>
      </c>
      <c r="K641" t="s">
        <v>55</v>
      </c>
      <c r="L641" t="s">
        <v>51</v>
      </c>
      <c r="M641">
        <v>3</v>
      </c>
      <c r="N641">
        <v>27.222000000000001</v>
      </c>
      <c r="O641">
        <v>0</v>
      </c>
      <c r="P641" s="13">
        <v>1.5189999999999999</v>
      </c>
      <c r="Q641" t="s">
        <v>52</v>
      </c>
      <c r="R641">
        <v>80</v>
      </c>
      <c r="S641">
        <v>12</v>
      </c>
      <c r="T641" t="s">
        <v>164</v>
      </c>
      <c r="U641" t="s">
        <v>164</v>
      </c>
      <c r="V641" s="7">
        <v>0.25475420124940718</v>
      </c>
      <c r="W641">
        <v>214.82</v>
      </c>
      <c r="X641" s="13">
        <v>0.95</v>
      </c>
      <c r="Y641">
        <v>14.1</v>
      </c>
      <c r="Z641">
        <v>11.56</v>
      </c>
      <c r="AA641">
        <v>5</v>
      </c>
      <c r="AB641">
        <v>25</v>
      </c>
      <c r="AC641" s="17">
        <v>24</v>
      </c>
      <c r="AD641">
        <f t="shared" si="9"/>
        <v>0.2</v>
      </c>
      <c r="AE641">
        <v>213</v>
      </c>
      <c r="AF641" s="11">
        <v>0.5539906103286385</v>
      </c>
    </row>
    <row r="642" spans="1:32" x14ac:dyDescent="0.3">
      <c r="A642" t="s">
        <v>126</v>
      </c>
      <c r="B642" t="s">
        <v>15</v>
      </c>
      <c r="C642">
        <v>0.28000000000000003</v>
      </c>
      <c r="D642">
        <v>331.34</v>
      </c>
      <c r="E642">
        <v>2.2000000000000002</v>
      </c>
      <c r="F642">
        <v>2.34</v>
      </c>
      <c r="G642">
        <v>0.7</v>
      </c>
      <c r="H642">
        <v>2.52</v>
      </c>
      <c r="I642">
        <v>2.3047</v>
      </c>
      <c r="J642">
        <v>72.900000000000006</v>
      </c>
      <c r="K642" t="s">
        <v>55</v>
      </c>
      <c r="L642" t="s">
        <v>51</v>
      </c>
      <c r="M642">
        <v>3</v>
      </c>
      <c r="N642">
        <v>27.222000000000001</v>
      </c>
      <c r="O642">
        <v>0</v>
      </c>
      <c r="P642" s="13">
        <v>1.5189999999999999</v>
      </c>
      <c r="Q642" t="s">
        <v>52</v>
      </c>
      <c r="R642">
        <v>80</v>
      </c>
      <c r="S642">
        <v>12</v>
      </c>
      <c r="T642" t="s">
        <v>164</v>
      </c>
      <c r="U642" t="s">
        <v>164</v>
      </c>
      <c r="V642" s="7">
        <v>0.25475420124940718</v>
      </c>
      <c r="W642">
        <v>214.82</v>
      </c>
      <c r="X642" s="13">
        <v>0.95</v>
      </c>
      <c r="Y642">
        <v>14.1</v>
      </c>
      <c r="Z642">
        <v>11.56</v>
      </c>
      <c r="AA642">
        <v>5</v>
      </c>
      <c r="AB642">
        <v>25</v>
      </c>
      <c r="AC642" s="17">
        <v>24</v>
      </c>
      <c r="AD642">
        <f t="shared" si="9"/>
        <v>0.2</v>
      </c>
      <c r="AE642">
        <v>315</v>
      </c>
      <c r="AF642" s="11">
        <v>0.41269841269841268</v>
      </c>
    </row>
    <row r="643" spans="1:32" x14ac:dyDescent="0.3">
      <c r="A643" t="s">
        <v>126</v>
      </c>
      <c r="B643" t="s">
        <v>15</v>
      </c>
      <c r="C643">
        <v>0.28000000000000003</v>
      </c>
      <c r="D643">
        <v>331.34</v>
      </c>
      <c r="E643">
        <v>2.2000000000000002</v>
      </c>
      <c r="F643">
        <v>2.34</v>
      </c>
      <c r="G643">
        <v>0.7</v>
      </c>
      <c r="H643">
        <v>2.52</v>
      </c>
      <c r="I643">
        <v>2.3047</v>
      </c>
      <c r="J643">
        <v>72.900000000000006</v>
      </c>
      <c r="K643" t="s">
        <v>55</v>
      </c>
      <c r="L643" t="s">
        <v>51</v>
      </c>
      <c r="M643">
        <v>3</v>
      </c>
      <c r="N643">
        <v>27.222000000000001</v>
      </c>
      <c r="O643">
        <v>0</v>
      </c>
      <c r="P643" s="13">
        <v>1.5189999999999999</v>
      </c>
      <c r="Q643" t="s">
        <v>52</v>
      </c>
      <c r="R643">
        <v>80</v>
      </c>
      <c r="S643">
        <v>12</v>
      </c>
      <c r="T643" t="s">
        <v>164</v>
      </c>
      <c r="U643" t="s">
        <v>164</v>
      </c>
      <c r="V643" s="7">
        <v>0.25475420124940718</v>
      </c>
      <c r="W643">
        <v>214.82</v>
      </c>
      <c r="X643" s="13">
        <v>0.95</v>
      </c>
      <c r="Y643">
        <v>14.1</v>
      </c>
      <c r="Z643">
        <v>11.56</v>
      </c>
      <c r="AA643">
        <v>5</v>
      </c>
      <c r="AB643">
        <v>25</v>
      </c>
      <c r="AC643" s="21">
        <f>1/60</f>
        <v>1.6666666666666666E-2</v>
      </c>
      <c r="AD643">
        <f t="shared" si="9"/>
        <v>0.2</v>
      </c>
      <c r="AE643">
        <v>50</v>
      </c>
      <c r="AF643" s="11">
        <v>0.18</v>
      </c>
    </row>
    <row r="644" spans="1:32" x14ac:dyDescent="0.3">
      <c r="A644" t="s">
        <v>126</v>
      </c>
      <c r="B644" t="s">
        <v>15</v>
      </c>
      <c r="C644">
        <v>0.28000000000000003</v>
      </c>
      <c r="D644">
        <v>331.34</v>
      </c>
      <c r="E644">
        <v>2.2000000000000002</v>
      </c>
      <c r="F644">
        <v>2.34</v>
      </c>
      <c r="G644">
        <v>0.7</v>
      </c>
      <c r="H644">
        <v>2.52</v>
      </c>
      <c r="I644">
        <v>2.3047</v>
      </c>
      <c r="J644">
        <v>72.900000000000006</v>
      </c>
      <c r="K644" t="s">
        <v>55</v>
      </c>
      <c r="L644" t="s">
        <v>51</v>
      </c>
      <c r="M644">
        <v>3</v>
      </c>
      <c r="N644">
        <v>27.222000000000001</v>
      </c>
      <c r="O644">
        <v>0</v>
      </c>
      <c r="P644" s="13">
        <v>1.5189999999999999</v>
      </c>
      <c r="Q644" t="s">
        <v>52</v>
      </c>
      <c r="R644">
        <v>80</v>
      </c>
      <c r="S644">
        <v>12</v>
      </c>
      <c r="T644" t="s">
        <v>164</v>
      </c>
      <c r="U644" t="s">
        <v>164</v>
      </c>
      <c r="V644" s="7">
        <v>0.25475420124940718</v>
      </c>
      <c r="W644">
        <v>214.82</v>
      </c>
      <c r="X644" s="13">
        <v>0.95</v>
      </c>
      <c r="Y644">
        <v>14.1</v>
      </c>
      <c r="Z644">
        <v>11.56</v>
      </c>
      <c r="AA644">
        <v>5</v>
      </c>
      <c r="AB644">
        <v>25</v>
      </c>
      <c r="AC644" s="21">
        <f>2/60</f>
        <v>3.3333333333333333E-2</v>
      </c>
      <c r="AD644">
        <f t="shared" si="9"/>
        <v>0.2</v>
      </c>
      <c r="AE644">
        <v>50</v>
      </c>
      <c r="AF644" s="11">
        <v>0.2</v>
      </c>
    </row>
    <row r="645" spans="1:32" x14ac:dyDescent="0.3">
      <c r="A645" t="s">
        <v>126</v>
      </c>
      <c r="B645" t="s">
        <v>15</v>
      </c>
      <c r="C645">
        <v>0.28000000000000003</v>
      </c>
      <c r="D645">
        <v>331.34</v>
      </c>
      <c r="E645">
        <v>2.2000000000000002</v>
      </c>
      <c r="F645">
        <v>2.34</v>
      </c>
      <c r="G645">
        <v>0.7</v>
      </c>
      <c r="H645">
        <v>2.52</v>
      </c>
      <c r="I645">
        <v>2.3047</v>
      </c>
      <c r="J645">
        <v>72.900000000000006</v>
      </c>
      <c r="K645" t="s">
        <v>55</v>
      </c>
      <c r="L645" t="s">
        <v>51</v>
      </c>
      <c r="M645">
        <v>3</v>
      </c>
      <c r="N645">
        <v>27.222000000000001</v>
      </c>
      <c r="O645">
        <v>0</v>
      </c>
      <c r="P645" s="13">
        <v>1.5189999999999999</v>
      </c>
      <c r="Q645" t="s">
        <v>52</v>
      </c>
      <c r="R645">
        <v>80</v>
      </c>
      <c r="S645">
        <v>12</v>
      </c>
      <c r="T645" t="s">
        <v>164</v>
      </c>
      <c r="U645" t="s">
        <v>164</v>
      </c>
      <c r="V645" s="7">
        <v>0.25475420124940718</v>
      </c>
      <c r="W645">
        <v>214.82</v>
      </c>
      <c r="X645" s="13">
        <v>0.95</v>
      </c>
      <c r="Y645">
        <v>14.1</v>
      </c>
      <c r="Z645">
        <v>11.56</v>
      </c>
      <c r="AA645">
        <v>5</v>
      </c>
      <c r="AB645">
        <v>25</v>
      </c>
      <c r="AC645" s="21">
        <f>5/60</f>
        <v>8.3333333333333329E-2</v>
      </c>
      <c r="AD645">
        <f t="shared" si="9"/>
        <v>0.2</v>
      </c>
      <c r="AE645">
        <v>50</v>
      </c>
      <c r="AF645" s="11">
        <v>0.3</v>
      </c>
    </row>
    <row r="646" spans="1:32" x14ac:dyDescent="0.3">
      <c r="A646" t="s">
        <v>126</v>
      </c>
      <c r="B646" t="s">
        <v>15</v>
      </c>
      <c r="C646">
        <v>0.28000000000000003</v>
      </c>
      <c r="D646">
        <v>331.34</v>
      </c>
      <c r="E646">
        <v>2.2000000000000002</v>
      </c>
      <c r="F646">
        <v>2.34</v>
      </c>
      <c r="G646">
        <v>0.7</v>
      </c>
      <c r="H646">
        <v>2.52</v>
      </c>
      <c r="I646">
        <v>2.3047</v>
      </c>
      <c r="J646">
        <v>72.900000000000006</v>
      </c>
      <c r="K646" t="s">
        <v>55</v>
      </c>
      <c r="L646" t="s">
        <v>51</v>
      </c>
      <c r="M646">
        <v>3</v>
      </c>
      <c r="N646">
        <v>27.222000000000001</v>
      </c>
      <c r="O646">
        <v>0</v>
      </c>
      <c r="P646" s="13">
        <v>1.5189999999999999</v>
      </c>
      <c r="Q646" t="s">
        <v>52</v>
      </c>
      <c r="R646">
        <v>80</v>
      </c>
      <c r="S646">
        <v>12</v>
      </c>
      <c r="T646" t="s">
        <v>164</v>
      </c>
      <c r="U646" t="s">
        <v>164</v>
      </c>
      <c r="V646" s="7">
        <v>0.25475420124940718</v>
      </c>
      <c r="W646">
        <v>214.82</v>
      </c>
      <c r="X646" s="13">
        <v>0.95</v>
      </c>
      <c r="Y646">
        <v>14.1</v>
      </c>
      <c r="Z646">
        <v>11.56</v>
      </c>
      <c r="AA646">
        <v>5</v>
      </c>
      <c r="AB646">
        <v>25</v>
      </c>
      <c r="AC646" s="21">
        <f>10/60</f>
        <v>0.16666666666666666</v>
      </c>
      <c r="AD646">
        <f t="shared" si="9"/>
        <v>0.2</v>
      </c>
      <c r="AE646">
        <v>50</v>
      </c>
      <c r="AF646" s="11">
        <v>0.34</v>
      </c>
    </row>
    <row r="647" spans="1:32" x14ac:dyDescent="0.3">
      <c r="A647" t="s">
        <v>126</v>
      </c>
      <c r="B647" t="s">
        <v>15</v>
      </c>
      <c r="C647">
        <v>0.28000000000000003</v>
      </c>
      <c r="D647">
        <v>331.34</v>
      </c>
      <c r="E647">
        <v>2.2000000000000002</v>
      </c>
      <c r="F647">
        <v>2.34</v>
      </c>
      <c r="G647">
        <v>0.7</v>
      </c>
      <c r="H647">
        <v>2.52</v>
      </c>
      <c r="I647">
        <v>2.3047</v>
      </c>
      <c r="J647">
        <v>72.900000000000006</v>
      </c>
      <c r="K647" t="s">
        <v>55</v>
      </c>
      <c r="L647" t="s">
        <v>51</v>
      </c>
      <c r="M647">
        <v>3</v>
      </c>
      <c r="N647">
        <v>27.222000000000001</v>
      </c>
      <c r="O647">
        <v>0</v>
      </c>
      <c r="P647" s="13">
        <v>1.5189999999999999</v>
      </c>
      <c r="Q647" t="s">
        <v>52</v>
      </c>
      <c r="R647">
        <v>80</v>
      </c>
      <c r="S647">
        <v>12</v>
      </c>
      <c r="T647" t="s">
        <v>164</v>
      </c>
      <c r="U647" t="s">
        <v>164</v>
      </c>
      <c r="V647" s="7">
        <v>0.25475420124940718</v>
      </c>
      <c r="W647">
        <v>214.82</v>
      </c>
      <c r="X647" s="13">
        <v>0.95</v>
      </c>
      <c r="Y647">
        <v>14.1</v>
      </c>
      <c r="Z647">
        <v>11.56</v>
      </c>
      <c r="AA647">
        <v>5</v>
      </c>
      <c r="AB647">
        <v>25</v>
      </c>
      <c r="AC647" s="21">
        <f>20/60</f>
        <v>0.33333333333333331</v>
      </c>
      <c r="AD647">
        <f t="shared" si="9"/>
        <v>0.2</v>
      </c>
      <c r="AE647">
        <v>50</v>
      </c>
      <c r="AF647" s="11">
        <v>0.5</v>
      </c>
    </row>
    <row r="648" spans="1:32" x14ac:dyDescent="0.3">
      <c r="A648" t="s">
        <v>126</v>
      </c>
      <c r="B648" t="s">
        <v>15</v>
      </c>
      <c r="C648">
        <v>0.28000000000000003</v>
      </c>
      <c r="D648">
        <v>331.34</v>
      </c>
      <c r="E648">
        <v>2.2000000000000002</v>
      </c>
      <c r="F648">
        <v>2.34</v>
      </c>
      <c r="G648">
        <v>0.7</v>
      </c>
      <c r="H648">
        <v>2.52</v>
      </c>
      <c r="I648">
        <v>2.3047</v>
      </c>
      <c r="J648">
        <v>72.900000000000006</v>
      </c>
      <c r="K648" t="s">
        <v>55</v>
      </c>
      <c r="L648" t="s">
        <v>51</v>
      </c>
      <c r="M648">
        <v>3</v>
      </c>
      <c r="N648">
        <v>27.222000000000001</v>
      </c>
      <c r="O648">
        <v>0</v>
      </c>
      <c r="P648" s="13">
        <v>1.5189999999999999</v>
      </c>
      <c r="Q648" t="s">
        <v>52</v>
      </c>
      <c r="R648">
        <v>80</v>
      </c>
      <c r="S648">
        <v>12</v>
      </c>
      <c r="T648" t="s">
        <v>164</v>
      </c>
      <c r="U648" t="s">
        <v>164</v>
      </c>
      <c r="V648" s="7">
        <v>0.25475420124940718</v>
      </c>
      <c r="W648">
        <v>214.82</v>
      </c>
      <c r="X648" s="13">
        <v>0.95</v>
      </c>
      <c r="Y648">
        <v>14.1</v>
      </c>
      <c r="Z648">
        <v>11.56</v>
      </c>
      <c r="AA648">
        <v>5</v>
      </c>
      <c r="AB648">
        <v>25</v>
      </c>
      <c r="AC648" s="21">
        <f>25/60</f>
        <v>0.41666666666666669</v>
      </c>
      <c r="AD648">
        <f t="shared" si="9"/>
        <v>0.2</v>
      </c>
      <c r="AE648">
        <v>50</v>
      </c>
      <c r="AF648" s="11">
        <v>0.84</v>
      </c>
    </row>
    <row r="649" spans="1:32" x14ac:dyDescent="0.3">
      <c r="A649" t="s">
        <v>126</v>
      </c>
      <c r="B649" t="s">
        <v>15</v>
      </c>
      <c r="C649">
        <v>0.28000000000000003</v>
      </c>
      <c r="D649">
        <v>331.34</v>
      </c>
      <c r="E649">
        <v>2.2000000000000002</v>
      </c>
      <c r="F649">
        <v>2.34</v>
      </c>
      <c r="G649">
        <v>0.7</v>
      </c>
      <c r="H649">
        <v>2.52</v>
      </c>
      <c r="I649">
        <v>2.3047</v>
      </c>
      <c r="J649">
        <v>72.900000000000006</v>
      </c>
      <c r="K649" t="s">
        <v>55</v>
      </c>
      <c r="L649" t="s">
        <v>51</v>
      </c>
      <c r="M649">
        <v>3</v>
      </c>
      <c r="N649">
        <v>27.222000000000001</v>
      </c>
      <c r="O649">
        <v>0</v>
      </c>
      <c r="P649" s="13">
        <v>1.5189999999999999</v>
      </c>
      <c r="Q649" t="s">
        <v>52</v>
      </c>
      <c r="R649">
        <v>80</v>
      </c>
      <c r="S649">
        <v>12</v>
      </c>
      <c r="T649" t="s">
        <v>164</v>
      </c>
      <c r="U649" t="s">
        <v>164</v>
      </c>
      <c r="V649" s="7">
        <v>0.25475420124940718</v>
      </c>
      <c r="W649">
        <v>214.82</v>
      </c>
      <c r="X649" s="13">
        <v>0.95</v>
      </c>
      <c r="Y649">
        <v>14.1</v>
      </c>
      <c r="Z649">
        <v>11.56</v>
      </c>
      <c r="AA649">
        <v>5</v>
      </c>
      <c r="AB649">
        <v>25</v>
      </c>
      <c r="AC649" s="21">
        <f>100/60</f>
        <v>1.6666666666666667</v>
      </c>
      <c r="AD649">
        <f t="shared" si="9"/>
        <v>0.2</v>
      </c>
      <c r="AE649">
        <v>50</v>
      </c>
      <c r="AF649" s="11">
        <v>0.92</v>
      </c>
    </row>
    <row r="650" spans="1:32" x14ac:dyDescent="0.3">
      <c r="A650" t="s">
        <v>126</v>
      </c>
      <c r="B650" t="s">
        <v>15</v>
      </c>
      <c r="C650">
        <v>0.28000000000000003</v>
      </c>
      <c r="D650">
        <v>331.34</v>
      </c>
      <c r="E650">
        <v>2.2000000000000002</v>
      </c>
      <c r="F650">
        <v>2.34</v>
      </c>
      <c r="G650">
        <v>0.7</v>
      </c>
      <c r="H650">
        <v>2.52</v>
      </c>
      <c r="I650">
        <v>2.3047</v>
      </c>
      <c r="J650">
        <v>72.900000000000006</v>
      </c>
      <c r="K650" t="s">
        <v>55</v>
      </c>
      <c r="L650" t="s">
        <v>51</v>
      </c>
      <c r="M650">
        <v>3</v>
      </c>
      <c r="N650">
        <v>27.222000000000001</v>
      </c>
      <c r="O650">
        <v>0</v>
      </c>
      <c r="P650" s="13">
        <v>1.5189999999999999</v>
      </c>
      <c r="Q650" t="s">
        <v>52</v>
      </c>
      <c r="R650">
        <v>80</v>
      </c>
      <c r="S650">
        <v>12</v>
      </c>
      <c r="T650" t="s">
        <v>164</v>
      </c>
      <c r="U650" t="s">
        <v>164</v>
      </c>
      <c r="V650" s="7">
        <v>0.25475420124940718</v>
      </c>
      <c r="W650">
        <v>214.82</v>
      </c>
      <c r="X650" s="13">
        <v>0.95</v>
      </c>
      <c r="Y650">
        <v>14.1</v>
      </c>
      <c r="Z650">
        <v>11.56</v>
      </c>
      <c r="AA650">
        <v>5</v>
      </c>
      <c r="AB650">
        <v>25</v>
      </c>
      <c r="AC650" s="21">
        <f>125/60</f>
        <v>2.0833333333333335</v>
      </c>
      <c r="AD650">
        <f t="shared" si="9"/>
        <v>0.2</v>
      </c>
      <c r="AE650">
        <v>50</v>
      </c>
      <c r="AF650" s="11">
        <v>0.95240000000000014</v>
      </c>
    </row>
    <row r="651" spans="1:32" x14ac:dyDescent="0.3">
      <c r="A651" t="s">
        <v>126</v>
      </c>
      <c r="B651" t="s">
        <v>15</v>
      </c>
      <c r="C651">
        <v>0.28000000000000003</v>
      </c>
      <c r="D651">
        <v>331.34</v>
      </c>
      <c r="E651">
        <v>2.2000000000000002</v>
      </c>
      <c r="F651">
        <v>2.34</v>
      </c>
      <c r="G651">
        <v>0.7</v>
      </c>
      <c r="H651">
        <v>2.52</v>
      </c>
      <c r="I651">
        <v>2.3047</v>
      </c>
      <c r="J651">
        <v>72.900000000000006</v>
      </c>
      <c r="K651" t="s">
        <v>55</v>
      </c>
      <c r="L651" t="s">
        <v>51</v>
      </c>
      <c r="M651">
        <v>3</v>
      </c>
      <c r="N651">
        <v>27.222000000000001</v>
      </c>
      <c r="O651">
        <v>0</v>
      </c>
      <c r="P651" s="13">
        <v>1.5189999999999999</v>
      </c>
      <c r="Q651" t="s">
        <v>52</v>
      </c>
      <c r="R651">
        <v>80</v>
      </c>
      <c r="S651">
        <v>12</v>
      </c>
      <c r="T651" t="s">
        <v>164</v>
      </c>
      <c r="U651" t="s">
        <v>164</v>
      </c>
      <c r="V651" s="7">
        <v>0.25475420124940718</v>
      </c>
      <c r="W651">
        <v>214.82</v>
      </c>
      <c r="X651" s="13">
        <v>0.95</v>
      </c>
      <c r="Y651">
        <v>14.1</v>
      </c>
      <c r="Z651">
        <v>11.56</v>
      </c>
      <c r="AA651">
        <v>5</v>
      </c>
      <c r="AB651">
        <v>25</v>
      </c>
      <c r="AC651" s="21">
        <f>250/60</f>
        <v>4.166666666666667</v>
      </c>
      <c r="AD651">
        <f t="shared" si="9"/>
        <v>0.2</v>
      </c>
      <c r="AE651">
        <v>50</v>
      </c>
      <c r="AF651" s="11">
        <v>0.95240000000000014</v>
      </c>
    </row>
    <row r="652" spans="1:32" x14ac:dyDescent="0.3">
      <c r="A652" t="s">
        <v>126</v>
      </c>
      <c r="B652" t="s">
        <v>15</v>
      </c>
      <c r="C652">
        <v>0.28000000000000003</v>
      </c>
      <c r="D652">
        <v>331.34</v>
      </c>
      <c r="E652">
        <v>2.2000000000000002</v>
      </c>
      <c r="F652">
        <v>2.34</v>
      </c>
      <c r="G652">
        <v>0.7</v>
      </c>
      <c r="H652">
        <v>2.52</v>
      </c>
      <c r="I652">
        <v>2.3047</v>
      </c>
      <c r="J652">
        <v>72.900000000000006</v>
      </c>
      <c r="K652" t="s">
        <v>55</v>
      </c>
      <c r="L652" t="s">
        <v>51</v>
      </c>
      <c r="M652">
        <v>3</v>
      </c>
      <c r="N652">
        <v>27.222000000000001</v>
      </c>
      <c r="O652">
        <v>0</v>
      </c>
      <c r="P652" s="13">
        <v>1.5189999999999999</v>
      </c>
      <c r="Q652" t="s">
        <v>52</v>
      </c>
      <c r="R652">
        <v>80</v>
      </c>
      <c r="S652">
        <v>12</v>
      </c>
      <c r="T652" t="s">
        <v>164</v>
      </c>
      <c r="U652" t="s">
        <v>164</v>
      </c>
      <c r="V652" s="7">
        <v>0.25475420124940718</v>
      </c>
      <c r="W652">
        <v>214.82</v>
      </c>
      <c r="X652" s="13">
        <v>0.95</v>
      </c>
      <c r="Y652">
        <v>14.1</v>
      </c>
      <c r="Z652">
        <v>11.56</v>
      </c>
      <c r="AA652">
        <v>5</v>
      </c>
      <c r="AB652">
        <v>25</v>
      </c>
      <c r="AC652" s="17">
        <f>375/60</f>
        <v>6.25</v>
      </c>
      <c r="AD652">
        <f t="shared" si="9"/>
        <v>0.2</v>
      </c>
      <c r="AE652">
        <v>50</v>
      </c>
      <c r="AF652" s="11">
        <v>0.95240000000000014</v>
      </c>
    </row>
    <row r="653" spans="1:32" x14ac:dyDescent="0.3">
      <c r="A653" t="s">
        <v>126</v>
      </c>
      <c r="B653" t="s">
        <v>15</v>
      </c>
      <c r="C653">
        <v>0.28000000000000003</v>
      </c>
      <c r="D653">
        <v>331.34</v>
      </c>
      <c r="E653">
        <v>2.2000000000000002</v>
      </c>
      <c r="F653">
        <v>2.34</v>
      </c>
      <c r="G653">
        <v>0.7</v>
      </c>
      <c r="H653">
        <v>2.52</v>
      </c>
      <c r="I653">
        <v>2.3047</v>
      </c>
      <c r="J653">
        <v>72.900000000000006</v>
      </c>
      <c r="K653" t="s">
        <v>55</v>
      </c>
      <c r="L653" t="s">
        <v>51</v>
      </c>
      <c r="M653">
        <v>3</v>
      </c>
      <c r="N653">
        <v>27.222000000000001</v>
      </c>
      <c r="O653">
        <v>0</v>
      </c>
      <c r="P653" s="13">
        <v>1.5189999999999999</v>
      </c>
      <c r="Q653" t="s">
        <v>52</v>
      </c>
      <c r="R653">
        <v>80</v>
      </c>
      <c r="S653">
        <v>12</v>
      </c>
      <c r="T653" t="s">
        <v>164</v>
      </c>
      <c r="U653" t="s">
        <v>164</v>
      </c>
      <c r="V653" s="7">
        <v>0.25475420124940718</v>
      </c>
      <c r="W653">
        <v>214.82</v>
      </c>
      <c r="X653" s="13">
        <v>0.95</v>
      </c>
      <c r="Y653">
        <v>14.1</v>
      </c>
      <c r="Z653">
        <v>11.56</v>
      </c>
      <c r="AA653">
        <v>5</v>
      </c>
      <c r="AB653">
        <v>25</v>
      </c>
      <c r="AC653" s="17">
        <f>750/60</f>
        <v>12.5</v>
      </c>
      <c r="AD653">
        <f t="shared" si="9"/>
        <v>0.2</v>
      </c>
      <c r="AE653">
        <v>50</v>
      </c>
      <c r="AF653" s="11">
        <v>0.95240000000000014</v>
      </c>
    </row>
    <row r="654" spans="1:32" x14ac:dyDescent="0.3">
      <c r="A654" t="s">
        <v>126</v>
      </c>
      <c r="B654" t="s">
        <v>15</v>
      </c>
      <c r="C654">
        <v>0.28000000000000003</v>
      </c>
      <c r="D654">
        <v>331.34</v>
      </c>
      <c r="E654">
        <v>2.2000000000000002</v>
      </c>
      <c r="F654">
        <v>2.34</v>
      </c>
      <c r="G654">
        <v>0.7</v>
      </c>
      <c r="H654">
        <v>2.52</v>
      </c>
      <c r="I654">
        <v>2.3047</v>
      </c>
      <c r="J654">
        <v>72.900000000000006</v>
      </c>
      <c r="K654" t="s">
        <v>55</v>
      </c>
      <c r="L654" t="s">
        <v>51</v>
      </c>
      <c r="M654">
        <v>3</v>
      </c>
      <c r="N654">
        <v>27.222000000000001</v>
      </c>
      <c r="O654">
        <v>0</v>
      </c>
      <c r="P654" s="13">
        <v>1.5189999999999999</v>
      </c>
      <c r="Q654" t="s">
        <v>52</v>
      </c>
      <c r="R654">
        <v>80</v>
      </c>
      <c r="S654">
        <v>12</v>
      </c>
      <c r="T654" t="s">
        <v>164</v>
      </c>
      <c r="U654" t="s">
        <v>164</v>
      </c>
      <c r="V654" s="7">
        <v>0.25475420124940718</v>
      </c>
      <c r="W654">
        <v>214.82</v>
      </c>
      <c r="X654" s="13">
        <v>0.95</v>
      </c>
      <c r="Y654">
        <v>14.1</v>
      </c>
      <c r="Z654">
        <v>11.56</v>
      </c>
      <c r="AA654">
        <v>5</v>
      </c>
      <c r="AB654">
        <v>25</v>
      </c>
      <c r="AC654" s="20">
        <f>1300/60</f>
        <v>21.666666666666668</v>
      </c>
      <c r="AD654">
        <f t="shared" si="9"/>
        <v>0.2</v>
      </c>
      <c r="AE654">
        <v>50</v>
      </c>
      <c r="AF654" s="11">
        <v>0.14000000000000001</v>
      </c>
    </row>
    <row r="655" spans="1:32" x14ac:dyDescent="0.3">
      <c r="A655" t="s">
        <v>126</v>
      </c>
      <c r="B655" t="s">
        <v>15</v>
      </c>
      <c r="C655">
        <v>0.28000000000000003</v>
      </c>
      <c r="D655">
        <v>331.34</v>
      </c>
      <c r="E655">
        <v>2.2000000000000002</v>
      </c>
      <c r="F655">
        <v>2.34</v>
      </c>
      <c r="G655">
        <v>0.7</v>
      </c>
      <c r="H655">
        <v>2.52</v>
      </c>
      <c r="I655">
        <v>2.3047</v>
      </c>
      <c r="J655">
        <v>72.900000000000006</v>
      </c>
      <c r="K655" t="s">
        <v>55</v>
      </c>
      <c r="L655" t="s">
        <v>51</v>
      </c>
      <c r="M655">
        <v>3</v>
      </c>
      <c r="N655">
        <v>27.222000000000001</v>
      </c>
      <c r="O655">
        <v>0</v>
      </c>
      <c r="P655" s="13">
        <v>1.5189999999999999</v>
      </c>
      <c r="Q655" t="s">
        <v>52</v>
      </c>
      <c r="R655">
        <v>80</v>
      </c>
      <c r="S655">
        <v>12</v>
      </c>
      <c r="T655" t="s">
        <v>164</v>
      </c>
      <c r="U655" t="s">
        <v>164</v>
      </c>
      <c r="V655" s="7">
        <v>0.25475420124940718</v>
      </c>
      <c r="W655">
        <v>214.82</v>
      </c>
      <c r="X655" s="13">
        <v>0.95</v>
      </c>
      <c r="Y655">
        <v>14.1</v>
      </c>
      <c r="Z655">
        <v>11.56</v>
      </c>
      <c r="AA655">
        <v>5</v>
      </c>
      <c r="AB655">
        <v>25</v>
      </c>
      <c r="AC655" s="17">
        <f>1440/60</f>
        <v>24</v>
      </c>
      <c r="AD655">
        <f t="shared" si="9"/>
        <v>0.2</v>
      </c>
      <c r="AE655">
        <v>50</v>
      </c>
      <c r="AF655" s="11">
        <v>0.95240000000000014</v>
      </c>
    </row>
    <row r="656" spans="1:32" x14ac:dyDescent="0.3">
      <c r="A656" t="s">
        <v>127</v>
      </c>
      <c r="B656" t="s">
        <v>128</v>
      </c>
      <c r="C656">
        <v>1.7</v>
      </c>
      <c r="D656">
        <v>440.4</v>
      </c>
      <c r="E656">
        <v>1.8</v>
      </c>
      <c r="F656">
        <v>2.2000000000000002</v>
      </c>
      <c r="G656">
        <v>0.8</v>
      </c>
      <c r="H656">
        <v>1.1000000000000001</v>
      </c>
      <c r="I656">
        <v>3.3</v>
      </c>
      <c r="J656">
        <v>120</v>
      </c>
      <c r="K656" t="s">
        <v>138</v>
      </c>
      <c r="L656" t="s">
        <v>46</v>
      </c>
      <c r="M656">
        <v>6</v>
      </c>
      <c r="N656" s="1">
        <v>61.254800000000003</v>
      </c>
      <c r="O656">
        <v>8</v>
      </c>
      <c r="P656" s="13">
        <v>1.77</v>
      </c>
      <c r="Q656" t="s">
        <v>52</v>
      </c>
      <c r="R656">
        <v>70</v>
      </c>
      <c r="S656">
        <v>24</v>
      </c>
      <c r="T656">
        <v>200</v>
      </c>
      <c r="U656">
        <v>6</v>
      </c>
      <c r="V656" s="7">
        <v>0.78241680204573549</v>
      </c>
      <c r="W656">
        <v>206.63</v>
      </c>
      <c r="X656" s="23"/>
      <c r="Y656">
        <v>5.3917000000000002</v>
      </c>
      <c r="Z656">
        <v>7.8</v>
      </c>
      <c r="AA656">
        <v>5</v>
      </c>
      <c r="AB656">
        <v>25</v>
      </c>
      <c r="AC656" s="17">
        <v>24</v>
      </c>
      <c r="AD656">
        <f>0.05/0.05</f>
        <v>1</v>
      </c>
      <c r="AE656">
        <v>100</v>
      </c>
      <c r="AF656" s="16">
        <v>0.81200000000000006</v>
      </c>
    </row>
    <row r="657" spans="1:32" x14ac:dyDescent="0.3">
      <c r="A657" t="s">
        <v>127</v>
      </c>
      <c r="B657" t="s">
        <v>128</v>
      </c>
      <c r="C657">
        <v>1.7</v>
      </c>
      <c r="D657">
        <v>440.4</v>
      </c>
      <c r="E657">
        <v>1.8</v>
      </c>
      <c r="F657">
        <v>2.2000000000000002</v>
      </c>
      <c r="G657">
        <v>0.8</v>
      </c>
      <c r="H657">
        <v>1.1000000000000001</v>
      </c>
      <c r="I657">
        <v>3.3</v>
      </c>
      <c r="J657">
        <v>120</v>
      </c>
      <c r="K657" t="s">
        <v>138</v>
      </c>
      <c r="L657" t="s">
        <v>46</v>
      </c>
      <c r="M657">
        <v>6</v>
      </c>
      <c r="N657" s="1">
        <v>61.254800000000003</v>
      </c>
      <c r="O657">
        <v>8</v>
      </c>
      <c r="P657" s="13">
        <v>1.77</v>
      </c>
      <c r="Q657" t="s">
        <v>52</v>
      </c>
      <c r="R657">
        <v>70</v>
      </c>
      <c r="S657">
        <v>24</v>
      </c>
      <c r="T657">
        <v>200</v>
      </c>
      <c r="U657">
        <v>6</v>
      </c>
      <c r="V657" s="7">
        <v>0.78241680204573549</v>
      </c>
      <c r="W657">
        <v>206.63</v>
      </c>
      <c r="X657" s="23"/>
      <c r="Y657">
        <v>5.3917000000000002</v>
      </c>
      <c r="Z657">
        <v>7.8</v>
      </c>
      <c r="AA657">
        <v>6</v>
      </c>
      <c r="AB657">
        <v>25</v>
      </c>
      <c r="AC657" s="17">
        <v>24</v>
      </c>
      <c r="AD657">
        <f t="shared" ref="AD657:AD660" si="10">0.05/0.05</f>
        <v>1</v>
      </c>
      <c r="AE657">
        <v>100</v>
      </c>
      <c r="AF657" s="11">
        <v>0.85</v>
      </c>
    </row>
    <row r="658" spans="1:32" x14ac:dyDescent="0.3">
      <c r="A658" t="s">
        <v>127</v>
      </c>
      <c r="B658" t="s">
        <v>128</v>
      </c>
      <c r="C658">
        <v>1.7</v>
      </c>
      <c r="D658">
        <v>440.4</v>
      </c>
      <c r="E658">
        <v>1.8</v>
      </c>
      <c r="F658">
        <v>2.2000000000000002</v>
      </c>
      <c r="G658">
        <v>0.8</v>
      </c>
      <c r="H658">
        <v>1.1000000000000001</v>
      </c>
      <c r="I658">
        <v>3.3</v>
      </c>
      <c r="J658">
        <v>120</v>
      </c>
      <c r="K658" t="s">
        <v>138</v>
      </c>
      <c r="L658" t="s">
        <v>46</v>
      </c>
      <c r="M658">
        <v>6</v>
      </c>
      <c r="N658" s="1">
        <v>61.254800000000003</v>
      </c>
      <c r="O658">
        <v>8</v>
      </c>
      <c r="P658" s="13">
        <v>1.77</v>
      </c>
      <c r="Q658" t="s">
        <v>52</v>
      </c>
      <c r="R658">
        <v>70</v>
      </c>
      <c r="S658">
        <v>24</v>
      </c>
      <c r="T658">
        <v>200</v>
      </c>
      <c r="U658">
        <v>6</v>
      </c>
      <c r="V658" s="7">
        <v>0.78241680204573549</v>
      </c>
      <c r="W658">
        <v>206.63</v>
      </c>
      <c r="X658" s="23"/>
      <c r="Y658">
        <v>5.3917000000000002</v>
      </c>
      <c r="Z658">
        <v>7.8</v>
      </c>
      <c r="AA658">
        <v>7</v>
      </c>
      <c r="AB658">
        <v>25</v>
      </c>
      <c r="AC658" s="17">
        <v>24</v>
      </c>
      <c r="AD658">
        <f t="shared" si="10"/>
        <v>1</v>
      </c>
      <c r="AE658">
        <v>100</v>
      </c>
      <c r="AF658" s="11">
        <v>0.93</v>
      </c>
    </row>
    <row r="659" spans="1:32" x14ac:dyDescent="0.3">
      <c r="A659" t="s">
        <v>127</v>
      </c>
      <c r="B659" t="s">
        <v>128</v>
      </c>
      <c r="C659">
        <v>1.7</v>
      </c>
      <c r="D659">
        <v>440.4</v>
      </c>
      <c r="E659">
        <v>1.8</v>
      </c>
      <c r="F659">
        <v>2.2000000000000002</v>
      </c>
      <c r="G659">
        <v>0.8</v>
      </c>
      <c r="H659">
        <v>1.1000000000000001</v>
      </c>
      <c r="I659">
        <v>3.3</v>
      </c>
      <c r="J659">
        <v>120</v>
      </c>
      <c r="K659" t="s">
        <v>138</v>
      </c>
      <c r="L659" t="s">
        <v>46</v>
      </c>
      <c r="M659">
        <v>6</v>
      </c>
      <c r="N659" s="1">
        <v>61.254800000000003</v>
      </c>
      <c r="O659">
        <v>8</v>
      </c>
      <c r="P659" s="13">
        <v>1.77</v>
      </c>
      <c r="Q659" t="s">
        <v>52</v>
      </c>
      <c r="R659">
        <v>70</v>
      </c>
      <c r="S659">
        <v>24</v>
      </c>
      <c r="T659">
        <v>200</v>
      </c>
      <c r="U659">
        <v>6</v>
      </c>
      <c r="V659" s="7">
        <v>0.78241680204573549</v>
      </c>
      <c r="W659">
        <v>206.63</v>
      </c>
      <c r="X659" s="23"/>
      <c r="Y659">
        <v>5.3917000000000002</v>
      </c>
      <c r="Z659">
        <v>7.8</v>
      </c>
      <c r="AA659">
        <v>8</v>
      </c>
      <c r="AB659">
        <v>25</v>
      </c>
      <c r="AC659" s="17">
        <v>24</v>
      </c>
      <c r="AD659">
        <f t="shared" si="10"/>
        <v>1</v>
      </c>
      <c r="AE659">
        <v>100</v>
      </c>
      <c r="AF659" s="11">
        <v>0.9</v>
      </c>
    </row>
    <row r="660" spans="1:32" x14ac:dyDescent="0.3">
      <c r="A660" t="s">
        <v>127</v>
      </c>
      <c r="B660" t="s">
        <v>128</v>
      </c>
      <c r="C660">
        <v>1.7</v>
      </c>
      <c r="D660">
        <v>440.4</v>
      </c>
      <c r="E660">
        <v>1.8</v>
      </c>
      <c r="F660">
        <v>2.2000000000000002</v>
      </c>
      <c r="G660">
        <v>0.8</v>
      </c>
      <c r="H660">
        <v>1.1000000000000001</v>
      </c>
      <c r="I660">
        <v>3.3</v>
      </c>
      <c r="J660">
        <v>120</v>
      </c>
      <c r="K660" t="s">
        <v>138</v>
      </c>
      <c r="L660" t="s">
        <v>46</v>
      </c>
      <c r="M660">
        <v>6</v>
      </c>
      <c r="N660" s="1">
        <v>61.254800000000003</v>
      </c>
      <c r="O660">
        <v>8</v>
      </c>
      <c r="P660" s="13">
        <v>1.77</v>
      </c>
      <c r="Q660" t="s">
        <v>52</v>
      </c>
      <c r="R660">
        <v>70</v>
      </c>
      <c r="S660">
        <v>24</v>
      </c>
      <c r="T660">
        <v>200</v>
      </c>
      <c r="U660">
        <v>6</v>
      </c>
      <c r="V660" s="7">
        <v>0.78241680204573549</v>
      </c>
      <c r="W660">
        <v>206.63</v>
      </c>
      <c r="X660" s="23"/>
      <c r="Y660">
        <v>5.3917000000000002</v>
      </c>
      <c r="Z660">
        <v>7.8</v>
      </c>
      <c r="AA660">
        <v>9</v>
      </c>
      <c r="AB660">
        <v>25</v>
      </c>
      <c r="AC660" s="17">
        <v>24</v>
      </c>
      <c r="AD660">
        <f t="shared" si="10"/>
        <v>1</v>
      </c>
      <c r="AE660">
        <v>100</v>
      </c>
      <c r="AF660" s="16">
        <v>0.88400000000000001</v>
      </c>
    </row>
    <row r="661" spans="1:32" x14ac:dyDescent="0.3">
      <c r="A661" t="s">
        <v>127</v>
      </c>
      <c r="B661" t="s">
        <v>128</v>
      </c>
      <c r="C661">
        <v>1.7</v>
      </c>
      <c r="D661">
        <v>440.4</v>
      </c>
      <c r="E661">
        <v>1.8</v>
      </c>
      <c r="F661">
        <v>2.2000000000000002</v>
      </c>
      <c r="G661">
        <v>0.8</v>
      </c>
      <c r="H661">
        <v>1.1000000000000001</v>
      </c>
      <c r="I661">
        <v>3.3</v>
      </c>
      <c r="J661">
        <v>120</v>
      </c>
      <c r="K661" t="s">
        <v>138</v>
      </c>
      <c r="L661" t="s">
        <v>46</v>
      </c>
      <c r="M661">
        <v>6</v>
      </c>
      <c r="N661" s="1">
        <v>61.254800000000003</v>
      </c>
      <c r="O661">
        <v>8</v>
      </c>
      <c r="P661" s="13">
        <v>1.77</v>
      </c>
      <c r="Q661" t="s">
        <v>52</v>
      </c>
      <c r="R661">
        <v>70</v>
      </c>
      <c r="S661">
        <v>24</v>
      </c>
      <c r="T661">
        <v>200</v>
      </c>
      <c r="U661">
        <v>6</v>
      </c>
      <c r="V661" s="7">
        <v>0.78241680204573549</v>
      </c>
      <c r="W661">
        <v>206.63</v>
      </c>
      <c r="X661" s="23"/>
      <c r="Y661">
        <v>5.3917000000000002</v>
      </c>
      <c r="Z661">
        <v>7.8</v>
      </c>
      <c r="AA661">
        <v>7</v>
      </c>
      <c r="AB661">
        <v>30</v>
      </c>
      <c r="AC661" s="17">
        <v>1</v>
      </c>
      <c r="AD661">
        <f>0.03/0.05</f>
        <v>0.6</v>
      </c>
      <c r="AE661">
        <v>100</v>
      </c>
      <c r="AF661" s="11">
        <v>0.24</v>
      </c>
    </row>
    <row r="662" spans="1:32" x14ac:dyDescent="0.3">
      <c r="A662" t="s">
        <v>127</v>
      </c>
      <c r="B662" t="s">
        <v>128</v>
      </c>
      <c r="C662">
        <v>1.7</v>
      </c>
      <c r="D662">
        <v>440.4</v>
      </c>
      <c r="E662">
        <v>1.8</v>
      </c>
      <c r="F662">
        <v>2.2000000000000002</v>
      </c>
      <c r="G662">
        <v>0.8</v>
      </c>
      <c r="H662">
        <v>1.1000000000000001</v>
      </c>
      <c r="I662">
        <v>3.3</v>
      </c>
      <c r="J662">
        <v>120</v>
      </c>
      <c r="K662" t="s">
        <v>138</v>
      </c>
      <c r="L662" t="s">
        <v>46</v>
      </c>
      <c r="M662">
        <v>6</v>
      </c>
      <c r="N662" s="1">
        <v>61.254800000000003</v>
      </c>
      <c r="O662">
        <v>8</v>
      </c>
      <c r="P662" s="13">
        <v>1.77</v>
      </c>
      <c r="Q662" t="s">
        <v>52</v>
      </c>
      <c r="R662">
        <v>70</v>
      </c>
      <c r="S662">
        <v>24</v>
      </c>
      <c r="T662">
        <v>200</v>
      </c>
      <c r="U662">
        <v>6</v>
      </c>
      <c r="V662" s="7">
        <v>0.78241680204573549</v>
      </c>
      <c r="W662">
        <v>206.63</v>
      </c>
      <c r="X662" s="23"/>
      <c r="Y662">
        <v>5.3917000000000002</v>
      </c>
      <c r="Z662">
        <v>7.8</v>
      </c>
      <c r="AA662">
        <v>7</v>
      </c>
      <c r="AB662">
        <v>30</v>
      </c>
      <c r="AC662" s="17">
        <v>1</v>
      </c>
      <c r="AD662">
        <f>0.05/0.05</f>
        <v>1</v>
      </c>
      <c r="AE662">
        <v>100</v>
      </c>
      <c r="AF662" s="11">
        <v>0.4</v>
      </c>
    </row>
    <row r="663" spans="1:32" x14ac:dyDescent="0.3">
      <c r="A663" t="s">
        <v>127</v>
      </c>
      <c r="B663" t="s">
        <v>128</v>
      </c>
      <c r="C663">
        <v>1.7</v>
      </c>
      <c r="D663">
        <v>440.4</v>
      </c>
      <c r="E663">
        <v>1.8</v>
      </c>
      <c r="F663">
        <v>2.2000000000000002</v>
      </c>
      <c r="G663">
        <v>0.8</v>
      </c>
      <c r="H663">
        <v>1.1000000000000001</v>
      </c>
      <c r="I663">
        <v>3.3</v>
      </c>
      <c r="J663">
        <v>120</v>
      </c>
      <c r="K663" t="s">
        <v>138</v>
      </c>
      <c r="L663" t="s">
        <v>46</v>
      </c>
      <c r="M663">
        <v>6</v>
      </c>
      <c r="N663" s="1">
        <v>61.254800000000003</v>
      </c>
      <c r="O663">
        <v>8</v>
      </c>
      <c r="P663" s="13">
        <v>1.77</v>
      </c>
      <c r="Q663" t="s">
        <v>52</v>
      </c>
      <c r="R663">
        <v>70</v>
      </c>
      <c r="S663">
        <v>24</v>
      </c>
      <c r="T663">
        <v>200</v>
      </c>
      <c r="U663">
        <v>6</v>
      </c>
      <c r="V663" s="7">
        <v>0.78241680204573549</v>
      </c>
      <c r="W663">
        <v>206.63</v>
      </c>
      <c r="X663" s="23"/>
      <c r="Y663">
        <v>5.3917000000000002</v>
      </c>
      <c r="Z663">
        <v>7.8</v>
      </c>
      <c r="AA663">
        <v>7</v>
      </c>
      <c r="AB663">
        <v>30</v>
      </c>
      <c r="AC663" s="17">
        <v>1</v>
      </c>
      <c r="AD663">
        <f>0.07/0.05</f>
        <v>1.4000000000000001</v>
      </c>
      <c r="AE663">
        <v>100</v>
      </c>
      <c r="AF663" s="11">
        <v>0.6</v>
      </c>
    </row>
    <row r="664" spans="1:32" x14ac:dyDescent="0.3">
      <c r="A664" t="s">
        <v>127</v>
      </c>
      <c r="B664" t="s">
        <v>128</v>
      </c>
      <c r="C664">
        <v>1.7</v>
      </c>
      <c r="D664">
        <v>440.4</v>
      </c>
      <c r="E664">
        <v>1.8</v>
      </c>
      <c r="F664">
        <v>2.2000000000000002</v>
      </c>
      <c r="G664">
        <v>0.8</v>
      </c>
      <c r="H664">
        <v>1.1000000000000001</v>
      </c>
      <c r="I664">
        <v>3.3</v>
      </c>
      <c r="J664">
        <v>120</v>
      </c>
      <c r="K664" t="s">
        <v>138</v>
      </c>
      <c r="L664" t="s">
        <v>46</v>
      </c>
      <c r="M664">
        <v>6</v>
      </c>
      <c r="N664" s="1">
        <v>61.254800000000003</v>
      </c>
      <c r="O664">
        <v>8</v>
      </c>
      <c r="P664" s="13">
        <v>1.77</v>
      </c>
      <c r="Q664" t="s">
        <v>52</v>
      </c>
      <c r="R664">
        <v>70</v>
      </c>
      <c r="S664">
        <v>24</v>
      </c>
      <c r="T664">
        <v>200</v>
      </c>
      <c r="U664">
        <v>6</v>
      </c>
      <c r="V664" s="7">
        <v>0.78241680204573549</v>
      </c>
      <c r="W664">
        <v>206.63</v>
      </c>
      <c r="X664" s="23"/>
      <c r="Y664">
        <v>5.3917000000000002</v>
      </c>
      <c r="Z664">
        <v>7.8</v>
      </c>
      <c r="AA664">
        <v>7</v>
      </c>
      <c r="AB664">
        <v>30</v>
      </c>
      <c r="AC664" s="17">
        <v>1</v>
      </c>
      <c r="AD664">
        <f>0.1/0.05</f>
        <v>2</v>
      </c>
      <c r="AE664">
        <v>100</v>
      </c>
      <c r="AF664" s="11">
        <v>0.72</v>
      </c>
    </row>
    <row r="665" spans="1:32" x14ac:dyDescent="0.3">
      <c r="A665" t="s">
        <v>127</v>
      </c>
      <c r="B665" t="s">
        <v>128</v>
      </c>
      <c r="C665">
        <v>1.7</v>
      </c>
      <c r="D665">
        <v>440.4</v>
      </c>
      <c r="E665">
        <v>1.8</v>
      </c>
      <c r="F665">
        <v>2.2000000000000002</v>
      </c>
      <c r="G665">
        <v>0.8</v>
      </c>
      <c r="H665">
        <v>1.1000000000000001</v>
      </c>
      <c r="I665">
        <v>3.3</v>
      </c>
      <c r="J665">
        <v>120</v>
      </c>
      <c r="K665" t="s">
        <v>138</v>
      </c>
      <c r="L665" t="s">
        <v>46</v>
      </c>
      <c r="M665">
        <v>6</v>
      </c>
      <c r="N665" s="1">
        <v>61.254800000000003</v>
      </c>
      <c r="O665">
        <v>8</v>
      </c>
      <c r="P665" s="13">
        <v>1.77</v>
      </c>
      <c r="Q665" t="s">
        <v>52</v>
      </c>
      <c r="R665">
        <v>70</v>
      </c>
      <c r="S665">
        <v>24</v>
      </c>
      <c r="T665">
        <v>200</v>
      </c>
      <c r="U665">
        <v>6</v>
      </c>
      <c r="V665" s="7">
        <v>0.78241680204573549</v>
      </c>
      <c r="W665">
        <v>206.63</v>
      </c>
      <c r="X665" s="23"/>
      <c r="Y665">
        <v>5.3917000000000002</v>
      </c>
      <c r="Z665">
        <v>7.8</v>
      </c>
      <c r="AA665">
        <v>7</v>
      </c>
      <c r="AB665">
        <v>30</v>
      </c>
      <c r="AC665" s="17">
        <v>1</v>
      </c>
      <c r="AD665">
        <f>0.2/0.05</f>
        <v>4</v>
      </c>
      <c r="AE665">
        <v>100</v>
      </c>
      <c r="AF665" s="11">
        <v>0.86</v>
      </c>
    </row>
    <row r="666" spans="1:32" x14ac:dyDescent="0.3">
      <c r="A666" t="s">
        <v>127</v>
      </c>
      <c r="B666" t="s">
        <v>128</v>
      </c>
      <c r="C666">
        <v>1.7</v>
      </c>
      <c r="D666">
        <v>440.4</v>
      </c>
      <c r="E666">
        <v>1.8</v>
      </c>
      <c r="F666">
        <v>2.2000000000000002</v>
      </c>
      <c r="G666">
        <v>0.8</v>
      </c>
      <c r="H666">
        <v>1.1000000000000001</v>
      </c>
      <c r="I666">
        <v>3.3</v>
      </c>
      <c r="J666">
        <v>120</v>
      </c>
      <c r="K666" t="s">
        <v>138</v>
      </c>
      <c r="L666" t="s">
        <v>46</v>
      </c>
      <c r="M666">
        <v>6</v>
      </c>
      <c r="N666" s="1">
        <v>61.254800000000003</v>
      </c>
      <c r="O666">
        <v>8</v>
      </c>
      <c r="P666" s="13">
        <v>1.77</v>
      </c>
      <c r="Q666" t="s">
        <v>52</v>
      </c>
      <c r="R666">
        <v>70</v>
      </c>
      <c r="S666">
        <v>24</v>
      </c>
      <c r="T666">
        <v>200</v>
      </c>
      <c r="U666">
        <v>6</v>
      </c>
      <c r="V666" s="7">
        <v>0.78241680204573549</v>
      </c>
      <c r="W666">
        <v>206.63</v>
      </c>
      <c r="X666" s="23"/>
      <c r="Y666">
        <v>5.3917000000000002</v>
      </c>
      <c r="Z666">
        <v>7.8</v>
      </c>
      <c r="AA666">
        <v>7</v>
      </c>
      <c r="AB666">
        <v>30</v>
      </c>
      <c r="AC666" s="17">
        <v>1</v>
      </c>
      <c r="AD666">
        <f>0.3/0.05</f>
        <v>5.9999999999999991</v>
      </c>
      <c r="AE666">
        <v>100</v>
      </c>
      <c r="AF666" s="11">
        <v>0.86</v>
      </c>
    </row>
    <row r="667" spans="1:32" x14ac:dyDescent="0.3">
      <c r="A667" t="s">
        <v>127</v>
      </c>
      <c r="B667" t="s">
        <v>128</v>
      </c>
      <c r="C667">
        <v>1.7</v>
      </c>
      <c r="D667">
        <v>440.4</v>
      </c>
      <c r="E667">
        <v>1.8</v>
      </c>
      <c r="F667">
        <v>2.2000000000000002</v>
      </c>
      <c r="G667">
        <v>0.8</v>
      </c>
      <c r="H667">
        <v>1.1000000000000001</v>
      </c>
      <c r="I667">
        <v>3.3</v>
      </c>
      <c r="J667">
        <v>120</v>
      </c>
      <c r="K667" t="s">
        <v>138</v>
      </c>
      <c r="L667" t="s">
        <v>46</v>
      </c>
      <c r="M667">
        <v>6</v>
      </c>
      <c r="N667" s="1">
        <v>61.254800000000003</v>
      </c>
      <c r="O667">
        <v>8</v>
      </c>
      <c r="P667" s="13">
        <v>1.77</v>
      </c>
      <c r="Q667" t="s">
        <v>52</v>
      </c>
      <c r="R667">
        <v>70</v>
      </c>
      <c r="S667">
        <v>24</v>
      </c>
      <c r="T667">
        <v>200</v>
      </c>
      <c r="U667">
        <v>6</v>
      </c>
      <c r="V667" s="7">
        <v>0.78241680204573549</v>
      </c>
      <c r="W667">
        <v>206.63</v>
      </c>
      <c r="X667" s="23"/>
      <c r="Y667">
        <v>5.3917000000000002</v>
      </c>
      <c r="Z667">
        <v>7.8</v>
      </c>
      <c r="AA667">
        <v>7</v>
      </c>
      <c r="AB667">
        <v>15</v>
      </c>
      <c r="AC667" s="17">
        <v>24</v>
      </c>
      <c r="AD667">
        <f>0.2/0.05</f>
        <v>4</v>
      </c>
      <c r="AE667">
        <v>100</v>
      </c>
      <c r="AF667" s="16">
        <v>0.78400000000000003</v>
      </c>
    </row>
    <row r="668" spans="1:32" x14ac:dyDescent="0.3">
      <c r="A668" t="s">
        <v>127</v>
      </c>
      <c r="B668" t="s">
        <v>128</v>
      </c>
      <c r="C668">
        <v>1.7</v>
      </c>
      <c r="D668">
        <v>440.4</v>
      </c>
      <c r="E668">
        <v>1.8</v>
      </c>
      <c r="F668">
        <v>2.2000000000000002</v>
      </c>
      <c r="G668">
        <v>0.8</v>
      </c>
      <c r="H668">
        <v>1.1000000000000001</v>
      </c>
      <c r="I668">
        <v>3.3</v>
      </c>
      <c r="J668">
        <v>120</v>
      </c>
      <c r="K668" t="s">
        <v>138</v>
      </c>
      <c r="L668" t="s">
        <v>46</v>
      </c>
      <c r="M668">
        <v>6</v>
      </c>
      <c r="N668" s="1">
        <v>61.254800000000003</v>
      </c>
      <c r="O668">
        <v>8</v>
      </c>
      <c r="P668" s="13">
        <v>1.77</v>
      </c>
      <c r="Q668" t="s">
        <v>52</v>
      </c>
      <c r="R668">
        <v>70</v>
      </c>
      <c r="S668">
        <v>24</v>
      </c>
      <c r="T668">
        <v>200</v>
      </c>
      <c r="U668">
        <v>6</v>
      </c>
      <c r="V668" s="7">
        <v>0.78241680204573549</v>
      </c>
      <c r="W668">
        <v>206.63</v>
      </c>
      <c r="X668" s="23"/>
      <c r="Y668">
        <v>5.3917000000000002</v>
      </c>
      <c r="Z668">
        <v>7.8</v>
      </c>
      <c r="AA668">
        <v>7</v>
      </c>
      <c r="AB668">
        <v>25</v>
      </c>
      <c r="AC668" s="17">
        <v>24</v>
      </c>
      <c r="AD668">
        <f t="shared" ref="AD668:AD678" si="11">0.2/0.05</f>
        <v>4</v>
      </c>
      <c r="AE668">
        <v>100</v>
      </c>
      <c r="AF668" s="11">
        <v>0.85599999999999998</v>
      </c>
    </row>
    <row r="669" spans="1:32" x14ac:dyDescent="0.3">
      <c r="A669" t="s">
        <v>127</v>
      </c>
      <c r="B669" t="s">
        <v>128</v>
      </c>
      <c r="C669">
        <v>1.7</v>
      </c>
      <c r="D669">
        <v>440.4</v>
      </c>
      <c r="E669">
        <v>1.8</v>
      </c>
      <c r="F669">
        <v>2.2000000000000002</v>
      </c>
      <c r="G669">
        <v>0.8</v>
      </c>
      <c r="H669">
        <v>1.1000000000000001</v>
      </c>
      <c r="I669">
        <v>3.3</v>
      </c>
      <c r="J669">
        <v>120</v>
      </c>
      <c r="K669" t="s">
        <v>138</v>
      </c>
      <c r="L669" t="s">
        <v>46</v>
      </c>
      <c r="M669">
        <v>6</v>
      </c>
      <c r="N669" s="1">
        <v>61.254800000000003</v>
      </c>
      <c r="O669">
        <v>8</v>
      </c>
      <c r="P669" s="13">
        <v>1.77</v>
      </c>
      <c r="Q669" t="s">
        <v>52</v>
      </c>
      <c r="R669">
        <v>70</v>
      </c>
      <c r="S669">
        <v>24</v>
      </c>
      <c r="T669">
        <v>200</v>
      </c>
      <c r="U669">
        <v>6</v>
      </c>
      <c r="V669" s="7">
        <v>0.78241680204573549</v>
      </c>
      <c r="W669">
        <v>206.63</v>
      </c>
      <c r="X669" s="23"/>
      <c r="Y669">
        <v>5.3917000000000002</v>
      </c>
      <c r="Z669">
        <v>7.8</v>
      </c>
      <c r="AA669">
        <v>7</v>
      </c>
      <c r="AB669">
        <v>30</v>
      </c>
      <c r="AC669" s="17">
        <v>24</v>
      </c>
      <c r="AD669">
        <f t="shared" si="11"/>
        <v>4</v>
      </c>
      <c r="AE669">
        <v>100</v>
      </c>
      <c r="AF669" s="11">
        <v>0.88</v>
      </c>
    </row>
    <row r="670" spans="1:32" x14ac:dyDescent="0.3">
      <c r="A670" t="s">
        <v>127</v>
      </c>
      <c r="B670" t="s">
        <v>128</v>
      </c>
      <c r="C670">
        <v>1.7</v>
      </c>
      <c r="D670">
        <v>440.4</v>
      </c>
      <c r="E670">
        <v>1.8</v>
      </c>
      <c r="F670">
        <v>2.2000000000000002</v>
      </c>
      <c r="G670">
        <v>0.8</v>
      </c>
      <c r="H670">
        <v>1.1000000000000001</v>
      </c>
      <c r="I670">
        <v>3.3</v>
      </c>
      <c r="J670">
        <v>120</v>
      </c>
      <c r="K670" t="s">
        <v>138</v>
      </c>
      <c r="L670" t="s">
        <v>46</v>
      </c>
      <c r="M670">
        <v>6</v>
      </c>
      <c r="N670" s="1">
        <v>61.254800000000003</v>
      </c>
      <c r="O670">
        <v>8</v>
      </c>
      <c r="P670" s="13">
        <v>1.77</v>
      </c>
      <c r="Q670" t="s">
        <v>52</v>
      </c>
      <c r="R670">
        <v>70</v>
      </c>
      <c r="S670">
        <v>24</v>
      </c>
      <c r="T670">
        <v>200</v>
      </c>
      <c r="U670">
        <v>6</v>
      </c>
      <c r="V670" s="7">
        <v>0.78241680204573549</v>
      </c>
      <c r="W670">
        <v>206.63</v>
      </c>
      <c r="X670" s="23"/>
      <c r="Y670">
        <v>5.3917000000000002</v>
      </c>
      <c r="Z670">
        <v>7.8</v>
      </c>
      <c r="AA670">
        <v>7</v>
      </c>
      <c r="AB670">
        <v>35</v>
      </c>
      <c r="AC670" s="17">
        <v>24</v>
      </c>
      <c r="AD670">
        <f t="shared" si="11"/>
        <v>4</v>
      </c>
      <c r="AE670">
        <v>100</v>
      </c>
      <c r="AF670" s="11">
        <v>0.9</v>
      </c>
    </row>
    <row r="671" spans="1:32" x14ac:dyDescent="0.3">
      <c r="A671" t="s">
        <v>127</v>
      </c>
      <c r="B671" t="s">
        <v>128</v>
      </c>
      <c r="C671">
        <v>1.7</v>
      </c>
      <c r="D671">
        <v>440.4</v>
      </c>
      <c r="E671">
        <v>1.8</v>
      </c>
      <c r="F671">
        <v>2.2000000000000002</v>
      </c>
      <c r="G671">
        <v>0.8</v>
      </c>
      <c r="H671">
        <v>1.1000000000000001</v>
      </c>
      <c r="I671">
        <v>3.3</v>
      </c>
      <c r="J671">
        <v>120</v>
      </c>
      <c r="K671" t="s">
        <v>138</v>
      </c>
      <c r="L671" t="s">
        <v>46</v>
      </c>
      <c r="M671">
        <v>6</v>
      </c>
      <c r="N671" s="1">
        <v>61.254800000000003</v>
      </c>
      <c r="O671">
        <v>8</v>
      </c>
      <c r="P671" s="13">
        <v>1.77</v>
      </c>
      <c r="Q671" t="s">
        <v>52</v>
      </c>
      <c r="R671">
        <v>70</v>
      </c>
      <c r="S671">
        <v>24</v>
      </c>
      <c r="T671">
        <v>200</v>
      </c>
      <c r="U671">
        <v>6</v>
      </c>
      <c r="V671" s="7">
        <v>0.78241680204573549</v>
      </c>
      <c r="W671">
        <v>206.63</v>
      </c>
      <c r="X671" s="23"/>
      <c r="Y671">
        <v>5.3917000000000002</v>
      </c>
      <c r="Z671">
        <v>7.8</v>
      </c>
      <c r="AA671">
        <v>7</v>
      </c>
      <c r="AB671">
        <v>40</v>
      </c>
      <c r="AC671" s="17">
        <v>24</v>
      </c>
      <c r="AD671">
        <f t="shared" si="11"/>
        <v>4</v>
      </c>
      <c r="AE671">
        <v>100</v>
      </c>
      <c r="AF671" s="11">
        <v>0.92</v>
      </c>
    </row>
    <row r="672" spans="1:32" x14ac:dyDescent="0.3">
      <c r="A672" t="s">
        <v>127</v>
      </c>
      <c r="B672" t="s">
        <v>128</v>
      </c>
      <c r="C672">
        <v>1.7</v>
      </c>
      <c r="D672">
        <v>440.4</v>
      </c>
      <c r="E672">
        <v>1.8</v>
      </c>
      <c r="F672">
        <v>2.2000000000000002</v>
      </c>
      <c r="G672">
        <v>0.8</v>
      </c>
      <c r="H672">
        <v>1.1000000000000001</v>
      </c>
      <c r="I672">
        <v>3.3</v>
      </c>
      <c r="J672">
        <v>120</v>
      </c>
      <c r="K672" t="s">
        <v>138</v>
      </c>
      <c r="L672" t="s">
        <v>46</v>
      </c>
      <c r="M672">
        <v>6</v>
      </c>
      <c r="N672" s="1">
        <v>61.254800000000003</v>
      </c>
      <c r="O672">
        <v>8</v>
      </c>
      <c r="P672" s="13">
        <v>1.77</v>
      </c>
      <c r="Q672" t="s">
        <v>52</v>
      </c>
      <c r="R672">
        <v>70</v>
      </c>
      <c r="S672">
        <v>24</v>
      </c>
      <c r="T672">
        <v>200</v>
      </c>
      <c r="U672">
        <v>6</v>
      </c>
      <c r="V672" s="7">
        <v>0.78241680204573549</v>
      </c>
      <c r="W672">
        <v>206.63</v>
      </c>
      <c r="X672" s="23"/>
      <c r="Y672">
        <v>5.3917000000000002</v>
      </c>
      <c r="Z672">
        <v>7.8</v>
      </c>
      <c r="AA672">
        <v>7</v>
      </c>
      <c r="AB672">
        <v>25</v>
      </c>
      <c r="AC672" s="17">
        <f>90/60</f>
        <v>1.5</v>
      </c>
      <c r="AD672">
        <f t="shared" si="11"/>
        <v>4</v>
      </c>
      <c r="AE672">
        <v>100</v>
      </c>
      <c r="AF672" s="11">
        <v>0.45</v>
      </c>
    </row>
    <row r="673" spans="1:32" x14ac:dyDescent="0.3">
      <c r="A673" t="s">
        <v>127</v>
      </c>
      <c r="B673" t="s">
        <v>128</v>
      </c>
      <c r="C673">
        <v>1.7</v>
      </c>
      <c r="D673">
        <v>440.4</v>
      </c>
      <c r="E673">
        <v>1.8</v>
      </c>
      <c r="F673">
        <v>2.2000000000000002</v>
      </c>
      <c r="G673">
        <v>0.8</v>
      </c>
      <c r="H673">
        <v>1.1000000000000001</v>
      </c>
      <c r="I673">
        <v>3.3</v>
      </c>
      <c r="J673">
        <v>120</v>
      </c>
      <c r="K673" t="s">
        <v>138</v>
      </c>
      <c r="L673" t="s">
        <v>46</v>
      </c>
      <c r="M673">
        <v>6</v>
      </c>
      <c r="N673" s="1">
        <v>61.254800000000003</v>
      </c>
      <c r="O673">
        <v>8</v>
      </c>
      <c r="P673" s="13">
        <v>1.77</v>
      </c>
      <c r="Q673" t="s">
        <v>52</v>
      </c>
      <c r="R673">
        <v>70</v>
      </c>
      <c r="S673">
        <v>24</v>
      </c>
      <c r="T673">
        <v>200</v>
      </c>
      <c r="U673">
        <v>6</v>
      </c>
      <c r="V673" s="7">
        <v>0.78241680204573549</v>
      </c>
      <c r="W673">
        <v>206.63</v>
      </c>
      <c r="X673" s="23"/>
      <c r="Y673">
        <v>5.3917000000000002</v>
      </c>
      <c r="Z673">
        <v>7.8</v>
      </c>
      <c r="AA673">
        <v>7</v>
      </c>
      <c r="AB673">
        <v>25</v>
      </c>
      <c r="AC673" s="17">
        <f>120/60</f>
        <v>2</v>
      </c>
      <c r="AD673">
        <f t="shared" si="11"/>
        <v>4</v>
      </c>
      <c r="AE673">
        <v>100</v>
      </c>
      <c r="AF673" s="11">
        <v>0.56000000000000005</v>
      </c>
    </row>
    <row r="674" spans="1:32" x14ac:dyDescent="0.3">
      <c r="A674" t="s">
        <v>127</v>
      </c>
      <c r="B674" t="s">
        <v>128</v>
      </c>
      <c r="C674">
        <v>1.7</v>
      </c>
      <c r="D674">
        <v>440.4</v>
      </c>
      <c r="E674">
        <v>1.8</v>
      </c>
      <c r="F674">
        <v>2.2000000000000002</v>
      </c>
      <c r="G674">
        <v>0.8</v>
      </c>
      <c r="H674">
        <v>1.1000000000000001</v>
      </c>
      <c r="I674">
        <v>3.3</v>
      </c>
      <c r="J674">
        <v>120</v>
      </c>
      <c r="K674" t="s">
        <v>138</v>
      </c>
      <c r="L674" t="s">
        <v>46</v>
      </c>
      <c r="M674">
        <v>6</v>
      </c>
      <c r="N674" s="1">
        <v>61.254800000000003</v>
      </c>
      <c r="O674">
        <v>8</v>
      </c>
      <c r="P674" s="13">
        <v>1.77</v>
      </c>
      <c r="Q674" t="s">
        <v>52</v>
      </c>
      <c r="R674">
        <v>70</v>
      </c>
      <c r="S674">
        <v>24</v>
      </c>
      <c r="T674">
        <v>200</v>
      </c>
      <c r="U674">
        <v>6</v>
      </c>
      <c r="V674" s="7">
        <v>0.78241680204573549</v>
      </c>
      <c r="W674">
        <v>206.63</v>
      </c>
      <c r="X674" s="23"/>
      <c r="Y674">
        <v>5.3917000000000002</v>
      </c>
      <c r="Z674">
        <v>7.8</v>
      </c>
      <c r="AA674">
        <v>7</v>
      </c>
      <c r="AB674">
        <v>25</v>
      </c>
      <c r="AC674" s="20">
        <f>250/60</f>
        <v>4.166666666666667</v>
      </c>
      <c r="AD674">
        <f t="shared" si="11"/>
        <v>4</v>
      </c>
      <c r="AE674">
        <v>100</v>
      </c>
      <c r="AF674" s="11">
        <v>0.6</v>
      </c>
    </row>
    <row r="675" spans="1:32" x14ac:dyDescent="0.3">
      <c r="A675" t="s">
        <v>127</v>
      </c>
      <c r="B675" t="s">
        <v>128</v>
      </c>
      <c r="C675">
        <v>1.7</v>
      </c>
      <c r="D675">
        <v>440.4</v>
      </c>
      <c r="E675">
        <v>1.8</v>
      </c>
      <c r="F675">
        <v>2.2000000000000002</v>
      </c>
      <c r="G675">
        <v>0.8</v>
      </c>
      <c r="H675">
        <v>1.1000000000000001</v>
      </c>
      <c r="I675">
        <v>3.3</v>
      </c>
      <c r="J675">
        <v>120</v>
      </c>
      <c r="K675" t="s">
        <v>138</v>
      </c>
      <c r="L675" t="s">
        <v>46</v>
      </c>
      <c r="M675">
        <v>6</v>
      </c>
      <c r="N675" s="1">
        <v>61.254800000000003</v>
      </c>
      <c r="O675">
        <v>8</v>
      </c>
      <c r="P675" s="13">
        <v>1.77</v>
      </c>
      <c r="Q675" t="s">
        <v>52</v>
      </c>
      <c r="R675">
        <v>70</v>
      </c>
      <c r="S675">
        <v>24</v>
      </c>
      <c r="T675">
        <v>200</v>
      </c>
      <c r="U675">
        <v>6</v>
      </c>
      <c r="V675" s="7">
        <v>0.78241680204573549</v>
      </c>
      <c r="W675">
        <v>206.63</v>
      </c>
      <c r="X675" s="23"/>
      <c r="Y675">
        <v>5.3917000000000002</v>
      </c>
      <c r="Z675">
        <v>7.8</v>
      </c>
      <c r="AA675">
        <v>7</v>
      </c>
      <c r="AB675">
        <v>25</v>
      </c>
      <c r="AC675" s="20">
        <f>390/60</f>
        <v>6.5</v>
      </c>
      <c r="AD675">
        <f t="shared" si="11"/>
        <v>4</v>
      </c>
      <c r="AE675">
        <v>100</v>
      </c>
      <c r="AF675" s="11">
        <v>0.6</v>
      </c>
    </row>
    <row r="676" spans="1:32" x14ac:dyDescent="0.3">
      <c r="A676" t="s">
        <v>127</v>
      </c>
      <c r="B676" t="s">
        <v>128</v>
      </c>
      <c r="C676">
        <v>1.7</v>
      </c>
      <c r="D676">
        <v>440.4</v>
      </c>
      <c r="E676">
        <v>1.8</v>
      </c>
      <c r="F676">
        <v>2.2000000000000002</v>
      </c>
      <c r="G676">
        <v>0.8</v>
      </c>
      <c r="H676">
        <v>1.1000000000000001</v>
      </c>
      <c r="I676">
        <v>3.3</v>
      </c>
      <c r="J676">
        <v>120</v>
      </c>
      <c r="K676" t="s">
        <v>138</v>
      </c>
      <c r="L676" t="s">
        <v>46</v>
      </c>
      <c r="M676">
        <v>6</v>
      </c>
      <c r="N676" s="1">
        <v>61.254800000000003</v>
      </c>
      <c r="O676">
        <v>8</v>
      </c>
      <c r="P676" s="13">
        <v>1.77</v>
      </c>
      <c r="Q676" t="s">
        <v>52</v>
      </c>
      <c r="R676">
        <v>70</v>
      </c>
      <c r="S676">
        <v>24</v>
      </c>
      <c r="T676">
        <v>200</v>
      </c>
      <c r="U676">
        <v>6</v>
      </c>
      <c r="V676" s="7">
        <v>0.78241680204573549</v>
      </c>
      <c r="W676">
        <v>206.63</v>
      </c>
      <c r="X676" s="23"/>
      <c r="Y676">
        <v>5.3917000000000002</v>
      </c>
      <c r="Z676">
        <v>7.8</v>
      </c>
      <c r="AA676">
        <v>7</v>
      </c>
      <c r="AB676">
        <v>25</v>
      </c>
      <c r="AC676" s="20">
        <f>500/60</f>
        <v>8.3333333333333339</v>
      </c>
      <c r="AD676">
        <f t="shared" si="11"/>
        <v>4</v>
      </c>
      <c r="AE676">
        <v>100</v>
      </c>
      <c r="AF676" s="11">
        <v>0.6</v>
      </c>
    </row>
    <row r="677" spans="1:32" x14ac:dyDescent="0.3">
      <c r="A677" t="s">
        <v>127</v>
      </c>
      <c r="B677" t="s">
        <v>128</v>
      </c>
      <c r="C677">
        <v>1.7</v>
      </c>
      <c r="D677">
        <v>440.4</v>
      </c>
      <c r="E677">
        <v>1.8</v>
      </c>
      <c r="F677">
        <v>2.2000000000000002</v>
      </c>
      <c r="G677">
        <v>0.8</v>
      </c>
      <c r="H677">
        <v>1.1000000000000001</v>
      </c>
      <c r="I677">
        <v>3.3</v>
      </c>
      <c r="J677">
        <v>120</v>
      </c>
      <c r="K677" t="s">
        <v>138</v>
      </c>
      <c r="L677" t="s">
        <v>46</v>
      </c>
      <c r="M677">
        <v>6</v>
      </c>
      <c r="N677" s="1">
        <v>61.254800000000003</v>
      </c>
      <c r="O677">
        <v>8</v>
      </c>
      <c r="P677" s="13">
        <v>1.77</v>
      </c>
      <c r="Q677" t="s">
        <v>52</v>
      </c>
      <c r="R677">
        <v>70</v>
      </c>
      <c r="S677">
        <v>24</v>
      </c>
      <c r="T677">
        <v>200</v>
      </c>
      <c r="U677">
        <v>6</v>
      </c>
      <c r="V677" s="7">
        <v>0.78241680204573549</v>
      </c>
      <c r="W677">
        <v>206.63</v>
      </c>
      <c r="X677" s="23"/>
      <c r="Y677">
        <v>5.3917000000000002</v>
      </c>
      <c r="Z677">
        <v>7.8</v>
      </c>
      <c r="AA677">
        <v>7</v>
      </c>
      <c r="AB677">
        <v>25</v>
      </c>
      <c r="AC677" s="20">
        <f>710/60</f>
        <v>11.833333333333334</v>
      </c>
      <c r="AD677">
        <f t="shared" si="11"/>
        <v>4</v>
      </c>
      <c r="AE677">
        <v>100</v>
      </c>
      <c r="AF677" s="11">
        <v>0.6</v>
      </c>
    </row>
    <row r="678" spans="1:32" x14ac:dyDescent="0.3">
      <c r="A678" t="s">
        <v>127</v>
      </c>
      <c r="B678" t="s">
        <v>128</v>
      </c>
      <c r="C678">
        <v>1.7</v>
      </c>
      <c r="D678">
        <v>440.4</v>
      </c>
      <c r="E678">
        <v>1.8</v>
      </c>
      <c r="F678">
        <v>2.2000000000000002</v>
      </c>
      <c r="G678">
        <v>0.8</v>
      </c>
      <c r="H678">
        <v>1.1000000000000001</v>
      </c>
      <c r="I678">
        <v>3.3</v>
      </c>
      <c r="J678">
        <v>120</v>
      </c>
      <c r="K678" t="s">
        <v>138</v>
      </c>
      <c r="L678" t="s">
        <v>46</v>
      </c>
      <c r="M678">
        <v>6</v>
      </c>
      <c r="N678" s="1">
        <v>61.254800000000003</v>
      </c>
      <c r="O678">
        <v>8</v>
      </c>
      <c r="P678" s="13">
        <v>1.77</v>
      </c>
      <c r="Q678" t="s">
        <v>52</v>
      </c>
      <c r="R678">
        <v>70</v>
      </c>
      <c r="S678">
        <v>24</v>
      </c>
      <c r="T678">
        <v>200</v>
      </c>
      <c r="U678">
        <v>6</v>
      </c>
      <c r="V678" s="7">
        <v>0.78241680204573549</v>
      </c>
      <c r="W678">
        <v>206.63</v>
      </c>
      <c r="X678" s="23"/>
      <c r="Y678">
        <v>5.3917000000000002</v>
      </c>
      <c r="Z678">
        <v>7.8</v>
      </c>
      <c r="AA678">
        <v>7</v>
      </c>
      <c r="AB678">
        <v>25</v>
      </c>
      <c r="AC678" s="20">
        <f>1450/60</f>
        <v>24.166666666666668</v>
      </c>
      <c r="AD678">
        <f t="shared" si="11"/>
        <v>4</v>
      </c>
      <c r="AE678">
        <v>100</v>
      </c>
      <c r="AF678" s="11">
        <v>0.6</v>
      </c>
    </row>
    <row r="679" spans="1:32" x14ac:dyDescent="0.3">
      <c r="A679" t="s">
        <v>129</v>
      </c>
      <c r="B679" t="s">
        <v>130</v>
      </c>
      <c r="C679">
        <v>-0.2</v>
      </c>
      <c r="D679">
        <v>437.9</v>
      </c>
      <c r="E679">
        <v>1.5</v>
      </c>
      <c r="F679">
        <v>2</v>
      </c>
      <c r="G679">
        <v>0.6</v>
      </c>
      <c r="H679">
        <v>1.6</v>
      </c>
      <c r="I679">
        <v>3</v>
      </c>
      <c r="J679">
        <v>82.1</v>
      </c>
      <c r="K679" t="s">
        <v>137</v>
      </c>
      <c r="L679" t="s">
        <v>46</v>
      </c>
      <c r="M679">
        <v>4</v>
      </c>
      <c r="N679" s="1">
        <v>60.893999999999998</v>
      </c>
      <c r="O679">
        <v>7.8</v>
      </c>
      <c r="P679" s="13">
        <v>1.778</v>
      </c>
      <c r="Q679" t="s">
        <v>52</v>
      </c>
      <c r="R679">
        <v>50</v>
      </c>
      <c r="S679">
        <v>24</v>
      </c>
      <c r="T679" t="s">
        <v>164</v>
      </c>
      <c r="U679" t="s">
        <v>164</v>
      </c>
      <c r="V679" s="7">
        <v>0.78241680204573549</v>
      </c>
      <c r="W679">
        <v>155.9</v>
      </c>
      <c r="X679">
        <v>0.26400000000000001</v>
      </c>
      <c r="Y679">
        <v>8.4160000000000004</v>
      </c>
      <c r="Z679">
        <v>6.75</v>
      </c>
      <c r="AA679">
        <v>3</v>
      </c>
      <c r="AB679">
        <v>25</v>
      </c>
      <c r="AC679" s="17">
        <v>1</v>
      </c>
      <c r="AD679">
        <f>0.02/0.05</f>
        <v>0.39999999999999997</v>
      </c>
      <c r="AE679">
        <v>100</v>
      </c>
      <c r="AF679" s="11">
        <v>0.35</v>
      </c>
    </row>
    <row r="680" spans="1:32" x14ac:dyDescent="0.3">
      <c r="A680" t="s">
        <v>129</v>
      </c>
      <c r="B680" t="s">
        <v>130</v>
      </c>
      <c r="C680">
        <v>-0.2</v>
      </c>
      <c r="D680">
        <v>437.9</v>
      </c>
      <c r="E680">
        <v>1.5</v>
      </c>
      <c r="F680">
        <v>2</v>
      </c>
      <c r="G680">
        <v>0.6</v>
      </c>
      <c r="H680">
        <v>1.6</v>
      </c>
      <c r="I680">
        <v>3</v>
      </c>
      <c r="J680">
        <v>82.1</v>
      </c>
      <c r="K680" t="s">
        <v>137</v>
      </c>
      <c r="L680" t="s">
        <v>46</v>
      </c>
      <c r="M680">
        <v>4</v>
      </c>
      <c r="N680" s="1">
        <v>60.893999999999998</v>
      </c>
      <c r="O680">
        <v>7.8</v>
      </c>
      <c r="P680" s="13">
        <v>1.778</v>
      </c>
      <c r="Q680" t="s">
        <v>52</v>
      </c>
      <c r="R680">
        <v>50</v>
      </c>
      <c r="S680">
        <v>24</v>
      </c>
      <c r="T680" t="s">
        <v>164</v>
      </c>
      <c r="U680" t="s">
        <v>164</v>
      </c>
      <c r="V680" s="7">
        <v>0.78241680204573549</v>
      </c>
      <c r="W680">
        <v>155.9</v>
      </c>
      <c r="X680">
        <v>0.26400000000000001</v>
      </c>
      <c r="Y680">
        <v>8.4160000000000004</v>
      </c>
      <c r="Z680">
        <v>6.75</v>
      </c>
      <c r="AA680">
        <v>5</v>
      </c>
      <c r="AB680">
        <v>25</v>
      </c>
      <c r="AC680" s="17">
        <v>1</v>
      </c>
      <c r="AD680">
        <f t="shared" ref="AD680:AD683" si="12">0.02/0.05</f>
        <v>0.39999999999999997</v>
      </c>
      <c r="AE680">
        <v>100</v>
      </c>
      <c r="AF680" s="11">
        <v>0.55000000000000004</v>
      </c>
    </row>
    <row r="681" spans="1:32" x14ac:dyDescent="0.3">
      <c r="A681" t="s">
        <v>129</v>
      </c>
      <c r="B681" t="s">
        <v>130</v>
      </c>
      <c r="C681">
        <v>-0.2</v>
      </c>
      <c r="D681">
        <v>437.9</v>
      </c>
      <c r="E681">
        <v>1.5</v>
      </c>
      <c r="F681">
        <v>2</v>
      </c>
      <c r="G681">
        <v>0.6</v>
      </c>
      <c r="H681">
        <v>1.6</v>
      </c>
      <c r="I681">
        <v>3</v>
      </c>
      <c r="J681">
        <v>82.1</v>
      </c>
      <c r="K681" t="s">
        <v>137</v>
      </c>
      <c r="L681" t="s">
        <v>46</v>
      </c>
      <c r="M681">
        <v>4</v>
      </c>
      <c r="N681" s="1">
        <v>60.893999999999998</v>
      </c>
      <c r="O681">
        <v>7.8</v>
      </c>
      <c r="P681" s="13">
        <v>1.778</v>
      </c>
      <c r="Q681" t="s">
        <v>52</v>
      </c>
      <c r="R681">
        <v>50</v>
      </c>
      <c r="S681">
        <v>24</v>
      </c>
      <c r="T681" t="s">
        <v>164</v>
      </c>
      <c r="U681" t="s">
        <v>164</v>
      </c>
      <c r="V681" s="7">
        <v>0.78241680204573549</v>
      </c>
      <c r="W681">
        <v>155.9</v>
      </c>
      <c r="X681">
        <v>0.26400000000000001</v>
      </c>
      <c r="Y681">
        <v>8.4160000000000004</v>
      </c>
      <c r="Z681">
        <v>6.75</v>
      </c>
      <c r="AA681">
        <v>7</v>
      </c>
      <c r="AB681">
        <v>25</v>
      </c>
      <c r="AC681" s="17">
        <v>1</v>
      </c>
      <c r="AD681">
        <f t="shared" si="12"/>
        <v>0.39999999999999997</v>
      </c>
      <c r="AE681">
        <v>100</v>
      </c>
      <c r="AF681" s="11">
        <v>0.65</v>
      </c>
    </row>
    <row r="682" spans="1:32" x14ac:dyDescent="0.3">
      <c r="A682" t="s">
        <v>129</v>
      </c>
      <c r="B682" t="s">
        <v>130</v>
      </c>
      <c r="C682">
        <v>-0.2</v>
      </c>
      <c r="D682">
        <v>437.9</v>
      </c>
      <c r="E682">
        <v>1.5</v>
      </c>
      <c r="F682">
        <v>2</v>
      </c>
      <c r="G682">
        <v>0.6</v>
      </c>
      <c r="H682">
        <v>1.6</v>
      </c>
      <c r="I682">
        <v>3</v>
      </c>
      <c r="J682">
        <v>82.1</v>
      </c>
      <c r="K682" t="s">
        <v>137</v>
      </c>
      <c r="L682" t="s">
        <v>46</v>
      </c>
      <c r="M682">
        <v>4</v>
      </c>
      <c r="N682" s="1">
        <v>60.893999999999998</v>
      </c>
      <c r="O682">
        <v>7.8</v>
      </c>
      <c r="P682" s="13">
        <v>1.778</v>
      </c>
      <c r="Q682" t="s">
        <v>52</v>
      </c>
      <c r="R682">
        <v>50</v>
      </c>
      <c r="S682">
        <v>24</v>
      </c>
      <c r="T682" t="s">
        <v>164</v>
      </c>
      <c r="U682" t="s">
        <v>164</v>
      </c>
      <c r="V682" s="7">
        <v>0.78241680204573549</v>
      </c>
      <c r="W682">
        <v>155.9</v>
      </c>
      <c r="X682">
        <v>0.26400000000000001</v>
      </c>
      <c r="Y682">
        <v>8.4160000000000004</v>
      </c>
      <c r="Z682">
        <v>6.75</v>
      </c>
      <c r="AA682">
        <v>9</v>
      </c>
      <c r="AB682">
        <v>25</v>
      </c>
      <c r="AC682" s="17">
        <v>1</v>
      </c>
      <c r="AD682">
        <f t="shared" si="12"/>
        <v>0.39999999999999997</v>
      </c>
      <c r="AE682">
        <v>100</v>
      </c>
      <c r="AF682" s="11">
        <v>0.8</v>
      </c>
    </row>
    <row r="683" spans="1:32" x14ac:dyDescent="0.3">
      <c r="A683" t="s">
        <v>129</v>
      </c>
      <c r="B683" t="s">
        <v>130</v>
      </c>
      <c r="C683">
        <v>-0.2</v>
      </c>
      <c r="D683">
        <v>437.9</v>
      </c>
      <c r="E683">
        <v>1.5</v>
      </c>
      <c r="F683">
        <v>2</v>
      </c>
      <c r="G683">
        <v>0.6</v>
      </c>
      <c r="H683">
        <v>1.6</v>
      </c>
      <c r="I683">
        <v>3</v>
      </c>
      <c r="J683">
        <v>82.1</v>
      </c>
      <c r="K683" t="s">
        <v>137</v>
      </c>
      <c r="L683" t="s">
        <v>46</v>
      </c>
      <c r="M683">
        <v>4</v>
      </c>
      <c r="N683" s="1">
        <v>60.893999999999998</v>
      </c>
      <c r="O683">
        <v>7.8</v>
      </c>
      <c r="P683" s="13">
        <v>1.778</v>
      </c>
      <c r="Q683" t="s">
        <v>52</v>
      </c>
      <c r="R683">
        <v>50</v>
      </c>
      <c r="S683">
        <v>24</v>
      </c>
      <c r="T683" t="s">
        <v>164</v>
      </c>
      <c r="U683" t="s">
        <v>164</v>
      </c>
      <c r="V683" s="7">
        <v>0.78241680204573549</v>
      </c>
      <c r="W683">
        <v>155.9</v>
      </c>
      <c r="X683">
        <v>0.26400000000000001</v>
      </c>
      <c r="Y683">
        <v>8.4160000000000004</v>
      </c>
      <c r="Z683">
        <v>6.75</v>
      </c>
      <c r="AA683">
        <v>11</v>
      </c>
      <c r="AB683">
        <v>25</v>
      </c>
      <c r="AC683" s="17">
        <v>1</v>
      </c>
      <c r="AD683">
        <f t="shared" si="12"/>
        <v>0.39999999999999997</v>
      </c>
      <c r="AE683">
        <v>100</v>
      </c>
      <c r="AF683" s="11">
        <v>0.25</v>
      </c>
    </row>
    <row r="684" spans="1:32" x14ac:dyDescent="0.3">
      <c r="A684" t="s">
        <v>129</v>
      </c>
      <c r="B684" t="s">
        <v>130</v>
      </c>
      <c r="C684">
        <v>-0.2</v>
      </c>
      <c r="D684">
        <v>437.9</v>
      </c>
      <c r="E684">
        <v>1.5</v>
      </c>
      <c r="F684">
        <v>2</v>
      </c>
      <c r="G684">
        <v>0.6</v>
      </c>
      <c r="H684">
        <v>1.6</v>
      </c>
      <c r="I684">
        <v>3</v>
      </c>
      <c r="J684">
        <v>82.1</v>
      </c>
      <c r="K684" t="s">
        <v>137</v>
      </c>
      <c r="L684" t="s">
        <v>46</v>
      </c>
      <c r="M684">
        <v>4</v>
      </c>
      <c r="N684" s="1">
        <v>60.893999999999998</v>
      </c>
      <c r="O684">
        <v>7.8</v>
      </c>
      <c r="P684" s="13">
        <v>1.778</v>
      </c>
      <c r="Q684" t="s">
        <v>52</v>
      </c>
      <c r="R684">
        <v>50</v>
      </c>
      <c r="S684">
        <v>24</v>
      </c>
      <c r="T684" t="s">
        <v>164</v>
      </c>
      <c r="U684" t="s">
        <v>164</v>
      </c>
      <c r="V684" s="7">
        <v>0.78241680204573549</v>
      </c>
      <c r="W684">
        <v>155.9</v>
      </c>
      <c r="X684">
        <v>0.26400000000000001</v>
      </c>
      <c r="Y684">
        <v>8.4160000000000004</v>
      </c>
      <c r="Z684">
        <v>6.75</v>
      </c>
      <c r="AA684">
        <v>9</v>
      </c>
      <c r="AB684">
        <v>25</v>
      </c>
      <c r="AC684" s="17">
        <v>1</v>
      </c>
      <c r="AD684">
        <v>10</v>
      </c>
      <c r="AE684">
        <v>100</v>
      </c>
      <c r="AF684" s="11">
        <v>0.47</v>
      </c>
    </row>
    <row r="685" spans="1:32" x14ac:dyDescent="0.3">
      <c r="A685" t="s">
        <v>129</v>
      </c>
      <c r="B685" t="s">
        <v>130</v>
      </c>
      <c r="C685">
        <v>-0.2</v>
      </c>
      <c r="D685">
        <v>437.9</v>
      </c>
      <c r="E685">
        <v>1.5</v>
      </c>
      <c r="F685">
        <v>2</v>
      </c>
      <c r="G685">
        <v>0.6</v>
      </c>
      <c r="H685">
        <v>1.6</v>
      </c>
      <c r="I685">
        <v>3</v>
      </c>
      <c r="J685">
        <v>82.1</v>
      </c>
      <c r="K685" t="s">
        <v>137</v>
      </c>
      <c r="L685" t="s">
        <v>46</v>
      </c>
      <c r="M685">
        <v>4</v>
      </c>
      <c r="N685" s="1">
        <v>60.893999999999998</v>
      </c>
      <c r="O685">
        <v>7.8</v>
      </c>
      <c r="P685" s="13">
        <v>1.778</v>
      </c>
      <c r="Q685" t="s">
        <v>52</v>
      </c>
      <c r="R685">
        <v>50</v>
      </c>
      <c r="S685">
        <v>24</v>
      </c>
      <c r="T685" t="s">
        <v>164</v>
      </c>
      <c r="U685" t="s">
        <v>164</v>
      </c>
      <c r="V685" s="7">
        <v>0.78241680204573549</v>
      </c>
      <c r="W685">
        <v>155.9</v>
      </c>
      <c r="X685">
        <v>0.26400000000000001</v>
      </c>
      <c r="Y685">
        <v>8.4160000000000004</v>
      </c>
      <c r="Z685">
        <v>6.75</v>
      </c>
      <c r="AA685">
        <v>9</v>
      </c>
      <c r="AB685">
        <v>25</v>
      </c>
      <c r="AC685" s="17">
        <v>1</v>
      </c>
      <c r="AD685">
        <v>20</v>
      </c>
      <c r="AE685">
        <v>100</v>
      </c>
      <c r="AF685" s="11">
        <v>0.75</v>
      </c>
    </row>
    <row r="686" spans="1:32" x14ac:dyDescent="0.3">
      <c r="A686" t="s">
        <v>129</v>
      </c>
      <c r="B686" t="s">
        <v>130</v>
      </c>
      <c r="C686">
        <v>-0.2</v>
      </c>
      <c r="D686">
        <v>437.9</v>
      </c>
      <c r="E686">
        <v>1.5</v>
      </c>
      <c r="F686">
        <v>2</v>
      </c>
      <c r="G686">
        <v>0.6</v>
      </c>
      <c r="H686">
        <v>1.6</v>
      </c>
      <c r="I686">
        <v>3</v>
      </c>
      <c r="J686">
        <v>82.1</v>
      </c>
      <c r="K686" t="s">
        <v>137</v>
      </c>
      <c r="L686" t="s">
        <v>46</v>
      </c>
      <c r="M686">
        <v>4</v>
      </c>
      <c r="N686" s="1">
        <v>60.893999999999998</v>
      </c>
      <c r="O686">
        <v>7.8</v>
      </c>
      <c r="P686" s="13">
        <v>1.778</v>
      </c>
      <c r="Q686" t="s">
        <v>52</v>
      </c>
      <c r="R686">
        <v>50</v>
      </c>
      <c r="S686">
        <v>24</v>
      </c>
      <c r="T686" t="s">
        <v>164</v>
      </c>
      <c r="U686" t="s">
        <v>164</v>
      </c>
      <c r="V686" s="7">
        <v>0.78241680204573549</v>
      </c>
      <c r="W686">
        <v>155.9</v>
      </c>
      <c r="X686">
        <v>0.26400000000000001</v>
      </c>
      <c r="Y686">
        <v>8.4160000000000004</v>
      </c>
      <c r="Z686">
        <v>6.75</v>
      </c>
      <c r="AA686">
        <v>9</v>
      </c>
      <c r="AB686">
        <v>25</v>
      </c>
      <c r="AC686" s="17">
        <v>1</v>
      </c>
      <c r="AD686">
        <v>30</v>
      </c>
      <c r="AE686">
        <v>100</v>
      </c>
      <c r="AF686" s="11">
        <v>0.67500000000000004</v>
      </c>
    </row>
    <row r="687" spans="1:32" x14ac:dyDescent="0.3">
      <c r="A687" t="s">
        <v>129</v>
      </c>
      <c r="B687" t="s">
        <v>130</v>
      </c>
      <c r="C687">
        <v>-0.2</v>
      </c>
      <c r="D687">
        <v>437.9</v>
      </c>
      <c r="E687">
        <v>1.5</v>
      </c>
      <c r="F687">
        <v>2</v>
      </c>
      <c r="G687">
        <v>0.6</v>
      </c>
      <c r="H687">
        <v>1.6</v>
      </c>
      <c r="I687">
        <v>3</v>
      </c>
      <c r="J687">
        <v>82.1</v>
      </c>
      <c r="K687" t="s">
        <v>137</v>
      </c>
      <c r="L687" t="s">
        <v>46</v>
      </c>
      <c r="M687">
        <v>4</v>
      </c>
      <c r="N687" s="1">
        <v>60.893999999999998</v>
      </c>
      <c r="O687">
        <v>7.8</v>
      </c>
      <c r="P687" s="13">
        <v>1.778</v>
      </c>
      <c r="Q687" t="s">
        <v>52</v>
      </c>
      <c r="R687">
        <v>50</v>
      </c>
      <c r="S687">
        <v>24</v>
      </c>
      <c r="T687" t="s">
        <v>164</v>
      </c>
      <c r="U687" t="s">
        <v>164</v>
      </c>
      <c r="V687" s="7">
        <v>0.78241680204573549</v>
      </c>
      <c r="W687">
        <v>155.9</v>
      </c>
      <c r="X687">
        <v>0.26400000000000001</v>
      </c>
      <c r="Y687">
        <v>8.4160000000000004</v>
      </c>
      <c r="Z687">
        <v>6.75</v>
      </c>
      <c r="AA687">
        <v>9</v>
      </c>
      <c r="AB687">
        <v>25</v>
      </c>
      <c r="AC687" s="17">
        <v>1</v>
      </c>
      <c r="AD687">
        <v>40</v>
      </c>
      <c r="AE687">
        <v>100</v>
      </c>
      <c r="AF687" s="11">
        <v>0.53</v>
      </c>
    </row>
    <row r="688" spans="1:32" x14ac:dyDescent="0.3">
      <c r="A688" t="s">
        <v>129</v>
      </c>
      <c r="B688" t="s">
        <v>130</v>
      </c>
      <c r="C688">
        <v>-0.2</v>
      </c>
      <c r="D688">
        <v>437.9</v>
      </c>
      <c r="E688">
        <v>1.5</v>
      </c>
      <c r="F688">
        <v>2</v>
      </c>
      <c r="G688">
        <v>0.6</v>
      </c>
      <c r="H688">
        <v>1.6</v>
      </c>
      <c r="I688">
        <v>3</v>
      </c>
      <c r="J688">
        <v>82.1</v>
      </c>
      <c r="K688" t="s">
        <v>137</v>
      </c>
      <c r="L688" t="s">
        <v>46</v>
      </c>
      <c r="M688">
        <v>4</v>
      </c>
      <c r="N688" s="1">
        <v>60.893999999999998</v>
      </c>
      <c r="O688">
        <v>7.8</v>
      </c>
      <c r="P688" s="13">
        <v>1.778</v>
      </c>
      <c r="Q688" t="s">
        <v>52</v>
      </c>
      <c r="R688">
        <v>50</v>
      </c>
      <c r="S688">
        <v>24</v>
      </c>
      <c r="T688" t="s">
        <v>164</v>
      </c>
      <c r="U688" t="s">
        <v>164</v>
      </c>
      <c r="V688" s="7">
        <v>0.78241680204573549</v>
      </c>
      <c r="W688">
        <v>155.9</v>
      </c>
      <c r="X688">
        <v>0.26400000000000001</v>
      </c>
      <c r="Y688">
        <v>8.4160000000000004</v>
      </c>
      <c r="Z688">
        <v>6.75</v>
      </c>
      <c r="AA688">
        <v>9</v>
      </c>
      <c r="AB688">
        <v>25</v>
      </c>
      <c r="AC688" s="17">
        <v>1</v>
      </c>
      <c r="AD688">
        <v>50</v>
      </c>
      <c r="AE688">
        <v>100</v>
      </c>
      <c r="AF688" s="11">
        <v>0.5</v>
      </c>
    </row>
    <row r="689" spans="1:32" x14ac:dyDescent="0.3">
      <c r="A689" t="s">
        <v>129</v>
      </c>
      <c r="B689" t="s">
        <v>130</v>
      </c>
      <c r="C689">
        <v>-0.2</v>
      </c>
      <c r="D689">
        <v>437.9</v>
      </c>
      <c r="E689">
        <v>1.5</v>
      </c>
      <c r="F689">
        <v>2</v>
      </c>
      <c r="G689">
        <v>0.6</v>
      </c>
      <c r="H689">
        <v>1.6</v>
      </c>
      <c r="I689">
        <v>3</v>
      </c>
      <c r="J689">
        <v>82.1</v>
      </c>
      <c r="K689" t="s">
        <v>137</v>
      </c>
      <c r="L689" t="s">
        <v>46</v>
      </c>
      <c r="M689">
        <v>4</v>
      </c>
      <c r="N689" s="1">
        <v>60.893999999999998</v>
      </c>
      <c r="O689">
        <v>7.8</v>
      </c>
      <c r="P689" s="13">
        <v>1.778</v>
      </c>
      <c r="Q689" t="s">
        <v>52</v>
      </c>
      <c r="R689">
        <v>50</v>
      </c>
      <c r="S689">
        <v>24</v>
      </c>
      <c r="T689" t="s">
        <v>164</v>
      </c>
      <c r="U689" t="s">
        <v>164</v>
      </c>
      <c r="V689" s="7">
        <v>0.78241680204573549</v>
      </c>
      <c r="W689">
        <v>155.9</v>
      </c>
      <c r="X689">
        <v>0.26400000000000001</v>
      </c>
      <c r="Y689">
        <v>8.4160000000000004</v>
      </c>
      <c r="Z689">
        <v>6.75</v>
      </c>
      <c r="AA689">
        <v>9</v>
      </c>
      <c r="AB689">
        <v>25</v>
      </c>
      <c r="AC689" s="21">
        <f>5/60</f>
        <v>8.3333333333333329E-2</v>
      </c>
      <c r="AD689">
        <v>20</v>
      </c>
      <c r="AE689">
        <v>100</v>
      </c>
      <c r="AF689" s="11">
        <v>0.45</v>
      </c>
    </row>
    <row r="690" spans="1:32" x14ac:dyDescent="0.3">
      <c r="A690" t="s">
        <v>129</v>
      </c>
      <c r="B690" t="s">
        <v>130</v>
      </c>
      <c r="C690">
        <v>-0.2</v>
      </c>
      <c r="D690">
        <v>437.9</v>
      </c>
      <c r="E690">
        <v>1.5</v>
      </c>
      <c r="F690">
        <v>2</v>
      </c>
      <c r="G690">
        <v>0.6</v>
      </c>
      <c r="H690">
        <v>1.6</v>
      </c>
      <c r="I690">
        <v>3</v>
      </c>
      <c r="J690">
        <v>82.1</v>
      </c>
      <c r="K690" t="s">
        <v>137</v>
      </c>
      <c r="L690" t="s">
        <v>46</v>
      </c>
      <c r="M690">
        <v>4</v>
      </c>
      <c r="N690" s="1">
        <v>60.893999999999998</v>
      </c>
      <c r="O690">
        <v>7.8</v>
      </c>
      <c r="P690" s="13">
        <v>1.778</v>
      </c>
      <c r="Q690" t="s">
        <v>52</v>
      </c>
      <c r="R690">
        <v>50</v>
      </c>
      <c r="S690">
        <v>24</v>
      </c>
      <c r="T690" t="s">
        <v>164</v>
      </c>
      <c r="U690" t="s">
        <v>164</v>
      </c>
      <c r="V690" s="7">
        <v>0.78241680204573549</v>
      </c>
      <c r="W690">
        <v>155.9</v>
      </c>
      <c r="X690">
        <v>0.26400000000000001</v>
      </c>
      <c r="Y690">
        <v>8.4160000000000004</v>
      </c>
      <c r="Z690">
        <v>6.75</v>
      </c>
      <c r="AA690">
        <v>9</v>
      </c>
      <c r="AB690">
        <v>25</v>
      </c>
      <c r="AC690" s="17">
        <f>15/60</f>
        <v>0.25</v>
      </c>
      <c r="AD690">
        <v>20</v>
      </c>
      <c r="AE690">
        <v>100</v>
      </c>
      <c r="AF690" s="11">
        <v>0.65</v>
      </c>
    </row>
    <row r="691" spans="1:32" x14ac:dyDescent="0.3">
      <c r="A691" t="s">
        <v>129</v>
      </c>
      <c r="B691" t="s">
        <v>130</v>
      </c>
      <c r="C691">
        <v>-0.2</v>
      </c>
      <c r="D691">
        <v>437.9</v>
      </c>
      <c r="E691">
        <v>1.5</v>
      </c>
      <c r="F691">
        <v>2</v>
      </c>
      <c r="G691">
        <v>0.6</v>
      </c>
      <c r="H691">
        <v>1.6</v>
      </c>
      <c r="I691">
        <v>3</v>
      </c>
      <c r="J691">
        <v>82.1</v>
      </c>
      <c r="K691" t="s">
        <v>137</v>
      </c>
      <c r="L691" t="s">
        <v>46</v>
      </c>
      <c r="M691">
        <v>4</v>
      </c>
      <c r="N691" s="1">
        <v>60.893999999999998</v>
      </c>
      <c r="O691">
        <v>7.8</v>
      </c>
      <c r="P691" s="13">
        <v>1.778</v>
      </c>
      <c r="Q691" t="s">
        <v>52</v>
      </c>
      <c r="R691">
        <v>50</v>
      </c>
      <c r="S691">
        <v>24</v>
      </c>
      <c r="T691" t="s">
        <v>164</v>
      </c>
      <c r="U691" t="s">
        <v>164</v>
      </c>
      <c r="V691" s="7">
        <v>0.78241680204573549</v>
      </c>
      <c r="W691">
        <v>155.9</v>
      </c>
      <c r="X691">
        <v>0.26400000000000001</v>
      </c>
      <c r="Y691">
        <v>8.4160000000000004</v>
      </c>
      <c r="Z691">
        <v>6.75</v>
      </c>
      <c r="AA691">
        <v>9</v>
      </c>
      <c r="AB691">
        <v>25</v>
      </c>
      <c r="AC691" s="17">
        <f>30/60</f>
        <v>0.5</v>
      </c>
      <c r="AD691">
        <v>20</v>
      </c>
      <c r="AE691">
        <v>100</v>
      </c>
      <c r="AF691" s="11">
        <v>0.8</v>
      </c>
    </row>
    <row r="692" spans="1:32" x14ac:dyDescent="0.3">
      <c r="A692" t="s">
        <v>129</v>
      </c>
      <c r="B692" t="s">
        <v>130</v>
      </c>
      <c r="C692">
        <v>-0.2</v>
      </c>
      <c r="D692">
        <v>437.9</v>
      </c>
      <c r="E692">
        <v>1.5</v>
      </c>
      <c r="F692">
        <v>2</v>
      </c>
      <c r="G692">
        <v>0.6</v>
      </c>
      <c r="H692">
        <v>1.6</v>
      </c>
      <c r="I692">
        <v>3</v>
      </c>
      <c r="J692">
        <v>82.1</v>
      </c>
      <c r="K692" t="s">
        <v>137</v>
      </c>
      <c r="L692" t="s">
        <v>46</v>
      </c>
      <c r="M692">
        <v>4</v>
      </c>
      <c r="N692" s="1">
        <v>60.893999999999998</v>
      </c>
      <c r="O692">
        <v>7.8</v>
      </c>
      <c r="P692" s="13">
        <v>1.778</v>
      </c>
      <c r="Q692" t="s">
        <v>52</v>
      </c>
      <c r="R692">
        <v>50</v>
      </c>
      <c r="S692">
        <v>24</v>
      </c>
      <c r="T692" t="s">
        <v>164</v>
      </c>
      <c r="U692" t="s">
        <v>164</v>
      </c>
      <c r="V692" s="7">
        <v>0.78241680204573549</v>
      </c>
      <c r="W692">
        <v>155.9</v>
      </c>
      <c r="X692">
        <v>0.26400000000000001</v>
      </c>
      <c r="Y692">
        <v>8.4160000000000004</v>
      </c>
      <c r="Z692">
        <v>6.75</v>
      </c>
      <c r="AA692">
        <v>9</v>
      </c>
      <c r="AB692">
        <v>25</v>
      </c>
      <c r="AC692" s="17">
        <f>45/60</f>
        <v>0.75</v>
      </c>
      <c r="AD692">
        <v>20</v>
      </c>
      <c r="AE692">
        <v>100</v>
      </c>
      <c r="AF692" s="11">
        <v>0.84</v>
      </c>
    </row>
    <row r="693" spans="1:32" x14ac:dyDescent="0.3">
      <c r="A693" t="s">
        <v>129</v>
      </c>
      <c r="B693" t="s">
        <v>130</v>
      </c>
      <c r="C693">
        <v>-0.2</v>
      </c>
      <c r="D693">
        <v>437.9</v>
      </c>
      <c r="E693">
        <v>1.5</v>
      </c>
      <c r="F693">
        <v>2</v>
      </c>
      <c r="G693">
        <v>0.6</v>
      </c>
      <c r="H693">
        <v>1.6</v>
      </c>
      <c r="I693">
        <v>3</v>
      </c>
      <c r="J693">
        <v>82.1</v>
      </c>
      <c r="K693" t="s">
        <v>137</v>
      </c>
      <c r="L693" t="s">
        <v>46</v>
      </c>
      <c r="M693">
        <v>4</v>
      </c>
      <c r="N693" s="1">
        <v>60.893999999999998</v>
      </c>
      <c r="O693">
        <v>7.8</v>
      </c>
      <c r="P693" s="13">
        <v>1.778</v>
      </c>
      <c r="Q693" t="s">
        <v>52</v>
      </c>
      <c r="R693">
        <v>50</v>
      </c>
      <c r="S693">
        <v>24</v>
      </c>
      <c r="T693" t="s">
        <v>164</v>
      </c>
      <c r="U693" t="s">
        <v>164</v>
      </c>
      <c r="V693" s="7">
        <v>0.78241680204573549</v>
      </c>
      <c r="W693">
        <v>155.9</v>
      </c>
      <c r="X693">
        <v>0.26400000000000001</v>
      </c>
      <c r="Y693">
        <v>8.4160000000000004</v>
      </c>
      <c r="Z693">
        <v>6.75</v>
      </c>
      <c r="AA693">
        <v>9</v>
      </c>
      <c r="AB693">
        <v>25</v>
      </c>
      <c r="AC693" s="17">
        <v>1</v>
      </c>
      <c r="AD693">
        <v>20</v>
      </c>
      <c r="AE693">
        <v>100</v>
      </c>
      <c r="AF693" s="11">
        <v>0.85</v>
      </c>
    </row>
    <row r="694" spans="1:32" x14ac:dyDescent="0.3">
      <c r="A694" t="s">
        <v>129</v>
      </c>
      <c r="B694" t="s">
        <v>130</v>
      </c>
      <c r="C694">
        <v>-0.2</v>
      </c>
      <c r="D694">
        <v>437.9</v>
      </c>
      <c r="E694">
        <v>1.5</v>
      </c>
      <c r="F694">
        <v>2</v>
      </c>
      <c r="G694">
        <v>0.6</v>
      </c>
      <c r="H694">
        <v>1.6</v>
      </c>
      <c r="I694">
        <v>3</v>
      </c>
      <c r="J694">
        <v>82.1</v>
      </c>
      <c r="K694" t="s">
        <v>137</v>
      </c>
      <c r="L694" t="s">
        <v>46</v>
      </c>
      <c r="M694">
        <v>4</v>
      </c>
      <c r="N694" s="1">
        <v>60.893999999999998</v>
      </c>
      <c r="O694">
        <v>7.8</v>
      </c>
      <c r="P694" s="13">
        <v>1.778</v>
      </c>
      <c r="Q694" t="s">
        <v>52</v>
      </c>
      <c r="R694">
        <v>50</v>
      </c>
      <c r="S694">
        <v>24</v>
      </c>
      <c r="T694" t="s">
        <v>164</v>
      </c>
      <c r="U694" t="s">
        <v>164</v>
      </c>
      <c r="V694" s="7">
        <v>0.78241680204573549</v>
      </c>
      <c r="W694">
        <v>155.9</v>
      </c>
      <c r="X694">
        <v>0.26400000000000001</v>
      </c>
      <c r="Y694">
        <v>8.4160000000000004</v>
      </c>
      <c r="Z694">
        <v>6.75</v>
      </c>
      <c r="AA694">
        <v>9</v>
      </c>
      <c r="AB694">
        <v>25</v>
      </c>
      <c r="AC694" s="17">
        <f>70/60</f>
        <v>1.1666666666666667</v>
      </c>
      <c r="AD694">
        <v>20</v>
      </c>
      <c r="AE694">
        <v>100</v>
      </c>
      <c r="AF694" s="11">
        <v>0.86</v>
      </c>
    </row>
    <row r="695" spans="1:32" x14ac:dyDescent="0.3">
      <c r="A695" t="s">
        <v>129</v>
      </c>
      <c r="B695" t="s">
        <v>130</v>
      </c>
      <c r="C695">
        <v>-0.2</v>
      </c>
      <c r="D695">
        <v>437.9</v>
      </c>
      <c r="E695">
        <v>1.5</v>
      </c>
      <c r="F695">
        <v>2</v>
      </c>
      <c r="G695">
        <v>0.6</v>
      </c>
      <c r="H695">
        <v>1.6</v>
      </c>
      <c r="I695">
        <v>3</v>
      </c>
      <c r="J695">
        <v>82.1</v>
      </c>
      <c r="K695" t="s">
        <v>137</v>
      </c>
      <c r="L695" t="s">
        <v>46</v>
      </c>
      <c r="M695">
        <v>4</v>
      </c>
      <c r="N695" s="1">
        <v>60.893999999999998</v>
      </c>
      <c r="O695">
        <v>7.8</v>
      </c>
      <c r="P695" s="13">
        <v>1.778</v>
      </c>
      <c r="Q695" t="s">
        <v>52</v>
      </c>
      <c r="R695">
        <v>50</v>
      </c>
      <c r="S695">
        <v>24</v>
      </c>
      <c r="T695" t="s">
        <v>164</v>
      </c>
      <c r="U695" t="s">
        <v>164</v>
      </c>
      <c r="V695" s="7">
        <v>0.78241680204573549</v>
      </c>
      <c r="W695">
        <v>155.9</v>
      </c>
      <c r="X695">
        <v>0.26400000000000001</v>
      </c>
      <c r="Y695">
        <v>8.4160000000000004</v>
      </c>
      <c r="Z695">
        <v>6.75</v>
      </c>
      <c r="AA695">
        <v>9</v>
      </c>
      <c r="AB695">
        <v>25</v>
      </c>
      <c r="AC695" s="17">
        <f>120/60</f>
        <v>2</v>
      </c>
      <c r="AD695">
        <v>20</v>
      </c>
      <c r="AE695">
        <v>100</v>
      </c>
      <c r="AF695" s="11">
        <v>0.88</v>
      </c>
    </row>
    <row r="696" spans="1:32" x14ac:dyDescent="0.3">
      <c r="A696" t="s">
        <v>129</v>
      </c>
      <c r="B696" t="s">
        <v>130</v>
      </c>
      <c r="C696">
        <v>-0.2</v>
      </c>
      <c r="D696">
        <v>437.9</v>
      </c>
      <c r="E696">
        <v>1.5</v>
      </c>
      <c r="F696">
        <v>2</v>
      </c>
      <c r="G696">
        <v>0.6</v>
      </c>
      <c r="H696">
        <v>1.6</v>
      </c>
      <c r="I696">
        <v>3</v>
      </c>
      <c r="J696">
        <v>82.1</v>
      </c>
      <c r="K696" t="s">
        <v>137</v>
      </c>
      <c r="L696" t="s">
        <v>46</v>
      </c>
      <c r="M696">
        <v>4</v>
      </c>
      <c r="N696" s="1">
        <v>60.893999999999998</v>
      </c>
      <c r="O696">
        <v>7.8</v>
      </c>
      <c r="P696" s="13">
        <v>1.778</v>
      </c>
      <c r="Q696" t="s">
        <v>52</v>
      </c>
      <c r="R696">
        <v>50</v>
      </c>
      <c r="S696">
        <v>24</v>
      </c>
      <c r="T696" t="s">
        <v>164</v>
      </c>
      <c r="U696" t="s">
        <v>164</v>
      </c>
      <c r="V696" s="7">
        <v>0.78241680204573549</v>
      </c>
      <c r="W696">
        <v>155.9</v>
      </c>
      <c r="X696">
        <v>0.26400000000000001</v>
      </c>
      <c r="Y696">
        <v>8.4160000000000004</v>
      </c>
      <c r="Z696">
        <v>6.75</v>
      </c>
      <c r="AA696">
        <v>9</v>
      </c>
      <c r="AB696">
        <v>25</v>
      </c>
      <c r="AC696" s="17">
        <v>2.5</v>
      </c>
      <c r="AD696">
        <v>20</v>
      </c>
      <c r="AE696">
        <v>100</v>
      </c>
      <c r="AF696" s="11">
        <v>0.88</v>
      </c>
    </row>
    <row r="697" spans="1:32" x14ac:dyDescent="0.3">
      <c r="A697" t="s">
        <v>129</v>
      </c>
      <c r="B697" t="s">
        <v>130</v>
      </c>
      <c r="C697">
        <v>-0.2</v>
      </c>
      <c r="D697">
        <v>437.9</v>
      </c>
      <c r="E697">
        <v>1.5</v>
      </c>
      <c r="F697">
        <v>2</v>
      </c>
      <c r="G697">
        <v>0.6</v>
      </c>
      <c r="H697">
        <v>1.6</v>
      </c>
      <c r="I697">
        <v>3</v>
      </c>
      <c r="J697">
        <v>82.1</v>
      </c>
      <c r="K697" t="s">
        <v>137</v>
      </c>
      <c r="L697" t="s">
        <v>46</v>
      </c>
      <c r="M697">
        <v>4</v>
      </c>
      <c r="N697" s="1">
        <v>60.893999999999998</v>
      </c>
      <c r="O697">
        <v>7.8</v>
      </c>
      <c r="P697" s="13">
        <v>1.778</v>
      </c>
      <c r="Q697" t="s">
        <v>52</v>
      </c>
      <c r="R697">
        <v>50</v>
      </c>
      <c r="S697">
        <v>24</v>
      </c>
      <c r="T697" t="s">
        <v>164</v>
      </c>
      <c r="U697" t="s">
        <v>164</v>
      </c>
      <c r="V697" s="7">
        <v>0.78241680204573549</v>
      </c>
      <c r="W697">
        <v>155.9</v>
      </c>
      <c r="X697">
        <v>0.26400000000000001</v>
      </c>
      <c r="Y697">
        <v>8.4160000000000004</v>
      </c>
      <c r="Z697">
        <v>6.75</v>
      </c>
      <c r="AA697">
        <v>9</v>
      </c>
      <c r="AB697">
        <v>25</v>
      </c>
      <c r="AC697" s="17">
        <v>3</v>
      </c>
      <c r="AD697">
        <v>20</v>
      </c>
      <c r="AE697">
        <v>100</v>
      </c>
      <c r="AF697" s="11">
        <v>0.88</v>
      </c>
    </row>
    <row r="698" spans="1:32" x14ac:dyDescent="0.3">
      <c r="A698" t="s">
        <v>129</v>
      </c>
      <c r="B698" t="s">
        <v>130</v>
      </c>
      <c r="C698">
        <v>-0.2</v>
      </c>
      <c r="D698">
        <v>437.9</v>
      </c>
      <c r="E698">
        <v>1.5</v>
      </c>
      <c r="F698">
        <v>2</v>
      </c>
      <c r="G698">
        <v>0.6</v>
      </c>
      <c r="H698">
        <v>1.6</v>
      </c>
      <c r="I698">
        <v>3</v>
      </c>
      <c r="J698">
        <v>82.1</v>
      </c>
      <c r="K698" t="s">
        <v>137</v>
      </c>
      <c r="L698" t="s">
        <v>46</v>
      </c>
      <c r="M698">
        <v>4</v>
      </c>
      <c r="N698" s="1">
        <v>60.893999999999998</v>
      </c>
      <c r="O698">
        <v>7.8</v>
      </c>
      <c r="P698" s="13">
        <v>1.778</v>
      </c>
      <c r="Q698" t="s">
        <v>52</v>
      </c>
      <c r="R698">
        <v>50</v>
      </c>
      <c r="S698">
        <v>24</v>
      </c>
      <c r="T698" t="s">
        <v>164</v>
      </c>
      <c r="U698" t="s">
        <v>164</v>
      </c>
      <c r="V698" s="7">
        <v>0.78241680204573549</v>
      </c>
      <c r="W698">
        <v>155.9</v>
      </c>
      <c r="X698">
        <v>0.26400000000000001</v>
      </c>
      <c r="Y698">
        <v>8.4160000000000004</v>
      </c>
      <c r="Z698">
        <v>6.75</v>
      </c>
      <c r="AA698">
        <v>9</v>
      </c>
      <c r="AB698">
        <v>25</v>
      </c>
      <c r="AC698" s="17">
        <v>1</v>
      </c>
      <c r="AD698">
        <v>20</v>
      </c>
      <c r="AE698">
        <v>21</v>
      </c>
      <c r="AF698" s="11">
        <v>0.7142857142857143</v>
      </c>
    </row>
    <row r="699" spans="1:32" x14ac:dyDescent="0.3">
      <c r="A699" t="s">
        <v>129</v>
      </c>
      <c r="B699" t="s">
        <v>130</v>
      </c>
      <c r="C699">
        <v>-0.2</v>
      </c>
      <c r="D699">
        <v>437.9</v>
      </c>
      <c r="E699">
        <v>1.5</v>
      </c>
      <c r="F699">
        <v>2</v>
      </c>
      <c r="G699">
        <v>0.6</v>
      </c>
      <c r="H699">
        <v>1.6</v>
      </c>
      <c r="I699">
        <v>3</v>
      </c>
      <c r="J699">
        <v>82.1</v>
      </c>
      <c r="K699" t="s">
        <v>137</v>
      </c>
      <c r="L699" t="s">
        <v>46</v>
      </c>
      <c r="M699">
        <v>4</v>
      </c>
      <c r="N699" s="1">
        <v>60.893999999999998</v>
      </c>
      <c r="O699">
        <v>7.8</v>
      </c>
      <c r="P699" s="13">
        <v>1.778</v>
      </c>
      <c r="Q699" t="s">
        <v>52</v>
      </c>
      <c r="R699">
        <v>50</v>
      </c>
      <c r="S699">
        <v>24</v>
      </c>
      <c r="T699" t="s">
        <v>164</v>
      </c>
      <c r="U699" t="s">
        <v>164</v>
      </c>
      <c r="V699" s="7">
        <v>0.78241680204573549</v>
      </c>
      <c r="W699">
        <v>155.9</v>
      </c>
      <c r="X699">
        <v>0.26400000000000001</v>
      </c>
      <c r="Y699">
        <v>8.4160000000000004</v>
      </c>
      <c r="Z699">
        <v>6.75</v>
      </c>
      <c r="AA699">
        <v>9</v>
      </c>
      <c r="AB699">
        <v>25</v>
      </c>
      <c r="AC699" s="17">
        <v>1</v>
      </c>
      <c r="AD699">
        <v>20</v>
      </c>
      <c r="AE699">
        <v>41</v>
      </c>
      <c r="AF699" s="11">
        <v>0.87804878048780488</v>
      </c>
    </row>
    <row r="700" spans="1:32" x14ac:dyDescent="0.3">
      <c r="A700" t="s">
        <v>129</v>
      </c>
      <c r="B700" t="s">
        <v>130</v>
      </c>
      <c r="C700">
        <v>-0.2</v>
      </c>
      <c r="D700">
        <v>437.9</v>
      </c>
      <c r="E700">
        <v>1.5</v>
      </c>
      <c r="F700">
        <v>2</v>
      </c>
      <c r="G700">
        <v>0.6</v>
      </c>
      <c r="H700">
        <v>1.6</v>
      </c>
      <c r="I700">
        <v>3</v>
      </c>
      <c r="J700">
        <v>82.1</v>
      </c>
      <c r="K700" t="s">
        <v>137</v>
      </c>
      <c r="L700" t="s">
        <v>46</v>
      </c>
      <c r="M700">
        <v>4</v>
      </c>
      <c r="N700" s="1">
        <v>60.893999999999998</v>
      </c>
      <c r="O700">
        <v>7.8</v>
      </c>
      <c r="P700" s="13">
        <v>1.778</v>
      </c>
      <c r="Q700" t="s">
        <v>52</v>
      </c>
      <c r="R700">
        <v>50</v>
      </c>
      <c r="S700">
        <v>24</v>
      </c>
      <c r="T700" t="s">
        <v>164</v>
      </c>
      <c r="U700" t="s">
        <v>164</v>
      </c>
      <c r="V700" s="7">
        <v>0.78241680204573549</v>
      </c>
      <c r="W700">
        <v>155.9</v>
      </c>
      <c r="X700">
        <v>0.26400000000000001</v>
      </c>
      <c r="Y700">
        <v>8.4160000000000004</v>
      </c>
      <c r="Z700">
        <v>6.75</v>
      </c>
      <c r="AA700">
        <v>9</v>
      </c>
      <c r="AB700">
        <v>25</v>
      </c>
      <c r="AC700" s="17">
        <v>1</v>
      </c>
      <c r="AD700">
        <v>20</v>
      </c>
      <c r="AE700">
        <v>90</v>
      </c>
      <c r="AF700" s="11">
        <v>0.8666666666666667</v>
      </c>
    </row>
    <row r="701" spans="1:32" x14ac:dyDescent="0.3">
      <c r="A701" t="s">
        <v>129</v>
      </c>
      <c r="B701" t="s">
        <v>130</v>
      </c>
      <c r="C701">
        <v>-0.2</v>
      </c>
      <c r="D701">
        <v>437.9</v>
      </c>
      <c r="E701">
        <v>1.5</v>
      </c>
      <c r="F701">
        <v>2</v>
      </c>
      <c r="G701">
        <v>0.6</v>
      </c>
      <c r="H701">
        <v>1.6</v>
      </c>
      <c r="I701">
        <v>3</v>
      </c>
      <c r="J701">
        <v>82.1</v>
      </c>
      <c r="K701" t="s">
        <v>137</v>
      </c>
      <c r="L701" t="s">
        <v>46</v>
      </c>
      <c r="M701">
        <v>4</v>
      </c>
      <c r="N701" s="1">
        <v>60.893999999999998</v>
      </c>
      <c r="O701">
        <v>7.8</v>
      </c>
      <c r="P701" s="13">
        <v>1.778</v>
      </c>
      <c r="Q701" t="s">
        <v>52</v>
      </c>
      <c r="R701">
        <v>50</v>
      </c>
      <c r="S701">
        <v>24</v>
      </c>
      <c r="T701" t="s">
        <v>164</v>
      </c>
      <c r="U701" t="s">
        <v>164</v>
      </c>
      <c r="V701" s="7">
        <v>0.78241680204573549</v>
      </c>
      <c r="W701">
        <v>155.9</v>
      </c>
      <c r="X701">
        <v>0.26400000000000001</v>
      </c>
      <c r="Y701">
        <v>8.4160000000000004</v>
      </c>
      <c r="Z701">
        <v>6.75</v>
      </c>
      <c r="AA701">
        <v>9</v>
      </c>
      <c r="AB701">
        <v>25</v>
      </c>
      <c r="AC701" s="17">
        <v>1</v>
      </c>
      <c r="AD701">
        <v>20</v>
      </c>
      <c r="AE701">
        <v>107.99999999999999</v>
      </c>
      <c r="AF701" s="11">
        <v>0.75925925925925919</v>
      </c>
    </row>
    <row r="702" spans="1:32" x14ac:dyDescent="0.3">
      <c r="A702" t="s">
        <v>129</v>
      </c>
      <c r="B702" t="s">
        <v>130</v>
      </c>
      <c r="C702">
        <v>-0.2</v>
      </c>
      <c r="D702">
        <v>437.9</v>
      </c>
      <c r="E702">
        <v>1.5</v>
      </c>
      <c r="F702">
        <v>2</v>
      </c>
      <c r="G702">
        <v>0.6</v>
      </c>
      <c r="H702">
        <v>1.6</v>
      </c>
      <c r="I702">
        <v>3</v>
      </c>
      <c r="J702">
        <v>82.1</v>
      </c>
      <c r="K702" t="s">
        <v>137</v>
      </c>
      <c r="L702" t="s">
        <v>46</v>
      </c>
      <c r="M702">
        <v>4</v>
      </c>
      <c r="N702" s="1">
        <v>60.893999999999998</v>
      </c>
      <c r="O702">
        <v>7.8</v>
      </c>
      <c r="P702" s="13">
        <v>1.778</v>
      </c>
      <c r="Q702" t="s">
        <v>52</v>
      </c>
      <c r="R702">
        <v>50</v>
      </c>
      <c r="S702">
        <v>24</v>
      </c>
      <c r="T702" t="s">
        <v>164</v>
      </c>
      <c r="U702" t="s">
        <v>164</v>
      </c>
      <c r="V702" s="7">
        <v>0.78241680204573549</v>
      </c>
      <c r="W702">
        <v>155.9</v>
      </c>
      <c r="X702">
        <v>0.26400000000000001</v>
      </c>
      <c r="Y702">
        <v>8.4160000000000004</v>
      </c>
      <c r="Z702">
        <v>6.75</v>
      </c>
      <c r="AA702">
        <v>9</v>
      </c>
      <c r="AB702">
        <v>25</v>
      </c>
      <c r="AC702" s="17">
        <v>1</v>
      </c>
      <c r="AD702">
        <v>20</v>
      </c>
      <c r="AE702">
        <v>123</v>
      </c>
      <c r="AF702" s="11">
        <v>0.68292682926829273</v>
      </c>
    </row>
    <row r="703" spans="1:32" x14ac:dyDescent="0.3">
      <c r="A703" t="s">
        <v>129</v>
      </c>
      <c r="B703" t="s">
        <v>130</v>
      </c>
      <c r="C703">
        <v>-0.2</v>
      </c>
      <c r="D703">
        <v>437.9</v>
      </c>
      <c r="E703">
        <v>1.5</v>
      </c>
      <c r="F703">
        <v>2</v>
      </c>
      <c r="G703">
        <v>0.6</v>
      </c>
      <c r="H703">
        <v>1.6</v>
      </c>
      <c r="I703">
        <v>3</v>
      </c>
      <c r="J703">
        <v>82.1</v>
      </c>
      <c r="K703" t="s">
        <v>137</v>
      </c>
      <c r="L703" t="s">
        <v>46</v>
      </c>
      <c r="M703">
        <v>4</v>
      </c>
      <c r="N703" s="1">
        <v>60.893999999999998</v>
      </c>
      <c r="O703">
        <v>7.8</v>
      </c>
      <c r="P703" s="13">
        <v>1.778</v>
      </c>
      <c r="Q703" t="s">
        <v>52</v>
      </c>
      <c r="R703">
        <v>50</v>
      </c>
      <c r="S703">
        <v>24</v>
      </c>
      <c r="T703" t="s">
        <v>164</v>
      </c>
      <c r="U703" t="s">
        <v>164</v>
      </c>
      <c r="V703" s="7">
        <v>0.78241680204573549</v>
      </c>
      <c r="W703">
        <v>155.9</v>
      </c>
      <c r="X703">
        <v>0.26400000000000001</v>
      </c>
      <c r="Y703">
        <v>8.4160000000000004</v>
      </c>
      <c r="Z703">
        <v>6.75</v>
      </c>
      <c r="AA703">
        <v>9</v>
      </c>
      <c r="AB703">
        <v>25</v>
      </c>
      <c r="AC703" s="17">
        <v>1</v>
      </c>
      <c r="AD703">
        <v>20</v>
      </c>
      <c r="AE703">
        <v>143</v>
      </c>
      <c r="AF703" s="11">
        <v>0.60139860139860135</v>
      </c>
    </row>
    <row r="704" spans="1:32" x14ac:dyDescent="0.3">
      <c r="A704" t="s">
        <v>131</v>
      </c>
      <c r="B704" t="s">
        <v>16</v>
      </c>
      <c r="C704">
        <v>4.51</v>
      </c>
      <c r="D704">
        <v>318.13</v>
      </c>
      <c r="E704">
        <v>1.81</v>
      </c>
      <c r="F704">
        <v>1.85</v>
      </c>
      <c r="G704">
        <v>0.55000000000000004</v>
      </c>
      <c r="H704">
        <v>0.77</v>
      </c>
      <c r="I704">
        <v>2.0249999999999999</v>
      </c>
      <c r="J704">
        <v>49.3</v>
      </c>
      <c r="K704" t="s">
        <v>55</v>
      </c>
      <c r="L704" t="s">
        <v>51</v>
      </c>
      <c r="M704">
        <v>2</v>
      </c>
      <c r="N704">
        <v>25.196000000000002</v>
      </c>
      <c r="O704">
        <v>0</v>
      </c>
      <c r="P704">
        <v>1.41</v>
      </c>
      <c r="Q704" t="s">
        <v>52</v>
      </c>
      <c r="R704">
        <v>80</v>
      </c>
      <c r="S704">
        <v>24</v>
      </c>
      <c r="T704">
        <v>400</v>
      </c>
      <c r="U704">
        <v>12</v>
      </c>
      <c r="V704" s="7">
        <v>0.76224839171129977</v>
      </c>
      <c r="W704">
        <v>127</v>
      </c>
      <c r="X704">
        <v>0.24399999999999999</v>
      </c>
      <c r="Y704">
        <v>3.9</v>
      </c>
      <c r="Z704" t="s">
        <v>164</v>
      </c>
      <c r="AA704">
        <v>10.8</v>
      </c>
      <c r="AB704">
        <v>25</v>
      </c>
      <c r="AC704" s="17">
        <v>1</v>
      </c>
      <c r="AD704">
        <v>0.5</v>
      </c>
      <c r="AE704">
        <v>10</v>
      </c>
      <c r="AF704" s="11">
        <v>0.59</v>
      </c>
    </row>
    <row r="705" spans="1:32" x14ac:dyDescent="0.3">
      <c r="A705" t="s">
        <v>131</v>
      </c>
      <c r="B705" t="s">
        <v>16</v>
      </c>
      <c r="C705">
        <v>4.51</v>
      </c>
      <c r="D705">
        <v>318.13</v>
      </c>
      <c r="E705">
        <v>1.81</v>
      </c>
      <c r="F705">
        <v>1.85</v>
      </c>
      <c r="G705">
        <v>0.55000000000000004</v>
      </c>
      <c r="H705">
        <v>0.77</v>
      </c>
      <c r="I705">
        <v>2.0249999999999999</v>
      </c>
      <c r="J705">
        <v>49.3</v>
      </c>
      <c r="K705" t="s">
        <v>55</v>
      </c>
      <c r="L705" t="s">
        <v>51</v>
      </c>
      <c r="M705">
        <v>2</v>
      </c>
      <c r="N705">
        <v>25.196000000000002</v>
      </c>
      <c r="O705">
        <v>0</v>
      </c>
      <c r="P705">
        <v>1.41</v>
      </c>
      <c r="Q705" t="s">
        <v>52</v>
      </c>
      <c r="R705">
        <v>80</v>
      </c>
      <c r="S705">
        <v>24</v>
      </c>
      <c r="T705">
        <v>400</v>
      </c>
      <c r="U705">
        <v>12</v>
      </c>
      <c r="V705" s="7">
        <v>0.76224839171129977</v>
      </c>
      <c r="W705">
        <v>127</v>
      </c>
      <c r="X705">
        <v>0.24399999999999999</v>
      </c>
      <c r="Y705">
        <v>3.9</v>
      </c>
      <c r="Z705" t="s">
        <v>164</v>
      </c>
      <c r="AA705">
        <v>10.8</v>
      </c>
      <c r="AB705">
        <v>25</v>
      </c>
      <c r="AC705" s="17">
        <v>1</v>
      </c>
      <c r="AD705">
        <v>1</v>
      </c>
      <c r="AE705">
        <v>10</v>
      </c>
      <c r="AF705" s="11">
        <v>0.7</v>
      </c>
    </row>
    <row r="706" spans="1:32" x14ac:dyDescent="0.3">
      <c r="A706" t="s">
        <v>131</v>
      </c>
      <c r="B706" t="s">
        <v>16</v>
      </c>
      <c r="C706">
        <v>4.51</v>
      </c>
      <c r="D706">
        <v>318.13</v>
      </c>
      <c r="E706">
        <v>1.81</v>
      </c>
      <c r="F706">
        <v>1.85</v>
      </c>
      <c r="G706">
        <v>0.55000000000000004</v>
      </c>
      <c r="H706">
        <v>0.77</v>
      </c>
      <c r="I706">
        <v>2.0249999999999999</v>
      </c>
      <c r="J706">
        <v>49.3</v>
      </c>
      <c r="K706" t="s">
        <v>55</v>
      </c>
      <c r="L706" t="s">
        <v>51</v>
      </c>
      <c r="M706">
        <v>2</v>
      </c>
      <c r="N706">
        <v>25.196000000000002</v>
      </c>
      <c r="O706">
        <v>0</v>
      </c>
      <c r="P706">
        <v>1.41</v>
      </c>
      <c r="Q706" t="s">
        <v>52</v>
      </c>
      <c r="R706">
        <v>80</v>
      </c>
      <c r="S706">
        <v>24</v>
      </c>
      <c r="T706">
        <v>400</v>
      </c>
      <c r="U706">
        <v>12</v>
      </c>
      <c r="V706" s="7">
        <v>0.76224839171129977</v>
      </c>
      <c r="W706">
        <v>127</v>
      </c>
      <c r="X706">
        <v>0.24399999999999999</v>
      </c>
      <c r="Y706">
        <v>3.9</v>
      </c>
      <c r="Z706" t="s">
        <v>164</v>
      </c>
      <c r="AA706">
        <v>10.8</v>
      </c>
      <c r="AB706">
        <v>25</v>
      </c>
      <c r="AC706" s="17">
        <v>1</v>
      </c>
      <c r="AD706">
        <v>1.5</v>
      </c>
      <c r="AE706">
        <v>10</v>
      </c>
      <c r="AF706" s="11">
        <v>0.8</v>
      </c>
    </row>
    <row r="707" spans="1:32" x14ac:dyDescent="0.3">
      <c r="A707" t="s">
        <v>131</v>
      </c>
      <c r="B707" t="s">
        <v>16</v>
      </c>
      <c r="C707">
        <v>4.51</v>
      </c>
      <c r="D707">
        <v>318.13</v>
      </c>
      <c r="E707">
        <v>1.81</v>
      </c>
      <c r="F707">
        <v>1.85</v>
      </c>
      <c r="G707">
        <v>0.55000000000000004</v>
      </c>
      <c r="H707">
        <v>0.77</v>
      </c>
      <c r="I707">
        <v>2.0249999999999999</v>
      </c>
      <c r="J707">
        <v>49.3</v>
      </c>
      <c r="K707" t="s">
        <v>55</v>
      </c>
      <c r="L707" t="s">
        <v>51</v>
      </c>
      <c r="M707">
        <v>2</v>
      </c>
      <c r="N707">
        <v>25.196000000000002</v>
      </c>
      <c r="O707">
        <v>0</v>
      </c>
      <c r="P707">
        <v>1.41</v>
      </c>
      <c r="Q707" t="s">
        <v>52</v>
      </c>
      <c r="R707">
        <v>80</v>
      </c>
      <c r="S707">
        <v>24</v>
      </c>
      <c r="T707">
        <v>400</v>
      </c>
      <c r="U707">
        <v>12</v>
      </c>
      <c r="V707" s="7">
        <v>0.76224839171129977</v>
      </c>
      <c r="W707">
        <v>127</v>
      </c>
      <c r="X707">
        <v>0.24399999999999999</v>
      </c>
      <c r="Y707">
        <v>3.9</v>
      </c>
      <c r="Z707" t="s">
        <v>164</v>
      </c>
      <c r="AA707">
        <v>10.8</v>
      </c>
      <c r="AB707">
        <v>25</v>
      </c>
      <c r="AC707" s="17">
        <v>1</v>
      </c>
      <c r="AD707">
        <v>2</v>
      </c>
      <c r="AE707">
        <v>10</v>
      </c>
      <c r="AF707" s="11">
        <v>0.79</v>
      </c>
    </row>
    <row r="708" spans="1:32" x14ac:dyDescent="0.3">
      <c r="A708" t="s">
        <v>131</v>
      </c>
      <c r="B708" t="s">
        <v>16</v>
      </c>
      <c r="C708">
        <v>4.51</v>
      </c>
      <c r="D708">
        <v>318.13</v>
      </c>
      <c r="E708">
        <v>1.81</v>
      </c>
      <c r="F708">
        <v>1.85</v>
      </c>
      <c r="G708">
        <v>0.55000000000000004</v>
      </c>
      <c r="H708">
        <v>0.77</v>
      </c>
      <c r="I708">
        <v>2.0249999999999999</v>
      </c>
      <c r="J708">
        <v>49.3</v>
      </c>
      <c r="K708" t="s">
        <v>55</v>
      </c>
      <c r="L708" t="s">
        <v>51</v>
      </c>
      <c r="M708">
        <v>2</v>
      </c>
      <c r="N708">
        <v>25.196000000000002</v>
      </c>
      <c r="O708">
        <v>0</v>
      </c>
      <c r="P708">
        <v>1.41</v>
      </c>
      <c r="Q708" t="s">
        <v>52</v>
      </c>
      <c r="R708">
        <v>80</v>
      </c>
      <c r="S708">
        <v>24</v>
      </c>
      <c r="T708">
        <v>400</v>
      </c>
      <c r="U708">
        <v>12</v>
      </c>
      <c r="V708" s="7">
        <v>0.76224839171129977</v>
      </c>
      <c r="W708">
        <v>127</v>
      </c>
      <c r="X708">
        <v>0.24399999999999999</v>
      </c>
      <c r="Y708">
        <v>3.9</v>
      </c>
      <c r="Z708" t="s">
        <v>164</v>
      </c>
      <c r="AA708">
        <v>10.8</v>
      </c>
      <c r="AB708">
        <v>25</v>
      </c>
      <c r="AC708" s="17">
        <v>1</v>
      </c>
      <c r="AD708">
        <v>6</v>
      </c>
      <c r="AE708">
        <v>10</v>
      </c>
      <c r="AF708" s="11">
        <v>0.79</v>
      </c>
    </row>
    <row r="709" spans="1:32" x14ac:dyDescent="0.3">
      <c r="A709" t="s">
        <v>131</v>
      </c>
      <c r="B709" t="s">
        <v>16</v>
      </c>
      <c r="C709">
        <v>4.51</v>
      </c>
      <c r="D709">
        <v>318.13</v>
      </c>
      <c r="E709">
        <v>1.81</v>
      </c>
      <c r="F709">
        <v>1.85</v>
      </c>
      <c r="G709">
        <v>0.55000000000000004</v>
      </c>
      <c r="H709">
        <v>0.77</v>
      </c>
      <c r="I709">
        <v>2.0249999999999999</v>
      </c>
      <c r="J709">
        <v>49.3</v>
      </c>
      <c r="K709" t="s">
        <v>55</v>
      </c>
      <c r="L709" t="s">
        <v>51</v>
      </c>
      <c r="M709">
        <v>2</v>
      </c>
      <c r="N709">
        <v>25.196000000000002</v>
      </c>
      <c r="O709">
        <v>0</v>
      </c>
      <c r="P709">
        <v>1.41</v>
      </c>
      <c r="Q709" t="s">
        <v>52</v>
      </c>
      <c r="R709">
        <v>80</v>
      </c>
      <c r="S709">
        <v>24</v>
      </c>
      <c r="T709">
        <v>400</v>
      </c>
      <c r="U709">
        <v>12</v>
      </c>
      <c r="V709" s="7">
        <v>0.76224839171129977</v>
      </c>
      <c r="W709">
        <v>127</v>
      </c>
      <c r="X709">
        <v>0.24399999999999999</v>
      </c>
      <c r="Y709">
        <v>3.9</v>
      </c>
      <c r="Z709" t="s">
        <v>164</v>
      </c>
      <c r="AA709">
        <v>10.8</v>
      </c>
      <c r="AB709">
        <v>25</v>
      </c>
      <c r="AC709" s="17">
        <v>1</v>
      </c>
      <c r="AD709">
        <v>10</v>
      </c>
      <c r="AE709">
        <v>10</v>
      </c>
      <c r="AF709" s="11">
        <v>0.79</v>
      </c>
    </row>
    <row r="710" spans="1:32" x14ac:dyDescent="0.3">
      <c r="A710" t="s">
        <v>131</v>
      </c>
      <c r="B710" t="s">
        <v>16</v>
      </c>
      <c r="C710">
        <v>4.51</v>
      </c>
      <c r="D710">
        <v>318.13</v>
      </c>
      <c r="E710">
        <v>1.81</v>
      </c>
      <c r="F710">
        <v>1.85</v>
      </c>
      <c r="G710">
        <v>0.55000000000000004</v>
      </c>
      <c r="H710">
        <v>0.77</v>
      </c>
      <c r="I710">
        <v>2.0249999999999999</v>
      </c>
      <c r="J710">
        <v>49.3</v>
      </c>
      <c r="K710" t="s">
        <v>55</v>
      </c>
      <c r="L710" t="s">
        <v>51</v>
      </c>
      <c r="M710">
        <v>2</v>
      </c>
      <c r="N710">
        <v>25.196000000000002</v>
      </c>
      <c r="O710">
        <v>0</v>
      </c>
      <c r="P710">
        <v>1.41</v>
      </c>
      <c r="Q710" t="s">
        <v>52</v>
      </c>
      <c r="R710">
        <v>80</v>
      </c>
      <c r="S710">
        <v>24</v>
      </c>
      <c r="T710">
        <v>400</v>
      </c>
      <c r="U710">
        <v>12</v>
      </c>
      <c r="V710" s="7">
        <v>0.76224839171129977</v>
      </c>
      <c r="W710">
        <v>127</v>
      </c>
      <c r="X710">
        <v>0.24399999999999999</v>
      </c>
      <c r="Y710">
        <v>3.9</v>
      </c>
      <c r="Z710" t="s">
        <v>164</v>
      </c>
      <c r="AA710">
        <v>10.8</v>
      </c>
      <c r="AB710">
        <v>25</v>
      </c>
      <c r="AC710" s="21">
        <f>5/60</f>
        <v>8.3333333333333329E-2</v>
      </c>
      <c r="AD710">
        <v>2</v>
      </c>
      <c r="AE710">
        <v>10</v>
      </c>
      <c r="AF710" s="11">
        <v>0.01</v>
      </c>
    </row>
    <row r="711" spans="1:32" x14ac:dyDescent="0.3">
      <c r="A711" t="s">
        <v>131</v>
      </c>
      <c r="B711" t="s">
        <v>16</v>
      </c>
      <c r="C711">
        <v>4.51</v>
      </c>
      <c r="D711">
        <v>318.13</v>
      </c>
      <c r="E711">
        <v>1.81</v>
      </c>
      <c r="F711">
        <v>1.85</v>
      </c>
      <c r="G711">
        <v>0.55000000000000004</v>
      </c>
      <c r="H711">
        <v>0.77</v>
      </c>
      <c r="I711">
        <v>2.0249999999999999</v>
      </c>
      <c r="J711">
        <v>49.3</v>
      </c>
      <c r="K711" t="s">
        <v>55</v>
      </c>
      <c r="L711" t="s">
        <v>51</v>
      </c>
      <c r="M711">
        <v>2</v>
      </c>
      <c r="N711">
        <v>25.196000000000002</v>
      </c>
      <c r="O711">
        <v>0</v>
      </c>
      <c r="P711">
        <v>1.41</v>
      </c>
      <c r="Q711" t="s">
        <v>52</v>
      </c>
      <c r="R711">
        <v>80</v>
      </c>
      <c r="S711">
        <v>24</v>
      </c>
      <c r="T711">
        <v>400</v>
      </c>
      <c r="U711">
        <v>12</v>
      </c>
      <c r="V711" s="7">
        <v>0.76224839171129977</v>
      </c>
      <c r="W711">
        <v>127</v>
      </c>
      <c r="X711">
        <v>0.24399999999999999</v>
      </c>
      <c r="Y711">
        <v>3.9</v>
      </c>
      <c r="Z711" t="s">
        <v>164</v>
      </c>
      <c r="AA711">
        <v>10.8</v>
      </c>
      <c r="AB711">
        <v>25</v>
      </c>
      <c r="AC711" s="21">
        <f>10/60</f>
        <v>0.16666666666666666</v>
      </c>
      <c r="AD711">
        <v>2</v>
      </c>
      <c r="AE711">
        <v>10</v>
      </c>
      <c r="AF711" s="11">
        <v>0.05</v>
      </c>
    </row>
    <row r="712" spans="1:32" x14ac:dyDescent="0.3">
      <c r="A712" t="s">
        <v>131</v>
      </c>
      <c r="B712" t="s">
        <v>16</v>
      </c>
      <c r="C712">
        <v>4.51</v>
      </c>
      <c r="D712">
        <v>318.13</v>
      </c>
      <c r="E712">
        <v>1.81</v>
      </c>
      <c r="F712">
        <v>1.85</v>
      </c>
      <c r="G712">
        <v>0.55000000000000004</v>
      </c>
      <c r="H712">
        <v>0.77</v>
      </c>
      <c r="I712">
        <v>2.0249999999999999</v>
      </c>
      <c r="J712">
        <v>49.3</v>
      </c>
      <c r="K712" t="s">
        <v>55</v>
      </c>
      <c r="L712" t="s">
        <v>51</v>
      </c>
      <c r="M712">
        <v>2</v>
      </c>
      <c r="N712">
        <v>25.196000000000002</v>
      </c>
      <c r="O712">
        <v>0</v>
      </c>
      <c r="P712">
        <v>1.41</v>
      </c>
      <c r="Q712" t="s">
        <v>52</v>
      </c>
      <c r="R712">
        <v>80</v>
      </c>
      <c r="S712">
        <v>24</v>
      </c>
      <c r="T712">
        <v>400</v>
      </c>
      <c r="U712">
        <v>12</v>
      </c>
      <c r="V712" s="7">
        <v>0.76224839171129977</v>
      </c>
      <c r="W712">
        <v>127</v>
      </c>
      <c r="X712">
        <v>0.24399999999999999</v>
      </c>
      <c r="Y712">
        <v>3.9</v>
      </c>
      <c r="Z712" t="s">
        <v>164</v>
      </c>
      <c r="AA712">
        <v>10.8</v>
      </c>
      <c r="AB712">
        <v>25</v>
      </c>
      <c r="AC712" s="21">
        <f>20/60</f>
        <v>0.33333333333333331</v>
      </c>
      <c r="AD712">
        <v>2</v>
      </c>
      <c r="AE712">
        <v>10</v>
      </c>
      <c r="AF712" s="11">
        <v>0.5</v>
      </c>
    </row>
    <row r="713" spans="1:32" x14ac:dyDescent="0.3">
      <c r="A713" t="s">
        <v>131</v>
      </c>
      <c r="B713" t="s">
        <v>16</v>
      </c>
      <c r="C713">
        <v>4.51</v>
      </c>
      <c r="D713">
        <v>318.13</v>
      </c>
      <c r="E713">
        <v>1.81</v>
      </c>
      <c r="F713">
        <v>1.85</v>
      </c>
      <c r="G713">
        <v>0.55000000000000004</v>
      </c>
      <c r="H713">
        <v>0.77</v>
      </c>
      <c r="I713">
        <v>2.0249999999999999</v>
      </c>
      <c r="J713">
        <v>49.3</v>
      </c>
      <c r="K713" t="s">
        <v>55</v>
      </c>
      <c r="L713" t="s">
        <v>51</v>
      </c>
      <c r="M713">
        <v>2</v>
      </c>
      <c r="N713">
        <v>25.196000000000002</v>
      </c>
      <c r="O713">
        <v>0</v>
      </c>
      <c r="P713">
        <v>1.41</v>
      </c>
      <c r="Q713" t="s">
        <v>52</v>
      </c>
      <c r="R713">
        <v>80</v>
      </c>
      <c r="S713">
        <v>24</v>
      </c>
      <c r="T713">
        <v>400</v>
      </c>
      <c r="U713">
        <v>12</v>
      </c>
      <c r="V713" s="7">
        <v>0.76224839171129977</v>
      </c>
      <c r="W713">
        <v>127</v>
      </c>
      <c r="X713">
        <v>0.24399999999999999</v>
      </c>
      <c r="Y713">
        <v>3.9</v>
      </c>
      <c r="Z713" t="s">
        <v>164</v>
      </c>
      <c r="AA713">
        <v>10.8</v>
      </c>
      <c r="AB713">
        <v>25</v>
      </c>
      <c r="AC713" s="17">
        <f>30/60</f>
        <v>0.5</v>
      </c>
      <c r="AD713">
        <v>2</v>
      </c>
      <c r="AE713">
        <v>10</v>
      </c>
      <c r="AF713" s="11">
        <v>0.65</v>
      </c>
    </row>
    <row r="714" spans="1:32" x14ac:dyDescent="0.3">
      <c r="A714" t="s">
        <v>131</v>
      </c>
      <c r="B714" t="s">
        <v>16</v>
      </c>
      <c r="C714">
        <v>4.51</v>
      </c>
      <c r="D714">
        <v>318.13</v>
      </c>
      <c r="E714">
        <v>1.81</v>
      </c>
      <c r="F714">
        <v>1.85</v>
      </c>
      <c r="G714">
        <v>0.55000000000000004</v>
      </c>
      <c r="H714">
        <v>0.77</v>
      </c>
      <c r="I714">
        <v>2.0249999999999999</v>
      </c>
      <c r="J714">
        <v>49.3</v>
      </c>
      <c r="K714" t="s">
        <v>55</v>
      </c>
      <c r="L714" t="s">
        <v>51</v>
      </c>
      <c r="M714">
        <v>2</v>
      </c>
      <c r="N714">
        <v>25.196000000000002</v>
      </c>
      <c r="O714">
        <v>0</v>
      </c>
      <c r="P714">
        <v>1.41</v>
      </c>
      <c r="Q714" t="s">
        <v>52</v>
      </c>
      <c r="R714">
        <v>80</v>
      </c>
      <c r="S714">
        <v>24</v>
      </c>
      <c r="T714">
        <v>400</v>
      </c>
      <c r="U714">
        <v>12</v>
      </c>
      <c r="V714" s="7">
        <v>0.76224839171129977</v>
      </c>
      <c r="W714">
        <v>127</v>
      </c>
      <c r="X714">
        <v>0.24399999999999999</v>
      </c>
      <c r="Y714">
        <v>3.9</v>
      </c>
      <c r="Z714" t="s">
        <v>164</v>
      </c>
      <c r="AA714">
        <v>10.8</v>
      </c>
      <c r="AB714">
        <v>25</v>
      </c>
      <c r="AC714" s="17">
        <v>1</v>
      </c>
      <c r="AD714">
        <v>2</v>
      </c>
      <c r="AE714">
        <v>10</v>
      </c>
      <c r="AF714" s="11">
        <v>0.7</v>
      </c>
    </row>
    <row r="715" spans="1:32" x14ac:dyDescent="0.3">
      <c r="A715" t="s">
        <v>131</v>
      </c>
      <c r="B715" t="s">
        <v>16</v>
      </c>
      <c r="C715">
        <v>4.51</v>
      </c>
      <c r="D715">
        <v>318.13</v>
      </c>
      <c r="E715">
        <v>1.81</v>
      </c>
      <c r="F715">
        <v>1.85</v>
      </c>
      <c r="G715">
        <v>0.55000000000000004</v>
      </c>
      <c r="H715">
        <v>0.77</v>
      </c>
      <c r="I715">
        <v>2.0249999999999999</v>
      </c>
      <c r="J715">
        <v>49.3</v>
      </c>
      <c r="K715" t="s">
        <v>55</v>
      </c>
      <c r="L715" t="s">
        <v>51</v>
      </c>
      <c r="M715">
        <v>2</v>
      </c>
      <c r="N715">
        <v>25.196000000000002</v>
      </c>
      <c r="O715">
        <v>0</v>
      </c>
      <c r="P715">
        <v>1.41</v>
      </c>
      <c r="Q715" t="s">
        <v>52</v>
      </c>
      <c r="R715">
        <v>80</v>
      </c>
      <c r="S715">
        <v>24</v>
      </c>
      <c r="T715">
        <v>400</v>
      </c>
      <c r="U715">
        <v>12</v>
      </c>
      <c r="V715" s="7">
        <v>0.76224839171129977</v>
      </c>
      <c r="W715">
        <v>127</v>
      </c>
      <c r="X715">
        <v>0.24399999999999999</v>
      </c>
      <c r="Y715">
        <v>3.9</v>
      </c>
      <c r="Z715" t="s">
        <v>164</v>
      </c>
      <c r="AA715">
        <v>10.8</v>
      </c>
      <c r="AB715">
        <v>25</v>
      </c>
      <c r="AC715" s="17">
        <f>90/60</f>
        <v>1.5</v>
      </c>
      <c r="AD715">
        <v>2</v>
      </c>
      <c r="AE715">
        <v>10</v>
      </c>
      <c r="AF715" s="11">
        <v>0.7</v>
      </c>
    </row>
    <row r="716" spans="1:32" x14ac:dyDescent="0.3">
      <c r="A716" t="s">
        <v>131</v>
      </c>
      <c r="B716" t="s">
        <v>16</v>
      </c>
      <c r="C716">
        <v>4.51</v>
      </c>
      <c r="D716">
        <v>318.13</v>
      </c>
      <c r="E716">
        <v>1.81</v>
      </c>
      <c r="F716">
        <v>1.85</v>
      </c>
      <c r="G716">
        <v>0.55000000000000004</v>
      </c>
      <c r="H716">
        <v>0.77</v>
      </c>
      <c r="I716">
        <v>2.0249999999999999</v>
      </c>
      <c r="J716">
        <v>49.3</v>
      </c>
      <c r="K716" t="s">
        <v>55</v>
      </c>
      <c r="L716" t="s">
        <v>51</v>
      </c>
      <c r="M716">
        <v>2</v>
      </c>
      <c r="N716">
        <v>25.196000000000002</v>
      </c>
      <c r="O716">
        <v>0</v>
      </c>
      <c r="P716">
        <v>1.41</v>
      </c>
      <c r="Q716" t="s">
        <v>52</v>
      </c>
      <c r="R716">
        <v>80</v>
      </c>
      <c r="S716">
        <v>24</v>
      </c>
      <c r="T716">
        <v>400</v>
      </c>
      <c r="U716">
        <v>12</v>
      </c>
      <c r="V716" s="7">
        <v>0.76224839171129977</v>
      </c>
      <c r="W716">
        <v>127</v>
      </c>
      <c r="X716">
        <v>0.24399999999999999</v>
      </c>
      <c r="Y716">
        <v>3.9</v>
      </c>
      <c r="Z716" t="s">
        <v>164</v>
      </c>
      <c r="AA716">
        <v>10.8</v>
      </c>
      <c r="AB716">
        <v>25</v>
      </c>
      <c r="AC716" s="17">
        <f>120/60</f>
        <v>2</v>
      </c>
      <c r="AD716">
        <v>2</v>
      </c>
      <c r="AE716">
        <v>10</v>
      </c>
      <c r="AF716" s="11">
        <v>0.69</v>
      </c>
    </row>
    <row r="717" spans="1:32" x14ac:dyDescent="0.3">
      <c r="A717" t="s">
        <v>131</v>
      </c>
      <c r="B717" t="s">
        <v>16</v>
      </c>
      <c r="C717">
        <v>4.51</v>
      </c>
      <c r="D717">
        <v>318.13</v>
      </c>
      <c r="E717">
        <v>1.81</v>
      </c>
      <c r="F717">
        <v>1.85</v>
      </c>
      <c r="G717">
        <v>0.55000000000000004</v>
      </c>
      <c r="H717">
        <v>0.77</v>
      </c>
      <c r="I717">
        <v>2.0249999999999999</v>
      </c>
      <c r="J717">
        <v>49.3</v>
      </c>
      <c r="K717" t="s">
        <v>55</v>
      </c>
      <c r="L717" t="s">
        <v>51</v>
      </c>
      <c r="M717">
        <v>2</v>
      </c>
      <c r="N717">
        <v>25.196000000000002</v>
      </c>
      <c r="O717">
        <v>0</v>
      </c>
      <c r="P717">
        <v>1.41</v>
      </c>
      <c r="Q717" t="s">
        <v>52</v>
      </c>
      <c r="R717">
        <v>80</v>
      </c>
      <c r="S717">
        <v>24</v>
      </c>
      <c r="T717">
        <v>400</v>
      </c>
      <c r="U717">
        <v>12</v>
      </c>
      <c r="V717" s="7">
        <v>0.76224839171129977</v>
      </c>
      <c r="W717">
        <v>127</v>
      </c>
      <c r="X717">
        <v>0.24399999999999999</v>
      </c>
      <c r="Y717">
        <v>3.9</v>
      </c>
      <c r="Z717" t="s">
        <v>164</v>
      </c>
      <c r="AA717">
        <v>10.8</v>
      </c>
      <c r="AB717">
        <v>25</v>
      </c>
      <c r="AC717" s="17">
        <f>180/60</f>
        <v>3</v>
      </c>
      <c r="AD717">
        <v>2</v>
      </c>
      <c r="AE717">
        <v>10</v>
      </c>
      <c r="AF717" s="11">
        <v>0.7</v>
      </c>
    </row>
    <row r="718" spans="1:32" x14ac:dyDescent="0.3">
      <c r="A718" t="s">
        <v>131</v>
      </c>
      <c r="B718" t="s">
        <v>16</v>
      </c>
      <c r="C718">
        <v>4.51</v>
      </c>
      <c r="D718">
        <v>318.13</v>
      </c>
      <c r="E718">
        <v>1.81</v>
      </c>
      <c r="F718">
        <v>1.85</v>
      </c>
      <c r="G718">
        <v>0.55000000000000004</v>
      </c>
      <c r="H718">
        <v>0.77</v>
      </c>
      <c r="I718">
        <v>2.0249999999999999</v>
      </c>
      <c r="J718">
        <v>49.3</v>
      </c>
      <c r="K718" t="s">
        <v>55</v>
      </c>
      <c r="L718" t="s">
        <v>51</v>
      </c>
      <c r="M718">
        <v>2</v>
      </c>
      <c r="N718">
        <v>25.196000000000002</v>
      </c>
      <c r="O718">
        <v>0</v>
      </c>
      <c r="P718">
        <v>1.41</v>
      </c>
      <c r="Q718" t="s">
        <v>52</v>
      </c>
      <c r="R718">
        <v>80</v>
      </c>
      <c r="S718">
        <v>24</v>
      </c>
      <c r="T718">
        <v>400</v>
      </c>
      <c r="U718">
        <v>12</v>
      </c>
      <c r="V718" s="7">
        <v>0.76224839171129977</v>
      </c>
      <c r="W718">
        <v>127</v>
      </c>
      <c r="X718">
        <v>0.24399999999999999</v>
      </c>
      <c r="Y718">
        <v>3.9</v>
      </c>
      <c r="Z718" t="s">
        <v>164</v>
      </c>
      <c r="AA718">
        <v>10.8</v>
      </c>
      <c r="AB718">
        <v>25</v>
      </c>
      <c r="AC718" s="17">
        <f>240/60</f>
        <v>4</v>
      </c>
      <c r="AD718">
        <v>2</v>
      </c>
      <c r="AE718">
        <v>10</v>
      </c>
      <c r="AF718" s="11">
        <v>0.7</v>
      </c>
    </row>
    <row r="719" spans="1:32" x14ac:dyDescent="0.3">
      <c r="A719" t="s">
        <v>131</v>
      </c>
      <c r="B719" t="s">
        <v>16</v>
      </c>
      <c r="C719">
        <v>4.51</v>
      </c>
      <c r="D719">
        <v>318.13</v>
      </c>
      <c r="E719">
        <v>1.81</v>
      </c>
      <c r="F719">
        <v>1.85</v>
      </c>
      <c r="G719">
        <v>0.55000000000000004</v>
      </c>
      <c r="H719">
        <v>0.77</v>
      </c>
      <c r="I719">
        <v>2.0249999999999999</v>
      </c>
      <c r="J719">
        <v>49.3</v>
      </c>
      <c r="K719" t="s">
        <v>45</v>
      </c>
      <c r="L719" t="s">
        <v>51</v>
      </c>
      <c r="M719">
        <v>2</v>
      </c>
      <c r="N719">
        <v>52.58</v>
      </c>
      <c r="O719">
        <v>6.7</v>
      </c>
      <c r="P719">
        <v>1.64</v>
      </c>
      <c r="Q719" t="s">
        <v>52</v>
      </c>
      <c r="R719">
        <v>80</v>
      </c>
      <c r="S719">
        <v>24</v>
      </c>
      <c r="T719">
        <v>400</v>
      </c>
      <c r="U719">
        <v>12</v>
      </c>
      <c r="V719" s="7">
        <v>0.76224839171129977</v>
      </c>
      <c r="W719">
        <v>120</v>
      </c>
      <c r="X719">
        <v>0.30599999999999999</v>
      </c>
      <c r="Y719">
        <v>6.4</v>
      </c>
      <c r="Z719" t="s">
        <v>164</v>
      </c>
      <c r="AA719">
        <v>10.3</v>
      </c>
      <c r="AB719">
        <v>25</v>
      </c>
      <c r="AC719" s="17">
        <v>1</v>
      </c>
      <c r="AD719">
        <v>0.5</v>
      </c>
      <c r="AE719">
        <v>10</v>
      </c>
      <c r="AF719" s="11">
        <v>0.5</v>
      </c>
    </row>
    <row r="720" spans="1:32" x14ac:dyDescent="0.3">
      <c r="A720" t="s">
        <v>131</v>
      </c>
      <c r="B720" t="s">
        <v>16</v>
      </c>
      <c r="C720">
        <v>4.51</v>
      </c>
      <c r="D720">
        <v>318.13</v>
      </c>
      <c r="E720">
        <v>1.81</v>
      </c>
      <c r="F720">
        <v>1.85</v>
      </c>
      <c r="G720">
        <v>0.55000000000000004</v>
      </c>
      <c r="H720">
        <v>0.77</v>
      </c>
      <c r="I720">
        <v>2.0249999999999999</v>
      </c>
      <c r="J720">
        <v>49.3</v>
      </c>
      <c r="K720" t="s">
        <v>45</v>
      </c>
      <c r="L720" t="s">
        <v>51</v>
      </c>
      <c r="M720">
        <v>2</v>
      </c>
      <c r="N720">
        <v>52.58</v>
      </c>
      <c r="O720">
        <v>6.7</v>
      </c>
      <c r="P720">
        <v>1.64</v>
      </c>
      <c r="Q720" t="s">
        <v>52</v>
      </c>
      <c r="R720">
        <v>80</v>
      </c>
      <c r="S720">
        <v>24</v>
      </c>
      <c r="T720">
        <v>400</v>
      </c>
      <c r="U720">
        <v>12</v>
      </c>
      <c r="V720" s="7">
        <v>0.76224839171129977</v>
      </c>
      <c r="W720">
        <v>120</v>
      </c>
      <c r="X720">
        <v>0.30599999999999999</v>
      </c>
      <c r="Y720">
        <v>6.4</v>
      </c>
      <c r="Z720" t="s">
        <v>164</v>
      </c>
      <c r="AA720">
        <v>10.3</v>
      </c>
      <c r="AB720">
        <v>25</v>
      </c>
      <c r="AC720" s="17">
        <v>1</v>
      </c>
      <c r="AD720">
        <v>1</v>
      </c>
      <c r="AE720">
        <v>10</v>
      </c>
      <c r="AF720" s="11">
        <v>0.65</v>
      </c>
    </row>
    <row r="721" spans="1:32" x14ac:dyDescent="0.3">
      <c r="A721" t="s">
        <v>131</v>
      </c>
      <c r="B721" t="s">
        <v>16</v>
      </c>
      <c r="C721">
        <v>4.51</v>
      </c>
      <c r="D721">
        <v>318.13</v>
      </c>
      <c r="E721">
        <v>1.81</v>
      </c>
      <c r="F721">
        <v>1.85</v>
      </c>
      <c r="G721">
        <v>0.55000000000000004</v>
      </c>
      <c r="H721">
        <v>0.77</v>
      </c>
      <c r="I721">
        <v>2.0249999999999999</v>
      </c>
      <c r="J721">
        <v>49.3</v>
      </c>
      <c r="K721" t="s">
        <v>45</v>
      </c>
      <c r="L721" t="s">
        <v>51</v>
      </c>
      <c r="M721">
        <v>2</v>
      </c>
      <c r="N721">
        <v>52.58</v>
      </c>
      <c r="O721">
        <v>6.7</v>
      </c>
      <c r="P721">
        <v>1.64</v>
      </c>
      <c r="Q721" t="s">
        <v>52</v>
      </c>
      <c r="R721">
        <v>80</v>
      </c>
      <c r="S721">
        <v>24</v>
      </c>
      <c r="T721">
        <v>400</v>
      </c>
      <c r="U721">
        <v>12</v>
      </c>
      <c r="V721" s="7">
        <v>0.76224839171129977</v>
      </c>
      <c r="W721">
        <v>120</v>
      </c>
      <c r="X721">
        <v>0.30599999999999999</v>
      </c>
      <c r="Y721">
        <v>6.4</v>
      </c>
      <c r="Z721" t="s">
        <v>164</v>
      </c>
      <c r="AA721">
        <v>10.3</v>
      </c>
      <c r="AB721">
        <v>25</v>
      </c>
      <c r="AC721" s="17">
        <v>1</v>
      </c>
      <c r="AD721">
        <v>1.5</v>
      </c>
      <c r="AE721">
        <v>10</v>
      </c>
      <c r="AF721" s="11">
        <v>0.7</v>
      </c>
    </row>
    <row r="722" spans="1:32" x14ac:dyDescent="0.3">
      <c r="A722" t="s">
        <v>131</v>
      </c>
      <c r="B722" t="s">
        <v>16</v>
      </c>
      <c r="C722">
        <v>4.51</v>
      </c>
      <c r="D722">
        <v>318.13</v>
      </c>
      <c r="E722">
        <v>1.81</v>
      </c>
      <c r="F722">
        <v>1.85</v>
      </c>
      <c r="G722">
        <v>0.55000000000000004</v>
      </c>
      <c r="H722">
        <v>0.77</v>
      </c>
      <c r="I722">
        <v>2.0249999999999999</v>
      </c>
      <c r="J722">
        <v>49.3</v>
      </c>
      <c r="K722" t="s">
        <v>45</v>
      </c>
      <c r="L722" t="s">
        <v>51</v>
      </c>
      <c r="M722">
        <v>2</v>
      </c>
      <c r="N722">
        <v>52.58</v>
      </c>
      <c r="O722">
        <v>6.7</v>
      </c>
      <c r="P722">
        <v>1.64</v>
      </c>
      <c r="Q722" t="s">
        <v>52</v>
      </c>
      <c r="R722">
        <v>80</v>
      </c>
      <c r="S722">
        <v>24</v>
      </c>
      <c r="T722">
        <v>400</v>
      </c>
      <c r="U722">
        <v>12</v>
      </c>
      <c r="V722" s="7">
        <v>0.76224839171129977</v>
      </c>
      <c r="W722">
        <v>120</v>
      </c>
      <c r="X722">
        <v>0.30599999999999999</v>
      </c>
      <c r="Y722">
        <v>6.4</v>
      </c>
      <c r="Z722" t="s">
        <v>164</v>
      </c>
      <c r="AA722">
        <v>10.3</v>
      </c>
      <c r="AB722">
        <v>25</v>
      </c>
      <c r="AC722" s="17">
        <v>1</v>
      </c>
      <c r="AD722">
        <v>2</v>
      </c>
      <c r="AE722">
        <v>10</v>
      </c>
      <c r="AF722" s="11">
        <v>0.75</v>
      </c>
    </row>
    <row r="723" spans="1:32" x14ac:dyDescent="0.3">
      <c r="A723" t="s">
        <v>131</v>
      </c>
      <c r="B723" t="s">
        <v>16</v>
      </c>
      <c r="C723">
        <v>4.51</v>
      </c>
      <c r="D723">
        <v>318.13</v>
      </c>
      <c r="E723">
        <v>1.81</v>
      </c>
      <c r="F723">
        <v>1.85</v>
      </c>
      <c r="G723">
        <v>0.55000000000000004</v>
      </c>
      <c r="H723">
        <v>0.77</v>
      </c>
      <c r="I723">
        <v>2.0249999999999999</v>
      </c>
      <c r="J723">
        <v>49.3</v>
      </c>
      <c r="K723" t="s">
        <v>45</v>
      </c>
      <c r="L723" t="s">
        <v>51</v>
      </c>
      <c r="M723">
        <v>2</v>
      </c>
      <c r="N723">
        <v>52.58</v>
      </c>
      <c r="O723">
        <v>6.7</v>
      </c>
      <c r="P723">
        <v>1.64</v>
      </c>
      <c r="Q723" t="s">
        <v>52</v>
      </c>
      <c r="R723">
        <v>80</v>
      </c>
      <c r="S723">
        <v>24</v>
      </c>
      <c r="T723">
        <v>400</v>
      </c>
      <c r="U723">
        <v>12</v>
      </c>
      <c r="V723" s="7">
        <v>0.76224839171129977</v>
      </c>
      <c r="W723">
        <v>120</v>
      </c>
      <c r="X723">
        <v>0.30599999999999999</v>
      </c>
      <c r="Y723">
        <v>6.4</v>
      </c>
      <c r="Z723" t="s">
        <v>164</v>
      </c>
      <c r="AA723">
        <v>10.3</v>
      </c>
      <c r="AB723">
        <v>25</v>
      </c>
      <c r="AC723" s="17">
        <v>1</v>
      </c>
      <c r="AD723">
        <v>6</v>
      </c>
      <c r="AE723">
        <v>10</v>
      </c>
      <c r="AF723" s="11">
        <v>0.75</v>
      </c>
    </row>
    <row r="724" spans="1:32" x14ac:dyDescent="0.3">
      <c r="A724" t="s">
        <v>131</v>
      </c>
      <c r="B724" t="s">
        <v>16</v>
      </c>
      <c r="C724">
        <v>4.51</v>
      </c>
      <c r="D724">
        <v>318.13</v>
      </c>
      <c r="E724">
        <v>1.81</v>
      </c>
      <c r="F724">
        <v>1.85</v>
      </c>
      <c r="G724">
        <v>0.55000000000000004</v>
      </c>
      <c r="H724">
        <v>0.77</v>
      </c>
      <c r="I724">
        <v>2.0249999999999999</v>
      </c>
      <c r="J724">
        <v>49.3</v>
      </c>
      <c r="K724" t="s">
        <v>45</v>
      </c>
      <c r="L724" t="s">
        <v>51</v>
      </c>
      <c r="M724">
        <v>2</v>
      </c>
      <c r="N724">
        <v>52.58</v>
      </c>
      <c r="O724">
        <v>6.7</v>
      </c>
      <c r="P724">
        <v>1.64</v>
      </c>
      <c r="Q724" t="s">
        <v>52</v>
      </c>
      <c r="R724">
        <v>80</v>
      </c>
      <c r="S724">
        <v>24</v>
      </c>
      <c r="T724">
        <v>400</v>
      </c>
      <c r="U724">
        <v>12</v>
      </c>
      <c r="V724" s="7">
        <v>0.76224839171129977</v>
      </c>
      <c r="W724">
        <v>120</v>
      </c>
      <c r="X724">
        <v>0.30599999999999999</v>
      </c>
      <c r="Y724">
        <v>6.4</v>
      </c>
      <c r="Z724" t="s">
        <v>164</v>
      </c>
      <c r="AA724">
        <v>10.3</v>
      </c>
      <c r="AB724">
        <v>25</v>
      </c>
      <c r="AC724" s="17">
        <v>1</v>
      </c>
      <c r="AD724">
        <v>10</v>
      </c>
      <c r="AE724">
        <v>10</v>
      </c>
      <c r="AF724" s="11">
        <v>0.75</v>
      </c>
    </row>
    <row r="725" spans="1:32" x14ac:dyDescent="0.3">
      <c r="A725" t="s">
        <v>131</v>
      </c>
      <c r="B725" t="s">
        <v>16</v>
      </c>
      <c r="C725">
        <v>4.51</v>
      </c>
      <c r="D725">
        <v>318.13</v>
      </c>
      <c r="E725">
        <v>1.81</v>
      </c>
      <c r="F725">
        <v>1.85</v>
      </c>
      <c r="G725">
        <v>0.55000000000000004</v>
      </c>
      <c r="H725">
        <v>0.77</v>
      </c>
      <c r="I725">
        <v>2.0249999999999999</v>
      </c>
      <c r="J725">
        <v>49.3</v>
      </c>
      <c r="K725" t="s">
        <v>45</v>
      </c>
      <c r="L725" t="s">
        <v>51</v>
      </c>
      <c r="M725">
        <v>2</v>
      </c>
      <c r="N725">
        <v>52.58</v>
      </c>
      <c r="O725">
        <v>6.7</v>
      </c>
      <c r="P725">
        <v>1.64</v>
      </c>
      <c r="Q725" t="s">
        <v>52</v>
      </c>
      <c r="R725">
        <v>80</v>
      </c>
      <c r="S725">
        <v>24</v>
      </c>
      <c r="T725">
        <v>400</v>
      </c>
      <c r="U725">
        <v>12</v>
      </c>
      <c r="V725" s="7">
        <v>0.76224839171129977</v>
      </c>
      <c r="W725">
        <v>120</v>
      </c>
      <c r="X725">
        <v>0.30599999999999999</v>
      </c>
      <c r="Y725">
        <v>6.4</v>
      </c>
      <c r="Z725" t="s">
        <v>164</v>
      </c>
      <c r="AA725">
        <v>10.3</v>
      </c>
      <c r="AB725">
        <v>25</v>
      </c>
      <c r="AC725" s="21">
        <f>5/60</f>
        <v>8.3333333333333329E-2</v>
      </c>
      <c r="AD725">
        <v>2</v>
      </c>
      <c r="AE725">
        <v>10</v>
      </c>
      <c r="AF725" s="11">
        <v>0.79</v>
      </c>
    </row>
    <row r="726" spans="1:32" x14ac:dyDescent="0.3">
      <c r="A726" t="s">
        <v>131</v>
      </c>
      <c r="B726" t="s">
        <v>16</v>
      </c>
      <c r="C726">
        <v>4.51</v>
      </c>
      <c r="D726">
        <v>318.13</v>
      </c>
      <c r="E726">
        <v>1.81</v>
      </c>
      <c r="F726">
        <v>1.85</v>
      </c>
      <c r="G726">
        <v>0.55000000000000004</v>
      </c>
      <c r="H726">
        <v>0.77</v>
      </c>
      <c r="I726">
        <v>2.0249999999999999</v>
      </c>
      <c r="J726">
        <v>49.3</v>
      </c>
      <c r="K726" t="s">
        <v>45</v>
      </c>
      <c r="L726" t="s">
        <v>51</v>
      </c>
      <c r="M726">
        <v>2</v>
      </c>
      <c r="N726">
        <v>52.58</v>
      </c>
      <c r="O726">
        <v>6.7</v>
      </c>
      <c r="P726">
        <v>1.64</v>
      </c>
      <c r="Q726" t="s">
        <v>52</v>
      </c>
      <c r="R726">
        <v>80</v>
      </c>
      <c r="S726">
        <v>24</v>
      </c>
      <c r="T726">
        <v>400</v>
      </c>
      <c r="U726">
        <v>12</v>
      </c>
      <c r="V726" s="7">
        <v>0.76224839171129977</v>
      </c>
      <c r="W726">
        <v>120</v>
      </c>
      <c r="X726">
        <v>0.30599999999999999</v>
      </c>
      <c r="Y726">
        <v>6.4</v>
      </c>
      <c r="Z726" t="s">
        <v>164</v>
      </c>
      <c r="AA726">
        <v>10.3</v>
      </c>
      <c r="AB726">
        <v>25</v>
      </c>
      <c r="AC726" s="21">
        <f>10/60</f>
        <v>0.16666666666666666</v>
      </c>
      <c r="AD726">
        <v>2</v>
      </c>
      <c r="AE726">
        <v>10</v>
      </c>
      <c r="AF726" s="11">
        <v>0.79</v>
      </c>
    </row>
    <row r="727" spans="1:32" x14ac:dyDescent="0.3">
      <c r="A727" t="s">
        <v>131</v>
      </c>
      <c r="B727" t="s">
        <v>16</v>
      </c>
      <c r="C727">
        <v>4.51</v>
      </c>
      <c r="D727">
        <v>318.13</v>
      </c>
      <c r="E727">
        <v>1.81</v>
      </c>
      <c r="F727">
        <v>1.85</v>
      </c>
      <c r="G727">
        <v>0.55000000000000004</v>
      </c>
      <c r="H727">
        <v>0.77</v>
      </c>
      <c r="I727">
        <v>2.0249999999999999</v>
      </c>
      <c r="J727">
        <v>49.3</v>
      </c>
      <c r="K727" t="s">
        <v>45</v>
      </c>
      <c r="L727" t="s">
        <v>51</v>
      </c>
      <c r="M727">
        <v>2</v>
      </c>
      <c r="N727">
        <v>52.58</v>
      </c>
      <c r="O727">
        <v>6.7</v>
      </c>
      <c r="P727">
        <v>1.64</v>
      </c>
      <c r="Q727" t="s">
        <v>52</v>
      </c>
      <c r="R727">
        <v>80</v>
      </c>
      <c r="S727">
        <v>24</v>
      </c>
      <c r="T727">
        <v>400</v>
      </c>
      <c r="U727">
        <v>12</v>
      </c>
      <c r="V727" s="7">
        <v>0.76224839171129977</v>
      </c>
      <c r="W727">
        <v>120</v>
      </c>
      <c r="X727">
        <v>0.30599999999999999</v>
      </c>
      <c r="Y727">
        <v>6.4</v>
      </c>
      <c r="Z727" t="s">
        <v>164</v>
      </c>
      <c r="AA727">
        <v>10.3</v>
      </c>
      <c r="AB727">
        <v>25</v>
      </c>
      <c r="AC727" s="21">
        <f>20/60</f>
        <v>0.33333333333333331</v>
      </c>
      <c r="AD727">
        <v>2</v>
      </c>
      <c r="AE727">
        <v>10</v>
      </c>
      <c r="AF727" s="11">
        <v>0.79</v>
      </c>
    </row>
    <row r="728" spans="1:32" x14ac:dyDescent="0.3">
      <c r="A728" t="s">
        <v>131</v>
      </c>
      <c r="B728" t="s">
        <v>16</v>
      </c>
      <c r="C728">
        <v>4.51</v>
      </c>
      <c r="D728">
        <v>318.13</v>
      </c>
      <c r="E728">
        <v>1.81</v>
      </c>
      <c r="F728">
        <v>1.85</v>
      </c>
      <c r="G728">
        <v>0.55000000000000004</v>
      </c>
      <c r="H728">
        <v>0.77</v>
      </c>
      <c r="I728">
        <v>2.0249999999999999</v>
      </c>
      <c r="J728">
        <v>49.3</v>
      </c>
      <c r="K728" t="s">
        <v>45</v>
      </c>
      <c r="L728" t="s">
        <v>51</v>
      </c>
      <c r="M728">
        <v>2</v>
      </c>
      <c r="N728">
        <v>52.58</v>
      </c>
      <c r="O728">
        <v>6.7</v>
      </c>
      <c r="P728">
        <v>1.64</v>
      </c>
      <c r="Q728" t="s">
        <v>52</v>
      </c>
      <c r="R728">
        <v>80</v>
      </c>
      <c r="S728">
        <v>24</v>
      </c>
      <c r="T728">
        <v>400</v>
      </c>
      <c r="U728">
        <v>12</v>
      </c>
      <c r="V728" s="7">
        <v>0.76224839171129977</v>
      </c>
      <c r="W728">
        <v>120</v>
      </c>
      <c r="X728">
        <v>0.30599999999999999</v>
      </c>
      <c r="Y728">
        <v>6.4</v>
      </c>
      <c r="Z728" t="s">
        <v>164</v>
      </c>
      <c r="AA728">
        <v>10.3</v>
      </c>
      <c r="AB728">
        <v>25</v>
      </c>
      <c r="AC728" s="17">
        <f>30/60</f>
        <v>0.5</v>
      </c>
      <c r="AD728">
        <v>2</v>
      </c>
      <c r="AE728">
        <v>10</v>
      </c>
      <c r="AF728" s="11">
        <v>0.79</v>
      </c>
    </row>
    <row r="729" spans="1:32" x14ac:dyDescent="0.3">
      <c r="A729" t="s">
        <v>131</v>
      </c>
      <c r="B729" t="s">
        <v>16</v>
      </c>
      <c r="C729">
        <v>4.51</v>
      </c>
      <c r="D729">
        <v>318.13</v>
      </c>
      <c r="E729">
        <v>1.81</v>
      </c>
      <c r="F729">
        <v>1.85</v>
      </c>
      <c r="G729">
        <v>0.55000000000000004</v>
      </c>
      <c r="H729">
        <v>0.77</v>
      </c>
      <c r="I729">
        <v>2.0249999999999999</v>
      </c>
      <c r="J729">
        <v>49.3</v>
      </c>
      <c r="K729" t="s">
        <v>45</v>
      </c>
      <c r="L729" t="s">
        <v>51</v>
      </c>
      <c r="M729">
        <v>2</v>
      </c>
      <c r="N729">
        <v>52.58</v>
      </c>
      <c r="O729">
        <v>6.7</v>
      </c>
      <c r="P729">
        <v>1.64</v>
      </c>
      <c r="Q729" t="s">
        <v>52</v>
      </c>
      <c r="R729">
        <v>80</v>
      </c>
      <c r="S729">
        <v>24</v>
      </c>
      <c r="T729">
        <v>400</v>
      </c>
      <c r="U729">
        <v>12</v>
      </c>
      <c r="V729" s="7">
        <v>0.76224839171129977</v>
      </c>
      <c r="W729">
        <v>120</v>
      </c>
      <c r="X729">
        <v>0.30599999999999999</v>
      </c>
      <c r="Y729">
        <v>6.4</v>
      </c>
      <c r="Z729" t="s">
        <v>164</v>
      </c>
      <c r="AA729">
        <v>10.3</v>
      </c>
      <c r="AB729">
        <v>25</v>
      </c>
      <c r="AC729" s="17">
        <v>1</v>
      </c>
      <c r="AD729">
        <v>2</v>
      </c>
      <c r="AE729">
        <v>10</v>
      </c>
      <c r="AF729" s="11">
        <v>0.79</v>
      </c>
    </row>
    <row r="730" spans="1:32" x14ac:dyDescent="0.3">
      <c r="A730" t="s">
        <v>131</v>
      </c>
      <c r="B730" t="s">
        <v>16</v>
      </c>
      <c r="C730">
        <v>4.51</v>
      </c>
      <c r="D730">
        <v>318.13</v>
      </c>
      <c r="E730">
        <v>1.81</v>
      </c>
      <c r="F730">
        <v>1.85</v>
      </c>
      <c r="G730">
        <v>0.55000000000000004</v>
      </c>
      <c r="H730">
        <v>0.77</v>
      </c>
      <c r="I730">
        <v>2.0249999999999999</v>
      </c>
      <c r="J730">
        <v>49.3</v>
      </c>
      <c r="K730" t="s">
        <v>45</v>
      </c>
      <c r="L730" t="s">
        <v>51</v>
      </c>
      <c r="M730">
        <v>2</v>
      </c>
      <c r="N730">
        <v>52.58</v>
      </c>
      <c r="O730">
        <v>6.7</v>
      </c>
      <c r="P730">
        <v>1.64</v>
      </c>
      <c r="Q730" t="s">
        <v>52</v>
      </c>
      <c r="R730">
        <v>80</v>
      </c>
      <c r="S730">
        <v>24</v>
      </c>
      <c r="T730">
        <v>400</v>
      </c>
      <c r="U730">
        <v>12</v>
      </c>
      <c r="V730" s="7">
        <v>0.76224839171129977</v>
      </c>
      <c r="W730">
        <v>120</v>
      </c>
      <c r="X730">
        <v>0.30599999999999999</v>
      </c>
      <c r="Y730">
        <v>6.4</v>
      </c>
      <c r="Z730" t="s">
        <v>164</v>
      </c>
      <c r="AA730">
        <v>10.3</v>
      </c>
      <c r="AB730">
        <v>25</v>
      </c>
      <c r="AC730" s="17">
        <f>90/60</f>
        <v>1.5</v>
      </c>
      <c r="AD730">
        <v>2</v>
      </c>
      <c r="AE730">
        <v>10</v>
      </c>
      <c r="AF730" s="11">
        <v>0.8</v>
      </c>
    </row>
    <row r="731" spans="1:32" x14ac:dyDescent="0.3">
      <c r="A731" t="s">
        <v>131</v>
      </c>
      <c r="B731" t="s">
        <v>16</v>
      </c>
      <c r="C731">
        <v>4.51</v>
      </c>
      <c r="D731">
        <v>318.13</v>
      </c>
      <c r="E731">
        <v>1.81</v>
      </c>
      <c r="F731">
        <v>1.85</v>
      </c>
      <c r="G731">
        <v>0.55000000000000004</v>
      </c>
      <c r="H731">
        <v>0.77</v>
      </c>
      <c r="I731">
        <v>2.0249999999999999</v>
      </c>
      <c r="J731">
        <v>49.3</v>
      </c>
      <c r="K731" t="s">
        <v>45</v>
      </c>
      <c r="L731" t="s">
        <v>51</v>
      </c>
      <c r="M731">
        <v>2</v>
      </c>
      <c r="N731">
        <v>52.58</v>
      </c>
      <c r="O731">
        <v>6.7</v>
      </c>
      <c r="P731">
        <v>1.64</v>
      </c>
      <c r="Q731" t="s">
        <v>52</v>
      </c>
      <c r="R731">
        <v>80</v>
      </c>
      <c r="S731">
        <v>24</v>
      </c>
      <c r="T731">
        <v>400</v>
      </c>
      <c r="U731">
        <v>12</v>
      </c>
      <c r="V731" s="7">
        <v>0.76224839171129977</v>
      </c>
      <c r="W731">
        <v>120</v>
      </c>
      <c r="X731">
        <v>0.30599999999999999</v>
      </c>
      <c r="Y731">
        <v>6.4</v>
      </c>
      <c r="Z731" t="s">
        <v>164</v>
      </c>
      <c r="AA731">
        <v>10.3</v>
      </c>
      <c r="AB731">
        <v>25</v>
      </c>
      <c r="AC731" s="17">
        <f>120/60</f>
        <v>2</v>
      </c>
      <c r="AD731">
        <v>2</v>
      </c>
      <c r="AE731">
        <v>10</v>
      </c>
      <c r="AF731" s="11">
        <v>0.79</v>
      </c>
    </row>
    <row r="732" spans="1:32" x14ac:dyDescent="0.3">
      <c r="A732" t="s">
        <v>131</v>
      </c>
      <c r="B732" t="s">
        <v>16</v>
      </c>
      <c r="C732">
        <v>4.51</v>
      </c>
      <c r="D732">
        <v>318.13</v>
      </c>
      <c r="E732">
        <v>1.81</v>
      </c>
      <c r="F732">
        <v>1.85</v>
      </c>
      <c r="G732">
        <v>0.55000000000000004</v>
      </c>
      <c r="H732">
        <v>0.77</v>
      </c>
      <c r="I732">
        <v>2.0249999999999999</v>
      </c>
      <c r="J732">
        <v>49.3</v>
      </c>
      <c r="K732" t="s">
        <v>45</v>
      </c>
      <c r="L732" t="s">
        <v>51</v>
      </c>
      <c r="M732">
        <v>2</v>
      </c>
      <c r="N732">
        <v>52.58</v>
      </c>
      <c r="O732">
        <v>6.7</v>
      </c>
      <c r="P732">
        <v>1.64</v>
      </c>
      <c r="Q732" t="s">
        <v>52</v>
      </c>
      <c r="R732">
        <v>80</v>
      </c>
      <c r="S732">
        <v>24</v>
      </c>
      <c r="T732">
        <v>400</v>
      </c>
      <c r="U732">
        <v>12</v>
      </c>
      <c r="V732" s="7">
        <v>0.76224839171129977</v>
      </c>
      <c r="W732">
        <v>120</v>
      </c>
      <c r="X732">
        <v>0.30599999999999999</v>
      </c>
      <c r="Y732">
        <v>6.4</v>
      </c>
      <c r="Z732" t="s">
        <v>164</v>
      </c>
      <c r="AA732">
        <v>10.3</v>
      </c>
      <c r="AB732">
        <v>25</v>
      </c>
      <c r="AC732" s="17">
        <f>180/60</f>
        <v>3</v>
      </c>
      <c r="AD732">
        <v>2</v>
      </c>
      <c r="AE732">
        <v>10</v>
      </c>
      <c r="AF732" s="11">
        <v>0.79</v>
      </c>
    </row>
    <row r="733" spans="1:32" x14ac:dyDescent="0.3">
      <c r="A733" t="s">
        <v>131</v>
      </c>
      <c r="B733" t="s">
        <v>16</v>
      </c>
      <c r="C733">
        <v>4.51</v>
      </c>
      <c r="D733">
        <v>318.13</v>
      </c>
      <c r="E733">
        <v>1.81</v>
      </c>
      <c r="F733">
        <v>1.85</v>
      </c>
      <c r="G733">
        <v>0.55000000000000004</v>
      </c>
      <c r="H733">
        <v>0.77</v>
      </c>
      <c r="I733">
        <v>2.0249999999999999</v>
      </c>
      <c r="J733">
        <v>49.3</v>
      </c>
      <c r="K733" t="s">
        <v>45</v>
      </c>
      <c r="L733" t="s">
        <v>51</v>
      </c>
      <c r="M733">
        <v>2</v>
      </c>
      <c r="N733">
        <v>52.58</v>
      </c>
      <c r="O733">
        <v>6.7</v>
      </c>
      <c r="P733">
        <v>1.64</v>
      </c>
      <c r="Q733" t="s">
        <v>52</v>
      </c>
      <c r="R733">
        <v>80</v>
      </c>
      <c r="S733">
        <v>24</v>
      </c>
      <c r="T733">
        <v>400</v>
      </c>
      <c r="U733">
        <v>12</v>
      </c>
      <c r="V733" s="7">
        <v>0.76224839171129977</v>
      </c>
      <c r="W733">
        <v>120</v>
      </c>
      <c r="X733">
        <v>0.30599999999999999</v>
      </c>
      <c r="Y733">
        <v>6.4</v>
      </c>
      <c r="Z733" t="s">
        <v>164</v>
      </c>
      <c r="AA733">
        <v>10.3</v>
      </c>
      <c r="AB733">
        <v>25</v>
      </c>
      <c r="AC733" s="17">
        <f>240/60</f>
        <v>4</v>
      </c>
      <c r="AD733">
        <v>2</v>
      </c>
      <c r="AE733">
        <v>10</v>
      </c>
      <c r="AF733" s="11">
        <v>0.78</v>
      </c>
    </row>
    <row r="734" spans="1:32" x14ac:dyDescent="0.3">
      <c r="A734" t="s">
        <v>131</v>
      </c>
      <c r="B734" t="s">
        <v>16</v>
      </c>
      <c r="C734">
        <v>4.51</v>
      </c>
      <c r="D734">
        <v>318.13</v>
      </c>
      <c r="E734">
        <v>1.81</v>
      </c>
      <c r="F734">
        <v>1.85</v>
      </c>
      <c r="G734">
        <v>0.55000000000000004</v>
      </c>
      <c r="H734">
        <v>0.77</v>
      </c>
      <c r="I734">
        <v>2.0249999999999999</v>
      </c>
      <c r="J734">
        <v>49.3</v>
      </c>
      <c r="K734" t="s">
        <v>132</v>
      </c>
      <c r="L734" t="s">
        <v>51</v>
      </c>
      <c r="M734">
        <v>2</v>
      </c>
      <c r="N734" s="13">
        <v>48.122599999999998</v>
      </c>
      <c r="O734">
        <v>5.3</v>
      </c>
      <c r="P734">
        <v>1.81</v>
      </c>
      <c r="Q734" t="s">
        <v>52</v>
      </c>
      <c r="R734">
        <v>80</v>
      </c>
      <c r="S734">
        <v>24</v>
      </c>
      <c r="T734">
        <v>400</v>
      </c>
      <c r="U734">
        <v>12</v>
      </c>
      <c r="V734" s="7">
        <v>0.76224839171129977</v>
      </c>
      <c r="W734">
        <v>204</v>
      </c>
      <c r="X734">
        <v>0.30299999999999999</v>
      </c>
      <c r="Y734">
        <v>4.9000000000000004</v>
      </c>
      <c r="Z734" t="s">
        <v>164</v>
      </c>
      <c r="AA734">
        <v>8.4</v>
      </c>
      <c r="AB734">
        <v>25</v>
      </c>
      <c r="AC734" s="17">
        <v>1</v>
      </c>
      <c r="AD734">
        <v>0.5</v>
      </c>
      <c r="AE734">
        <v>10</v>
      </c>
      <c r="AF734" s="11">
        <v>0.2</v>
      </c>
    </row>
    <row r="735" spans="1:32" x14ac:dyDescent="0.3">
      <c r="A735" t="s">
        <v>131</v>
      </c>
      <c r="B735" t="s">
        <v>16</v>
      </c>
      <c r="C735">
        <v>4.51</v>
      </c>
      <c r="D735">
        <v>318.13</v>
      </c>
      <c r="E735">
        <v>1.81</v>
      </c>
      <c r="F735">
        <v>1.85</v>
      </c>
      <c r="G735">
        <v>0.55000000000000004</v>
      </c>
      <c r="H735">
        <v>0.77</v>
      </c>
      <c r="I735">
        <v>2.0249999999999999</v>
      </c>
      <c r="J735">
        <v>49.3</v>
      </c>
      <c r="K735" t="s">
        <v>132</v>
      </c>
      <c r="L735" t="s">
        <v>51</v>
      </c>
      <c r="M735">
        <v>2</v>
      </c>
      <c r="N735" s="13">
        <v>48.122599999999998</v>
      </c>
      <c r="O735">
        <v>5.3</v>
      </c>
      <c r="P735">
        <v>1.81</v>
      </c>
      <c r="Q735" t="s">
        <v>52</v>
      </c>
      <c r="R735">
        <v>80</v>
      </c>
      <c r="S735">
        <v>24</v>
      </c>
      <c r="T735">
        <v>400</v>
      </c>
      <c r="U735">
        <v>12</v>
      </c>
      <c r="V735" s="7">
        <v>0.76224839171129977</v>
      </c>
      <c r="W735">
        <v>204</v>
      </c>
      <c r="X735">
        <v>0.30299999999999999</v>
      </c>
      <c r="Y735">
        <v>4.9000000000000004</v>
      </c>
      <c r="Z735" t="s">
        <v>164</v>
      </c>
      <c r="AA735">
        <v>8.4</v>
      </c>
      <c r="AB735">
        <v>25</v>
      </c>
      <c r="AC735" s="17">
        <v>1</v>
      </c>
      <c r="AD735">
        <v>1</v>
      </c>
      <c r="AE735">
        <v>10</v>
      </c>
      <c r="AF735" s="11">
        <v>0.4</v>
      </c>
    </row>
    <row r="736" spans="1:32" x14ac:dyDescent="0.3">
      <c r="A736" t="s">
        <v>131</v>
      </c>
      <c r="B736" t="s">
        <v>16</v>
      </c>
      <c r="C736">
        <v>4.51</v>
      </c>
      <c r="D736">
        <v>318.13</v>
      </c>
      <c r="E736">
        <v>1.81</v>
      </c>
      <c r="F736">
        <v>1.85</v>
      </c>
      <c r="G736">
        <v>0.55000000000000004</v>
      </c>
      <c r="H736">
        <v>0.77</v>
      </c>
      <c r="I736">
        <v>2.0249999999999999</v>
      </c>
      <c r="J736">
        <v>49.3</v>
      </c>
      <c r="K736" t="s">
        <v>132</v>
      </c>
      <c r="L736" t="s">
        <v>51</v>
      </c>
      <c r="M736">
        <v>2</v>
      </c>
      <c r="N736" s="13">
        <v>48.122599999999998</v>
      </c>
      <c r="O736">
        <v>5.3</v>
      </c>
      <c r="P736">
        <v>1.81</v>
      </c>
      <c r="Q736" t="s">
        <v>52</v>
      </c>
      <c r="R736">
        <v>80</v>
      </c>
      <c r="S736">
        <v>24</v>
      </c>
      <c r="T736">
        <v>400</v>
      </c>
      <c r="U736">
        <v>12</v>
      </c>
      <c r="V736" s="7">
        <v>0.76224839171129977</v>
      </c>
      <c r="W736">
        <v>204</v>
      </c>
      <c r="X736">
        <v>0.30299999999999999</v>
      </c>
      <c r="Y736">
        <v>4.9000000000000004</v>
      </c>
      <c r="Z736" t="s">
        <v>164</v>
      </c>
      <c r="AA736">
        <v>8.4</v>
      </c>
      <c r="AB736">
        <v>25</v>
      </c>
      <c r="AC736" s="17">
        <v>1</v>
      </c>
      <c r="AD736">
        <v>1.5</v>
      </c>
      <c r="AE736">
        <v>10</v>
      </c>
      <c r="AF736" s="11">
        <v>0.41</v>
      </c>
    </row>
    <row r="737" spans="1:32" x14ac:dyDescent="0.3">
      <c r="A737" t="s">
        <v>131</v>
      </c>
      <c r="B737" t="s">
        <v>16</v>
      </c>
      <c r="C737">
        <v>4.51</v>
      </c>
      <c r="D737">
        <v>318.13</v>
      </c>
      <c r="E737">
        <v>1.81</v>
      </c>
      <c r="F737">
        <v>1.85</v>
      </c>
      <c r="G737">
        <v>0.55000000000000004</v>
      </c>
      <c r="H737">
        <v>0.77</v>
      </c>
      <c r="I737">
        <v>2.0249999999999999</v>
      </c>
      <c r="J737">
        <v>49.3</v>
      </c>
      <c r="K737" t="s">
        <v>132</v>
      </c>
      <c r="L737" t="s">
        <v>51</v>
      </c>
      <c r="M737">
        <v>2</v>
      </c>
      <c r="N737" s="13">
        <v>48.122599999999998</v>
      </c>
      <c r="O737">
        <v>5.3</v>
      </c>
      <c r="P737">
        <v>1.81</v>
      </c>
      <c r="Q737" t="s">
        <v>52</v>
      </c>
      <c r="R737">
        <v>80</v>
      </c>
      <c r="S737">
        <v>24</v>
      </c>
      <c r="T737">
        <v>400</v>
      </c>
      <c r="U737">
        <v>12</v>
      </c>
      <c r="V737" s="7">
        <v>0.76224839171129977</v>
      </c>
      <c r="W737">
        <v>204</v>
      </c>
      <c r="X737">
        <v>0.30299999999999999</v>
      </c>
      <c r="Y737">
        <v>4.9000000000000004</v>
      </c>
      <c r="Z737" t="s">
        <v>164</v>
      </c>
      <c r="AA737">
        <v>8.4</v>
      </c>
      <c r="AB737">
        <v>25</v>
      </c>
      <c r="AC737" s="17">
        <v>1</v>
      </c>
      <c r="AD737">
        <v>2</v>
      </c>
      <c r="AE737">
        <v>10</v>
      </c>
      <c r="AF737" s="11">
        <v>0.55000000000000004</v>
      </c>
    </row>
    <row r="738" spans="1:32" x14ac:dyDescent="0.3">
      <c r="A738" t="s">
        <v>131</v>
      </c>
      <c r="B738" t="s">
        <v>16</v>
      </c>
      <c r="C738">
        <v>4.51</v>
      </c>
      <c r="D738">
        <v>318.13</v>
      </c>
      <c r="E738">
        <v>1.81</v>
      </c>
      <c r="F738">
        <v>1.85</v>
      </c>
      <c r="G738">
        <v>0.55000000000000004</v>
      </c>
      <c r="H738">
        <v>0.77</v>
      </c>
      <c r="I738">
        <v>2.0249999999999999</v>
      </c>
      <c r="J738">
        <v>49.3</v>
      </c>
      <c r="K738" t="s">
        <v>132</v>
      </c>
      <c r="L738" t="s">
        <v>51</v>
      </c>
      <c r="M738">
        <v>2</v>
      </c>
      <c r="N738" s="13">
        <v>48.122599999999998</v>
      </c>
      <c r="O738">
        <v>5.3</v>
      </c>
      <c r="P738">
        <v>1.81</v>
      </c>
      <c r="Q738" t="s">
        <v>52</v>
      </c>
      <c r="R738">
        <v>80</v>
      </c>
      <c r="S738">
        <v>24</v>
      </c>
      <c r="T738">
        <v>400</v>
      </c>
      <c r="U738">
        <v>12</v>
      </c>
      <c r="V738" s="7">
        <v>0.76224839171129977</v>
      </c>
      <c r="W738">
        <v>204</v>
      </c>
      <c r="X738">
        <v>0.30299999999999999</v>
      </c>
      <c r="Y738">
        <v>4.9000000000000004</v>
      </c>
      <c r="Z738" t="s">
        <v>164</v>
      </c>
      <c r="AA738">
        <v>8.4</v>
      </c>
      <c r="AB738">
        <v>25</v>
      </c>
      <c r="AC738" s="17">
        <v>1</v>
      </c>
      <c r="AD738">
        <v>6</v>
      </c>
      <c r="AE738">
        <v>10</v>
      </c>
      <c r="AF738" s="11">
        <v>0.7</v>
      </c>
    </row>
    <row r="739" spans="1:32" x14ac:dyDescent="0.3">
      <c r="A739" t="s">
        <v>131</v>
      </c>
      <c r="B739" t="s">
        <v>16</v>
      </c>
      <c r="C739">
        <v>4.51</v>
      </c>
      <c r="D739">
        <v>318.13</v>
      </c>
      <c r="E739">
        <v>1.81</v>
      </c>
      <c r="F739">
        <v>1.85</v>
      </c>
      <c r="G739">
        <v>0.55000000000000004</v>
      </c>
      <c r="H739">
        <v>0.77</v>
      </c>
      <c r="I739">
        <v>2.0249999999999999</v>
      </c>
      <c r="J739">
        <v>49.3</v>
      </c>
      <c r="K739" t="s">
        <v>132</v>
      </c>
      <c r="L739" t="s">
        <v>51</v>
      </c>
      <c r="M739">
        <v>2</v>
      </c>
      <c r="N739" s="13">
        <v>48.122599999999998</v>
      </c>
      <c r="O739">
        <v>5.3</v>
      </c>
      <c r="P739">
        <v>1.81</v>
      </c>
      <c r="Q739" t="s">
        <v>52</v>
      </c>
      <c r="R739">
        <v>80</v>
      </c>
      <c r="S739">
        <v>24</v>
      </c>
      <c r="T739">
        <v>400</v>
      </c>
      <c r="U739">
        <v>12</v>
      </c>
      <c r="V739" s="7">
        <v>0.76224839171129977</v>
      </c>
      <c r="W739">
        <v>204</v>
      </c>
      <c r="X739">
        <v>0.30299999999999999</v>
      </c>
      <c r="Y739">
        <v>4.9000000000000004</v>
      </c>
      <c r="Z739" t="s">
        <v>164</v>
      </c>
      <c r="AA739">
        <v>8.4</v>
      </c>
      <c r="AB739">
        <v>25</v>
      </c>
      <c r="AC739" s="17">
        <v>1</v>
      </c>
      <c r="AD739">
        <v>10</v>
      </c>
      <c r="AE739">
        <v>10</v>
      </c>
      <c r="AF739" s="11">
        <v>0.7</v>
      </c>
    </row>
    <row r="740" spans="1:32" x14ac:dyDescent="0.3">
      <c r="A740" t="s">
        <v>131</v>
      </c>
      <c r="B740" t="s">
        <v>16</v>
      </c>
      <c r="C740">
        <v>4.51</v>
      </c>
      <c r="D740">
        <v>318.13</v>
      </c>
      <c r="E740">
        <v>1.81</v>
      </c>
      <c r="F740">
        <v>1.85</v>
      </c>
      <c r="G740">
        <v>0.55000000000000004</v>
      </c>
      <c r="H740">
        <v>0.77</v>
      </c>
      <c r="I740">
        <v>2.0249999999999999</v>
      </c>
      <c r="J740">
        <v>49.3</v>
      </c>
      <c r="K740" t="s">
        <v>132</v>
      </c>
      <c r="L740" t="s">
        <v>51</v>
      </c>
      <c r="M740">
        <v>2</v>
      </c>
      <c r="N740" s="13">
        <v>48.122599999999998</v>
      </c>
      <c r="O740">
        <v>5.3</v>
      </c>
      <c r="P740">
        <v>1.81</v>
      </c>
      <c r="Q740" t="s">
        <v>52</v>
      </c>
      <c r="R740">
        <v>80</v>
      </c>
      <c r="S740">
        <v>24</v>
      </c>
      <c r="T740">
        <v>400</v>
      </c>
      <c r="U740">
        <v>12</v>
      </c>
      <c r="V740" s="7">
        <v>0.76224839171129977</v>
      </c>
      <c r="W740">
        <v>204</v>
      </c>
      <c r="X740">
        <v>0.30299999999999999</v>
      </c>
      <c r="Y740">
        <v>4.9000000000000004</v>
      </c>
      <c r="Z740" t="s">
        <v>164</v>
      </c>
      <c r="AA740">
        <v>8.4</v>
      </c>
      <c r="AB740">
        <v>25</v>
      </c>
      <c r="AC740" s="21">
        <f>5/60</f>
        <v>8.3333333333333329E-2</v>
      </c>
      <c r="AD740">
        <v>4</v>
      </c>
      <c r="AE740">
        <v>10</v>
      </c>
      <c r="AF740" s="11">
        <v>0.6</v>
      </c>
    </row>
    <row r="741" spans="1:32" x14ac:dyDescent="0.3">
      <c r="A741" t="s">
        <v>131</v>
      </c>
      <c r="B741" t="s">
        <v>16</v>
      </c>
      <c r="C741">
        <v>4.51</v>
      </c>
      <c r="D741">
        <v>318.13</v>
      </c>
      <c r="E741">
        <v>1.81</v>
      </c>
      <c r="F741">
        <v>1.85</v>
      </c>
      <c r="G741">
        <v>0.55000000000000004</v>
      </c>
      <c r="H741">
        <v>0.77</v>
      </c>
      <c r="I741">
        <v>2.0249999999999999</v>
      </c>
      <c r="J741">
        <v>49.3</v>
      </c>
      <c r="K741" t="s">
        <v>132</v>
      </c>
      <c r="L741" t="s">
        <v>51</v>
      </c>
      <c r="M741">
        <v>2</v>
      </c>
      <c r="N741" s="13">
        <v>48.122599999999998</v>
      </c>
      <c r="O741">
        <v>5.3</v>
      </c>
      <c r="P741">
        <v>1.81</v>
      </c>
      <c r="Q741" t="s">
        <v>52</v>
      </c>
      <c r="R741">
        <v>80</v>
      </c>
      <c r="S741">
        <v>24</v>
      </c>
      <c r="T741">
        <v>400</v>
      </c>
      <c r="U741">
        <v>12</v>
      </c>
      <c r="V741" s="7">
        <v>0.76224839171129977</v>
      </c>
      <c r="W741">
        <v>204</v>
      </c>
      <c r="X741">
        <v>0.30299999999999999</v>
      </c>
      <c r="Y741">
        <v>4.9000000000000004</v>
      </c>
      <c r="Z741" t="s">
        <v>164</v>
      </c>
      <c r="AA741">
        <v>8.4</v>
      </c>
      <c r="AB741">
        <v>25</v>
      </c>
      <c r="AC741" s="21">
        <f>10/60</f>
        <v>0.16666666666666666</v>
      </c>
      <c r="AD741">
        <v>4</v>
      </c>
      <c r="AE741">
        <v>10</v>
      </c>
      <c r="AF741" s="11">
        <v>0.7</v>
      </c>
    </row>
    <row r="742" spans="1:32" x14ac:dyDescent="0.3">
      <c r="A742" t="s">
        <v>131</v>
      </c>
      <c r="B742" t="s">
        <v>16</v>
      </c>
      <c r="C742">
        <v>4.51</v>
      </c>
      <c r="D742">
        <v>318.13</v>
      </c>
      <c r="E742">
        <v>1.81</v>
      </c>
      <c r="F742">
        <v>1.85</v>
      </c>
      <c r="G742">
        <v>0.55000000000000004</v>
      </c>
      <c r="H742">
        <v>0.77</v>
      </c>
      <c r="I742">
        <v>2.0249999999999999</v>
      </c>
      <c r="J742">
        <v>49.3</v>
      </c>
      <c r="K742" t="s">
        <v>132</v>
      </c>
      <c r="L742" t="s">
        <v>51</v>
      </c>
      <c r="M742">
        <v>2</v>
      </c>
      <c r="N742" s="13">
        <v>48.122599999999998</v>
      </c>
      <c r="O742">
        <v>5.3</v>
      </c>
      <c r="P742">
        <v>1.81</v>
      </c>
      <c r="Q742" t="s">
        <v>52</v>
      </c>
      <c r="R742">
        <v>80</v>
      </c>
      <c r="S742">
        <v>24</v>
      </c>
      <c r="T742">
        <v>400</v>
      </c>
      <c r="U742">
        <v>12</v>
      </c>
      <c r="V742" s="7">
        <v>0.76224839171129977</v>
      </c>
      <c r="W742">
        <v>204</v>
      </c>
      <c r="X742">
        <v>0.30299999999999999</v>
      </c>
      <c r="Y742">
        <v>4.9000000000000004</v>
      </c>
      <c r="Z742" t="s">
        <v>164</v>
      </c>
      <c r="AA742">
        <v>8.4</v>
      </c>
      <c r="AB742">
        <v>25</v>
      </c>
      <c r="AC742" s="21">
        <f>20/60</f>
        <v>0.33333333333333331</v>
      </c>
      <c r="AD742">
        <v>4</v>
      </c>
      <c r="AE742">
        <v>10</v>
      </c>
      <c r="AF742" s="11">
        <v>0.71</v>
      </c>
    </row>
    <row r="743" spans="1:32" x14ac:dyDescent="0.3">
      <c r="A743" t="s">
        <v>131</v>
      </c>
      <c r="B743" t="s">
        <v>16</v>
      </c>
      <c r="C743">
        <v>4.51</v>
      </c>
      <c r="D743">
        <v>318.13</v>
      </c>
      <c r="E743">
        <v>1.81</v>
      </c>
      <c r="F743">
        <v>1.85</v>
      </c>
      <c r="G743">
        <v>0.55000000000000004</v>
      </c>
      <c r="H743">
        <v>0.77</v>
      </c>
      <c r="I743">
        <v>2.0249999999999999</v>
      </c>
      <c r="J743">
        <v>49.3</v>
      </c>
      <c r="K743" t="s">
        <v>132</v>
      </c>
      <c r="L743" t="s">
        <v>51</v>
      </c>
      <c r="M743">
        <v>2</v>
      </c>
      <c r="N743" s="13">
        <v>48.122599999999998</v>
      </c>
      <c r="O743">
        <v>5.3</v>
      </c>
      <c r="P743">
        <v>1.81</v>
      </c>
      <c r="Q743" t="s">
        <v>52</v>
      </c>
      <c r="R743">
        <v>80</v>
      </c>
      <c r="S743">
        <v>24</v>
      </c>
      <c r="T743">
        <v>400</v>
      </c>
      <c r="U743">
        <v>12</v>
      </c>
      <c r="V743" s="7">
        <v>0.76224839171129977</v>
      </c>
      <c r="W743">
        <v>204</v>
      </c>
      <c r="X743">
        <v>0.30299999999999999</v>
      </c>
      <c r="Y743">
        <v>4.9000000000000004</v>
      </c>
      <c r="Z743" t="s">
        <v>164</v>
      </c>
      <c r="AA743">
        <v>8.4</v>
      </c>
      <c r="AB743">
        <v>25</v>
      </c>
      <c r="AC743" s="17">
        <f>30/60</f>
        <v>0.5</v>
      </c>
      <c r="AD743">
        <v>4</v>
      </c>
      <c r="AE743">
        <v>10</v>
      </c>
      <c r="AF743" s="11">
        <v>0.79</v>
      </c>
    </row>
    <row r="744" spans="1:32" x14ac:dyDescent="0.3">
      <c r="A744" t="s">
        <v>131</v>
      </c>
      <c r="B744" t="s">
        <v>16</v>
      </c>
      <c r="C744">
        <v>4.51</v>
      </c>
      <c r="D744">
        <v>318.13</v>
      </c>
      <c r="E744">
        <v>1.81</v>
      </c>
      <c r="F744">
        <v>1.85</v>
      </c>
      <c r="G744">
        <v>0.55000000000000004</v>
      </c>
      <c r="H744">
        <v>0.77</v>
      </c>
      <c r="I744">
        <v>2.0249999999999999</v>
      </c>
      <c r="J744">
        <v>49.3</v>
      </c>
      <c r="K744" t="s">
        <v>132</v>
      </c>
      <c r="L744" t="s">
        <v>51</v>
      </c>
      <c r="M744">
        <v>2</v>
      </c>
      <c r="N744" s="13">
        <v>48.122599999999998</v>
      </c>
      <c r="O744">
        <v>5.3</v>
      </c>
      <c r="P744">
        <v>1.81</v>
      </c>
      <c r="Q744" t="s">
        <v>52</v>
      </c>
      <c r="R744">
        <v>80</v>
      </c>
      <c r="S744">
        <v>24</v>
      </c>
      <c r="T744">
        <v>400</v>
      </c>
      <c r="U744">
        <v>12</v>
      </c>
      <c r="V744" s="7">
        <v>0.76224839171129977</v>
      </c>
      <c r="W744">
        <v>204</v>
      </c>
      <c r="X744">
        <v>0.30299999999999999</v>
      </c>
      <c r="Y744">
        <v>4.9000000000000004</v>
      </c>
      <c r="Z744" t="s">
        <v>164</v>
      </c>
      <c r="AA744">
        <v>8.4</v>
      </c>
      <c r="AB744">
        <v>25</v>
      </c>
      <c r="AC744" s="17">
        <v>1</v>
      </c>
      <c r="AD744">
        <v>4</v>
      </c>
      <c r="AE744">
        <v>10</v>
      </c>
      <c r="AF744" s="11">
        <v>0.79</v>
      </c>
    </row>
    <row r="745" spans="1:32" x14ac:dyDescent="0.3">
      <c r="A745" t="s">
        <v>131</v>
      </c>
      <c r="B745" t="s">
        <v>16</v>
      </c>
      <c r="C745">
        <v>4.51</v>
      </c>
      <c r="D745">
        <v>318.13</v>
      </c>
      <c r="E745">
        <v>1.81</v>
      </c>
      <c r="F745">
        <v>1.85</v>
      </c>
      <c r="G745">
        <v>0.55000000000000004</v>
      </c>
      <c r="H745">
        <v>0.77</v>
      </c>
      <c r="I745">
        <v>2.0249999999999999</v>
      </c>
      <c r="J745">
        <v>49.3</v>
      </c>
      <c r="K745" t="s">
        <v>132</v>
      </c>
      <c r="L745" t="s">
        <v>51</v>
      </c>
      <c r="M745">
        <v>2</v>
      </c>
      <c r="N745" s="13">
        <v>48.122599999999998</v>
      </c>
      <c r="O745">
        <v>5.3</v>
      </c>
      <c r="P745">
        <v>1.81</v>
      </c>
      <c r="Q745" t="s">
        <v>52</v>
      </c>
      <c r="R745">
        <v>80</v>
      </c>
      <c r="S745">
        <v>24</v>
      </c>
      <c r="T745">
        <v>400</v>
      </c>
      <c r="U745">
        <v>12</v>
      </c>
      <c r="V745" s="7">
        <v>0.76224839171129977</v>
      </c>
      <c r="W745">
        <v>204</v>
      </c>
      <c r="X745">
        <v>0.30299999999999999</v>
      </c>
      <c r="Y745">
        <v>4.9000000000000004</v>
      </c>
      <c r="Z745" t="s">
        <v>164</v>
      </c>
      <c r="AA745">
        <v>8.4</v>
      </c>
      <c r="AB745">
        <v>25</v>
      </c>
      <c r="AC745" s="17">
        <f>90/60</f>
        <v>1.5</v>
      </c>
      <c r="AD745">
        <v>4</v>
      </c>
      <c r="AE745">
        <v>10</v>
      </c>
      <c r="AF745" s="11">
        <v>0.79</v>
      </c>
    </row>
    <row r="746" spans="1:32" x14ac:dyDescent="0.3">
      <c r="A746" t="s">
        <v>131</v>
      </c>
      <c r="B746" t="s">
        <v>16</v>
      </c>
      <c r="C746">
        <v>4.51</v>
      </c>
      <c r="D746">
        <v>318.13</v>
      </c>
      <c r="E746">
        <v>1.81</v>
      </c>
      <c r="F746">
        <v>1.85</v>
      </c>
      <c r="G746">
        <v>0.55000000000000004</v>
      </c>
      <c r="H746">
        <v>0.77</v>
      </c>
      <c r="I746">
        <v>2.0249999999999999</v>
      </c>
      <c r="J746">
        <v>49.3</v>
      </c>
      <c r="K746" t="s">
        <v>132</v>
      </c>
      <c r="L746" t="s">
        <v>51</v>
      </c>
      <c r="M746">
        <v>2</v>
      </c>
      <c r="N746" s="13">
        <v>48.122599999999998</v>
      </c>
      <c r="O746">
        <v>5.3</v>
      </c>
      <c r="P746">
        <v>1.81</v>
      </c>
      <c r="Q746" t="s">
        <v>52</v>
      </c>
      <c r="R746">
        <v>80</v>
      </c>
      <c r="S746">
        <v>24</v>
      </c>
      <c r="T746">
        <v>400</v>
      </c>
      <c r="U746">
        <v>12</v>
      </c>
      <c r="V746" s="7">
        <v>0.76224839171129977</v>
      </c>
      <c r="W746">
        <v>204</v>
      </c>
      <c r="X746">
        <v>0.30299999999999999</v>
      </c>
      <c r="Y746">
        <v>4.9000000000000004</v>
      </c>
      <c r="Z746" t="s">
        <v>164</v>
      </c>
      <c r="AA746">
        <v>8.4</v>
      </c>
      <c r="AB746">
        <v>25</v>
      </c>
      <c r="AC746" s="17">
        <f>120/60</f>
        <v>2</v>
      </c>
      <c r="AD746">
        <v>4</v>
      </c>
      <c r="AE746">
        <v>10</v>
      </c>
      <c r="AF746" s="11">
        <v>0.79</v>
      </c>
    </row>
    <row r="747" spans="1:32" x14ac:dyDescent="0.3">
      <c r="A747" t="s">
        <v>131</v>
      </c>
      <c r="B747" t="s">
        <v>16</v>
      </c>
      <c r="C747">
        <v>4.51</v>
      </c>
      <c r="D747">
        <v>318.13</v>
      </c>
      <c r="E747">
        <v>1.81</v>
      </c>
      <c r="F747">
        <v>1.85</v>
      </c>
      <c r="G747">
        <v>0.55000000000000004</v>
      </c>
      <c r="H747">
        <v>0.77</v>
      </c>
      <c r="I747">
        <v>2.0249999999999999</v>
      </c>
      <c r="J747">
        <v>49.3</v>
      </c>
      <c r="K747" t="s">
        <v>132</v>
      </c>
      <c r="L747" t="s">
        <v>51</v>
      </c>
      <c r="M747">
        <v>2</v>
      </c>
      <c r="N747" s="13">
        <v>48.122599999999998</v>
      </c>
      <c r="O747">
        <v>5.3</v>
      </c>
      <c r="P747">
        <v>1.81</v>
      </c>
      <c r="Q747" t="s">
        <v>52</v>
      </c>
      <c r="R747">
        <v>80</v>
      </c>
      <c r="S747">
        <v>24</v>
      </c>
      <c r="T747">
        <v>400</v>
      </c>
      <c r="U747">
        <v>12</v>
      </c>
      <c r="V747" s="7">
        <v>0.76224839171129977</v>
      </c>
      <c r="W747">
        <v>204</v>
      </c>
      <c r="X747">
        <v>0.30299999999999999</v>
      </c>
      <c r="Y747">
        <v>4.9000000000000004</v>
      </c>
      <c r="Z747" t="s">
        <v>164</v>
      </c>
      <c r="AA747">
        <v>8.4</v>
      </c>
      <c r="AB747">
        <v>25</v>
      </c>
      <c r="AC747" s="17">
        <f>180/60</f>
        <v>3</v>
      </c>
      <c r="AD747">
        <v>4</v>
      </c>
      <c r="AE747">
        <v>10</v>
      </c>
      <c r="AF747" s="11">
        <v>0.79</v>
      </c>
    </row>
    <row r="748" spans="1:32" x14ac:dyDescent="0.3">
      <c r="A748" t="s">
        <v>131</v>
      </c>
      <c r="B748" t="s">
        <v>16</v>
      </c>
      <c r="C748">
        <v>4.51</v>
      </c>
      <c r="D748">
        <v>318.13</v>
      </c>
      <c r="E748">
        <v>1.81</v>
      </c>
      <c r="F748">
        <v>1.85</v>
      </c>
      <c r="G748">
        <v>0.55000000000000004</v>
      </c>
      <c r="H748">
        <v>0.77</v>
      </c>
      <c r="I748">
        <v>2.0249999999999999</v>
      </c>
      <c r="J748">
        <v>49.3</v>
      </c>
      <c r="K748" t="s">
        <v>132</v>
      </c>
      <c r="L748" t="s">
        <v>51</v>
      </c>
      <c r="M748">
        <v>2</v>
      </c>
      <c r="N748" s="13">
        <v>48.122599999999998</v>
      </c>
      <c r="O748">
        <v>5.3</v>
      </c>
      <c r="P748">
        <v>1.81</v>
      </c>
      <c r="Q748" t="s">
        <v>52</v>
      </c>
      <c r="R748">
        <v>80</v>
      </c>
      <c r="S748">
        <v>24</v>
      </c>
      <c r="T748">
        <v>400</v>
      </c>
      <c r="U748">
        <v>12</v>
      </c>
      <c r="V748" s="7">
        <v>0.76224839171129977</v>
      </c>
      <c r="W748">
        <v>204</v>
      </c>
      <c r="X748">
        <v>0.30299999999999999</v>
      </c>
      <c r="Y748">
        <v>4.9000000000000004</v>
      </c>
      <c r="Z748" t="s">
        <v>164</v>
      </c>
      <c r="AA748">
        <v>8.4</v>
      </c>
      <c r="AB748">
        <v>25</v>
      </c>
      <c r="AC748" s="17">
        <f>240/60</f>
        <v>4</v>
      </c>
      <c r="AD748">
        <v>4</v>
      </c>
      <c r="AE748">
        <v>10</v>
      </c>
      <c r="AF748" s="11">
        <v>0.79</v>
      </c>
    </row>
    <row r="749" spans="1:32" x14ac:dyDescent="0.3">
      <c r="A749" t="s">
        <v>133</v>
      </c>
      <c r="B749" t="s">
        <v>134</v>
      </c>
      <c r="C749">
        <v>-0.9</v>
      </c>
      <c r="D749">
        <v>460.43</v>
      </c>
      <c r="E749">
        <v>3.6</v>
      </c>
      <c r="F749">
        <v>3.05</v>
      </c>
      <c r="G749">
        <v>1.65</v>
      </c>
      <c r="H749">
        <v>3.5</v>
      </c>
      <c r="I749">
        <v>3.1579000000000002</v>
      </c>
      <c r="J749">
        <v>181.62</v>
      </c>
      <c r="K749" t="s">
        <v>55</v>
      </c>
      <c r="L749" t="s">
        <v>51</v>
      </c>
      <c r="M749">
        <v>3</v>
      </c>
      <c r="N749">
        <v>27.222000000000001</v>
      </c>
      <c r="O749">
        <v>0</v>
      </c>
      <c r="P749" s="13">
        <v>1.5189999999999999</v>
      </c>
      <c r="Q749" t="s">
        <v>52</v>
      </c>
      <c r="R749">
        <v>60</v>
      </c>
      <c r="S749">
        <v>24</v>
      </c>
      <c r="T749" t="s">
        <v>164</v>
      </c>
      <c r="U749" t="s">
        <v>164</v>
      </c>
      <c r="V749" s="7">
        <v>0.79718502325918739</v>
      </c>
      <c r="W749">
        <v>4.0183999999999997</v>
      </c>
      <c r="X749">
        <v>5.8999999999999999E-3</v>
      </c>
      <c r="Y749">
        <v>64.167000000000002</v>
      </c>
      <c r="Z749">
        <v>6</v>
      </c>
      <c r="AA749">
        <v>7</v>
      </c>
      <c r="AB749">
        <v>25</v>
      </c>
      <c r="AC749" s="21">
        <f>5/60</f>
        <v>8.3333333333333329E-2</v>
      </c>
      <c r="AD749">
        <f>0.5/0.5</f>
        <v>1</v>
      </c>
      <c r="AE749">
        <v>20</v>
      </c>
      <c r="AF749" s="11">
        <v>0.26700000000000002</v>
      </c>
    </row>
    <row r="750" spans="1:32" x14ac:dyDescent="0.3">
      <c r="A750" t="s">
        <v>133</v>
      </c>
      <c r="B750" t="s">
        <v>134</v>
      </c>
      <c r="C750">
        <v>-0.9</v>
      </c>
      <c r="D750">
        <v>460.43</v>
      </c>
      <c r="E750">
        <v>3.6</v>
      </c>
      <c r="F750">
        <v>3.05</v>
      </c>
      <c r="G750">
        <v>1.65</v>
      </c>
      <c r="H750">
        <v>3.5</v>
      </c>
      <c r="I750">
        <v>3.1579000000000002</v>
      </c>
      <c r="J750">
        <v>181.62</v>
      </c>
      <c r="K750" t="s">
        <v>55</v>
      </c>
      <c r="L750" t="s">
        <v>51</v>
      </c>
      <c r="M750">
        <v>3</v>
      </c>
      <c r="N750">
        <v>27.222000000000001</v>
      </c>
      <c r="O750">
        <v>0</v>
      </c>
      <c r="P750" s="13">
        <v>1.5189999999999999</v>
      </c>
      <c r="Q750" t="s">
        <v>52</v>
      </c>
      <c r="R750">
        <v>60</v>
      </c>
      <c r="S750">
        <v>24</v>
      </c>
      <c r="T750" t="s">
        <v>164</v>
      </c>
      <c r="U750" t="s">
        <v>164</v>
      </c>
      <c r="V750" s="7">
        <v>0.79718502325918739</v>
      </c>
      <c r="W750">
        <v>4.0183999999999997</v>
      </c>
      <c r="X750">
        <v>5.8999999999999999E-3</v>
      </c>
      <c r="Y750">
        <v>64.167000000000002</v>
      </c>
      <c r="Z750">
        <v>6</v>
      </c>
      <c r="AA750">
        <v>7</v>
      </c>
      <c r="AB750">
        <v>25</v>
      </c>
      <c r="AC750" s="21">
        <f>10/60</f>
        <v>0.16666666666666666</v>
      </c>
      <c r="AD750">
        <f t="shared" ref="AD750:AD759" si="13">0.5/0.5</f>
        <v>1</v>
      </c>
      <c r="AE750">
        <v>20</v>
      </c>
      <c r="AF750" s="11">
        <v>0.27450000000000002</v>
      </c>
    </row>
    <row r="751" spans="1:32" x14ac:dyDescent="0.3">
      <c r="A751" t="s">
        <v>133</v>
      </c>
      <c r="B751" t="s">
        <v>134</v>
      </c>
      <c r="C751">
        <v>-0.9</v>
      </c>
      <c r="D751">
        <v>460.43</v>
      </c>
      <c r="E751">
        <v>3.6</v>
      </c>
      <c r="F751">
        <v>3.05</v>
      </c>
      <c r="G751">
        <v>1.65</v>
      </c>
      <c r="H751">
        <v>3.5</v>
      </c>
      <c r="I751">
        <v>3.1579000000000002</v>
      </c>
      <c r="J751">
        <v>181.62</v>
      </c>
      <c r="K751" t="s">
        <v>55</v>
      </c>
      <c r="L751" t="s">
        <v>51</v>
      </c>
      <c r="M751">
        <v>3</v>
      </c>
      <c r="N751">
        <v>27.222000000000001</v>
      </c>
      <c r="O751">
        <v>0</v>
      </c>
      <c r="P751" s="13">
        <v>1.5189999999999999</v>
      </c>
      <c r="Q751" t="s">
        <v>52</v>
      </c>
      <c r="R751">
        <v>60</v>
      </c>
      <c r="S751">
        <v>24</v>
      </c>
      <c r="T751" t="s">
        <v>164</v>
      </c>
      <c r="U751" t="s">
        <v>164</v>
      </c>
      <c r="V751" s="7">
        <v>0.79718502325918739</v>
      </c>
      <c r="W751">
        <v>4.0183999999999997</v>
      </c>
      <c r="X751">
        <v>5.8999999999999999E-3</v>
      </c>
      <c r="Y751">
        <v>64.167000000000002</v>
      </c>
      <c r="Z751">
        <v>6</v>
      </c>
      <c r="AA751">
        <v>7</v>
      </c>
      <c r="AB751">
        <v>25</v>
      </c>
      <c r="AC751" s="17">
        <f>15/60</f>
        <v>0.25</v>
      </c>
      <c r="AD751">
        <f t="shared" si="13"/>
        <v>1</v>
      </c>
      <c r="AE751">
        <v>20</v>
      </c>
      <c r="AF751" s="11">
        <v>0.27999999999999997</v>
      </c>
    </row>
    <row r="752" spans="1:32" x14ac:dyDescent="0.3">
      <c r="A752" t="s">
        <v>133</v>
      </c>
      <c r="B752" t="s">
        <v>134</v>
      </c>
      <c r="C752">
        <v>-0.9</v>
      </c>
      <c r="D752">
        <v>460.43</v>
      </c>
      <c r="E752">
        <v>3.6</v>
      </c>
      <c r="F752">
        <v>3.05</v>
      </c>
      <c r="G752">
        <v>1.65</v>
      </c>
      <c r="H752">
        <v>3.5</v>
      </c>
      <c r="I752">
        <v>3.1579000000000002</v>
      </c>
      <c r="J752">
        <v>181.62</v>
      </c>
      <c r="K752" t="s">
        <v>55</v>
      </c>
      <c r="L752" t="s">
        <v>51</v>
      </c>
      <c r="M752">
        <v>3</v>
      </c>
      <c r="N752">
        <v>27.222000000000001</v>
      </c>
      <c r="O752">
        <v>0</v>
      </c>
      <c r="P752" s="13">
        <v>1.5189999999999999</v>
      </c>
      <c r="Q752" t="s">
        <v>52</v>
      </c>
      <c r="R752">
        <v>60</v>
      </c>
      <c r="S752">
        <v>24</v>
      </c>
      <c r="T752" t="s">
        <v>164</v>
      </c>
      <c r="U752" t="s">
        <v>164</v>
      </c>
      <c r="V752" s="7">
        <v>0.79718502325918739</v>
      </c>
      <c r="W752">
        <v>4.0183999999999997</v>
      </c>
      <c r="X752">
        <v>5.8999999999999999E-3</v>
      </c>
      <c r="Y752">
        <v>64.167000000000002</v>
      </c>
      <c r="Z752">
        <v>6</v>
      </c>
      <c r="AA752">
        <v>7</v>
      </c>
      <c r="AB752">
        <v>25</v>
      </c>
      <c r="AC752" s="17">
        <f>30/60</f>
        <v>0.5</v>
      </c>
      <c r="AD752">
        <f t="shared" si="13"/>
        <v>1</v>
      </c>
      <c r="AE752">
        <v>20</v>
      </c>
      <c r="AF752" s="11">
        <v>0.28700000000000003</v>
      </c>
    </row>
    <row r="753" spans="1:32" x14ac:dyDescent="0.3">
      <c r="A753" t="s">
        <v>133</v>
      </c>
      <c r="B753" t="s">
        <v>134</v>
      </c>
      <c r="C753">
        <v>-0.9</v>
      </c>
      <c r="D753">
        <v>460.43</v>
      </c>
      <c r="E753">
        <v>3.6</v>
      </c>
      <c r="F753">
        <v>3.05</v>
      </c>
      <c r="G753">
        <v>1.65</v>
      </c>
      <c r="H753">
        <v>3.5</v>
      </c>
      <c r="I753">
        <v>3.1579000000000002</v>
      </c>
      <c r="J753">
        <v>181.62</v>
      </c>
      <c r="K753" t="s">
        <v>55</v>
      </c>
      <c r="L753" t="s">
        <v>51</v>
      </c>
      <c r="M753">
        <v>3</v>
      </c>
      <c r="N753">
        <v>27.222000000000001</v>
      </c>
      <c r="O753">
        <v>0</v>
      </c>
      <c r="P753" s="13">
        <v>1.5189999999999999</v>
      </c>
      <c r="Q753" t="s">
        <v>52</v>
      </c>
      <c r="R753">
        <v>60</v>
      </c>
      <c r="S753">
        <v>24</v>
      </c>
      <c r="T753" t="s">
        <v>164</v>
      </c>
      <c r="U753" t="s">
        <v>164</v>
      </c>
      <c r="V753" s="7">
        <v>0.79718502325918739</v>
      </c>
      <c r="W753">
        <v>4.0183999999999997</v>
      </c>
      <c r="X753">
        <v>5.8999999999999999E-3</v>
      </c>
      <c r="Y753">
        <v>64.167000000000002</v>
      </c>
      <c r="Z753">
        <v>6</v>
      </c>
      <c r="AA753">
        <v>7</v>
      </c>
      <c r="AB753">
        <v>25</v>
      </c>
      <c r="AC753" s="17">
        <f>45/60</f>
        <v>0.75</v>
      </c>
      <c r="AD753">
        <f t="shared" si="13"/>
        <v>1</v>
      </c>
      <c r="AE753">
        <v>20</v>
      </c>
      <c r="AF753" s="11">
        <v>0.28949999999999998</v>
      </c>
    </row>
    <row r="754" spans="1:32" x14ac:dyDescent="0.3">
      <c r="A754" t="s">
        <v>133</v>
      </c>
      <c r="B754" t="s">
        <v>134</v>
      </c>
      <c r="C754">
        <v>-0.9</v>
      </c>
      <c r="D754">
        <v>460.43</v>
      </c>
      <c r="E754">
        <v>3.6</v>
      </c>
      <c r="F754">
        <v>3.05</v>
      </c>
      <c r="G754">
        <v>1.65</v>
      </c>
      <c r="H754">
        <v>3.5</v>
      </c>
      <c r="I754">
        <v>3.1579000000000002</v>
      </c>
      <c r="J754">
        <v>181.62</v>
      </c>
      <c r="K754" t="s">
        <v>55</v>
      </c>
      <c r="L754" t="s">
        <v>51</v>
      </c>
      <c r="M754">
        <v>3</v>
      </c>
      <c r="N754">
        <v>27.222000000000001</v>
      </c>
      <c r="O754">
        <v>0</v>
      </c>
      <c r="P754" s="13">
        <v>1.5189999999999999</v>
      </c>
      <c r="Q754" t="s">
        <v>52</v>
      </c>
      <c r="R754">
        <v>60</v>
      </c>
      <c r="S754">
        <v>24</v>
      </c>
      <c r="T754" t="s">
        <v>164</v>
      </c>
      <c r="U754" t="s">
        <v>164</v>
      </c>
      <c r="V754" s="7">
        <v>0.79718502325918739</v>
      </c>
      <c r="W754">
        <v>4.0183999999999997</v>
      </c>
      <c r="X754">
        <v>5.8999999999999999E-3</v>
      </c>
      <c r="Y754">
        <v>64.167000000000002</v>
      </c>
      <c r="Z754">
        <v>6</v>
      </c>
      <c r="AA754">
        <v>7</v>
      </c>
      <c r="AB754">
        <v>25</v>
      </c>
      <c r="AC754" s="17">
        <v>1</v>
      </c>
      <c r="AD754">
        <f t="shared" si="13"/>
        <v>1</v>
      </c>
      <c r="AE754">
        <v>20</v>
      </c>
      <c r="AF754" s="11">
        <v>0.29049999999999992</v>
      </c>
    </row>
    <row r="755" spans="1:32" x14ac:dyDescent="0.3">
      <c r="A755" t="s">
        <v>133</v>
      </c>
      <c r="B755" t="s">
        <v>134</v>
      </c>
      <c r="C755">
        <v>-0.9</v>
      </c>
      <c r="D755">
        <v>460.43</v>
      </c>
      <c r="E755">
        <v>3.6</v>
      </c>
      <c r="F755">
        <v>3.05</v>
      </c>
      <c r="G755">
        <v>1.65</v>
      </c>
      <c r="H755">
        <v>3.5</v>
      </c>
      <c r="I755">
        <v>3.1579000000000002</v>
      </c>
      <c r="J755">
        <v>181.62</v>
      </c>
      <c r="K755" t="s">
        <v>55</v>
      </c>
      <c r="L755" t="s">
        <v>51</v>
      </c>
      <c r="M755">
        <v>3</v>
      </c>
      <c r="N755">
        <v>27.222000000000001</v>
      </c>
      <c r="O755">
        <v>0</v>
      </c>
      <c r="P755" s="13">
        <v>1.5189999999999999</v>
      </c>
      <c r="Q755" t="s">
        <v>52</v>
      </c>
      <c r="R755">
        <v>60</v>
      </c>
      <c r="S755">
        <v>24</v>
      </c>
      <c r="T755" t="s">
        <v>164</v>
      </c>
      <c r="U755" t="s">
        <v>164</v>
      </c>
      <c r="V755" s="7">
        <v>0.79718502325918739</v>
      </c>
      <c r="W755">
        <v>4.0183999999999997</v>
      </c>
      <c r="X755">
        <v>5.8999999999999999E-3</v>
      </c>
      <c r="Y755">
        <v>64.167000000000002</v>
      </c>
      <c r="Z755">
        <v>6</v>
      </c>
      <c r="AA755">
        <v>3</v>
      </c>
      <c r="AB755">
        <v>25</v>
      </c>
      <c r="AC755" s="17">
        <v>1</v>
      </c>
      <c r="AD755">
        <f t="shared" si="13"/>
        <v>1</v>
      </c>
      <c r="AE755">
        <v>20</v>
      </c>
      <c r="AF755" s="11">
        <v>0.1</v>
      </c>
    </row>
    <row r="756" spans="1:32" x14ac:dyDescent="0.3">
      <c r="A756" t="s">
        <v>133</v>
      </c>
      <c r="B756" t="s">
        <v>134</v>
      </c>
      <c r="C756">
        <v>-0.9</v>
      </c>
      <c r="D756">
        <v>460.43</v>
      </c>
      <c r="E756">
        <v>3.6</v>
      </c>
      <c r="F756">
        <v>3.05</v>
      </c>
      <c r="G756">
        <v>1.65</v>
      </c>
      <c r="H756">
        <v>3.5</v>
      </c>
      <c r="I756">
        <v>3.1579000000000002</v>
      </c>
      <c r="J756">
        <v>181.62</v>
      </c>
      <c r="K756" t="s">
        <v>55</v>
      </c>
      <c r="L756" t="s">
        <v>51</v>
      </c>
      <c r="M756">
        <v>3</v>
      </c>
      <c r="N756">
        <v>27.222000000000001</v>
      </c>
      <c r="O756">
        <v>0</v>
      </c>
      <c r="P756" s="13">
        <v>1.5189999999999999</v>
      </c>
      <c r="Q756" t="s">
        <v>52</v>
      </c>
      <c r="R756">
        <v>60</v>
      </c>
      <c r="S756">
        <v>24</v>
      </c>
      <c r="T756" t="s">
        <v>164</v>
      </c>
      <c r="U756" t="s">
        <v>164</v>
      </c>
      <c r="V756" s="7">
        <v>0.79718502325918739</v>
      </c>
      <c r="W756">
        <v>4.0183999999999997</v>
      </c>
      <c r="X756">
        <v>5.8999999999999999E-3</v>
      </c>
      <c r="Y756">
        <v>64.167000000000002</v>
      </c>
      <c r="Z756">
        <v>6</v>
      </c>
      <c r="AA756">
        <v>5</v>
      </c>
      <c r="AB756">
        <v>25</v>
      </c>
      <c r="AC756" s="17">
        <v>1</v>
      </c>
      <c r="AD756">
        <f t="shared" si="13"/>
        <v>1</v>
      </c>
      <c r="AE756">
        <v>20</v>
      </c>
      <c r="AF756" s="11">
        <v>0.45</v>
      </c>
    </row>
    <row r="757" spans="1:32" x14ac:dyDescent="0.3">
      <c r="A757" t="s">
        <v>133</v>
      </c>
      <c r="B757" t="s">
        <v>134</v>
      </c>
      <c r="C757">
        <v>-0.9</v>
      </c>
      <c r="D757">
        <v>460.43</v>
      </c>
      <c r="E757">
        <v>3.6</v>
      </c>
      <c r="F757">
        <v>3.05</v>
      </c>
      <c r="G757">
        <v>1.65</v>
      </c>
      <c r="H757">
        <v>3.5</v>
      </c>
      <c r="I757">
        <v>3.1579000000000002</v>
      </c>
      <c r="J757">
        <v>181.62</v>
      </c>
      <c r="K757" t="s">
        <v>55</v>
      </c>
      <c r="L757" t="s">
        <v>51</v>
      </c>
      <c r="M757">
        <v>3</v>
      </c>
      <c r="N757">
        <v>27.222000000000001</v>
      </c>
      <c r="O757">
        <v>0</v>
      </c>
      <c r="P757" s="13">
        <v>1.5189999999999999</v>
      </c>
      <c r="Q757" t="s">
        <v>52</v>
      </c>
      <c r="R757">
        <v>60</v>
      </c>
      <c r="S757">
        <v>24</v>
      </c>
      <c r="T757" t="s">
        <v>164</v>
      </c>
      <c r="U757" t="s">
        <v>164</v>
      </c>
      <c r="V757" s="7">
        <v>0.79718502325918739</v>
      </c>
      <c r="W757">
        <v>4.0183999999999997</v>
      </c>
      <c r="X757">
        <v>5.8999999999999999E-3</v>
      </c>
      <c r="Y757">
        <v>64.167000000000002</v>
      </c>
      <c r="Z757">
        <v>6</v>
      </c>
      <c r="AA757">
        <v>7</v>
      </c>
      <c r="AB757">
        <v>25</v>
      </c>
      <c r="AC757" s="17">
        <v>1</v>
      </c>
      <c r="AD757">
        <f t="shared" si="13"/>
        <v>1</v>
      </c>
      <c r="AE757">
        <v>20</v>
      </c>
      <c r="AF757" s="11">
        <v>0.7</v>
      </c>
    </row>
    <row r="758" spans="1:32" x14ac:dyDescent="0.3">
      <c r="A758" t="s">
        <v>133</v>
      </c>
      <c r="B758" t="s">
        <v>134</v>
      </c>
      <c r="C758">
        <v>-0.9</v>
      </c>
      <c r="D758">
        <v>460.43</v>
      </c>
      <c r="E758">
        <v>3.6</v>
      </c>
      <c r="F758">
        <v>3.05</v>
      </c>
      <c r="G758">
        <v>1.65</v>
      </c>
      <c r="H758">
        <v>3.5</v>
      </c>
      <c r="I758">
        <v>3.1579000000000002</v>
      </c>
      <c r="J758">
        <v>181.62</v>
      </c>
      <c r="K758" t="s">
        <v>55</v>
      </c>
      <c r="L758" t="s">
        <v>51</v>
      </c>
      <c r="M758">
        <v>3</v>
      </c>
      <c r="N758">
        <v>27.222000000000001</v>
      </c>
      <c r="O758">
        <v>0</v>
      </c>
      <c r="P758" s="13">
        <v>1.5189999999999999</v>
      </c>
      <c r="Q758" t="s">
        <v>52</v>
      </c>
      <c r="R758">
        <v>60</v>
      </c>
      <c r="S758">
        <v>24</v>
      </c>
      <c r="T758" t="s">
        <v>164</v>
      </c>
      <c r="U758" t="s">
        <v>164</v>
      </c>
      <c r="V758" s="7">
        <v>0.79718502325918739</v>
      </c>
      <c r="W758">
        <v>4.0183999999999997</v>
      </c>
      <c r="X758">
        <v>5.8999999999999999E-3</v>
      </c>
      <c r="Y758">
        <v>64.167000000000002</v>
      </c>
      <c r="Z758">
        <v>6</v>
      </c>
      <c r="AA758">
        <v>9</v>
      </c>
      <c r="AB758">
        <v>25</v>
      </c>
      <c r="AC758" s="17">
        <v>1</v>
      </c>
      <c r="AD758">
        <f t="shared" si="13"/>
        <v>1</v>
      </c>
      <c r="AE758">
        <v>20</v>
      </c>
      <c r="AF758" s="11">
        <v>0.4</v>
      </c>
    </row>
    <row r="759" spans="1:32" x14ac:dyDescent="0.3">
      <c r="A759" t="s">
        <v>133</v>
      </c>
      <c r="B759" t="s">
        <v>134</v>
      </c>
      <c r="C759">
        <v>-0.9</v>
      </c>
      <c r="D759">
        <v>460.43</v>
      </c>
      <c r="E759">
        <v>3.6</v>
      </c>
      <c r="F759">
        <v>3.05</v>
      </c>
      <c r="G759">
        <v>1.65</v>
      </c>
      <c r="H759">
        <v>3.5</v>
      </c>
      <c r="I759">
        <v>3.1579000000000002</v>
      </c>
      <c r="J759">
        <v>181.62</v>
      </c>
      <c r="K759" t="s">
        <v>55</v>
      </c>
      <c r="L759" t="s">
        <v>51</v>
      </c>
      <c r="M759">
        <v>3</v>
      </c>
      <c r="N759">
        <v>27.222000000000001</v>
      </c>
      <c r="O759">
        <v>0</v>
      </c>
      <c r="P759" s="13">
        <v>1.5189999999999999</v>
      </c>
      <c r="Q759" t="s">
        <v>52</v>
      </c>
      <c r="R759">
        <v>60</v>
      </c>
      <c r="S759">
        <v>24</v>
      </c>
      <c r="T759" t="s">
        <v>164</v>
      </c>
      <c r="U759" t="s">
        <v>164</v>
      </c>
      <c r="V759" s="7">
        <v>0.79718502325918739</v>
      </c>
      <c r="W759">
        <v>4.0183999999999997</v>
      </c>
      <c r="X759">
        <v>5.8999999999999999E-3</v>
      </c>
      <c r="Y759">
        <v>64.167000000000002</v>
      </c>
      <c r="Z759">
        <v>6</v>
      </c>
      <c r="AA759">
        <v>10</v>
      </c>
      <c r="AB759">
        <v>25</v>
      </c>
      <c r="AC759" s="17">
        <v>1</v>
      </c>
      <c r="AD759">
        <f t="shared" si="13"/>
        <v>1</v>
      </c>
      <c r="AE759">
        <v>20</v>
      </c>
      <c r="AF759" s="11">
        <v>0.15</v>
      </c>
    </row>
    <row r="760" spans="1:32" x14ac:dyDescent="0.3">
      <c r="A760" t="s">
        <v>135</v>
      </c>
      <c r="B760" s="24" t="s">
        <v>136</v>
      </c>
      <c r="C760">
        <v>0.28000000000000003</v>
      </c>
      <c r="D760">
        <v>331.34</v>
      </c>
      <c r="E760">
        <v>2.2000000000000002</v>
      </c>
      <c r="F760">
        <v>2.34</v>
      </c>
      <c r="G760">
        <v>0.7</v>
      </c>
      <c r="H760">
        <v>2.52</v>
      </c>
      <c r="I760">
        <v>2.3047</v>
      </c>
      <c r="J760">
        <v>72.900000000000006</v>
      </c>
      <c r="K760" t="s">
        <v>55</v>
      </c>
      <c r="L760" t="s">
        <v>51</v>
      </c>
      <c r="M760">
        <v>2</v>
      </c>
      <c r="N760">
        <v>27.222000000000001</v>
      </c>
      <c r="O760">
        <v>0</v>
      </c>
      <c r="P760" s="13">
        <v>1.5189999999999999</v>
      </c>
      <c r="Q760" t="s">
        <v>52</v>
      </c>
      <c r="R760">
        <v>80</v>
      </c>
      <c r="S760">
        <v>24</v>
      </c>
      <c r="T760" t="s">
        <v>164</v>
      </c>
      <c r="U760" t="s">
        <v>164</v>
      </c>
      <c r="V760" s="7">
        <v>0.76224839171129977</v>
      </c>
      <c r="W760">
        <v>23.31</v>
      </c>
      <c r="X760">
        <v>3.9E-2</v>
      </c>
      <c r="Y760">
        <v>6.69</v>
      </c>
      <c r="AA760">
        <v>9.5</v>
      </c>
      <c r="AB760">
        <v>25</v>
      </c>
      <c r="AC760" s="21">
        <f>5/60</f>
        <v>8.3333333333333329E-2</v>
      </c>
      <c r="AD760">
        <v>2</v>
      </c>
      <c r="AE760">
        <v>100</v>
      </c>
      <c r="AF760" s="11">
        <v>0.26</v>
      </c>
    </row>
    <row r="761" spans="1:32" x14ac:dyDescent="0.3">
      <c r="A761" t="s">
        <v>135</v>
      </c>
      <c r="B761" s="24" t="s">
        <v>136</v>
      </c>
      <c r="C761">
        <v>0.28000000000000003</v>
      </c>
      <c r="D761">
        <v>331.34</v>
      </c>
      <c r="E761">
        <v>2.2000000000000002</v>
      </c>
      <c r="F761">
        <v>2.34</v>
      </c>
      <c r="G761">
        <v>0.7</v>
      </c>
      <c r="H761">
        <v>2.52</v>
      </c>
      <c r="I761">
        <v>2.3047</v>
      </c>
      <c r="J761">
        <v>72.900000000000006</v>
      </c>
      <c r="K761" t="s">
        <v>55</v>
      </c>
      <c r="L761" t="s">
        <v>51</v>
      </c>
      <c r="M761">
        <v>2</v>
      </c>
      <c r="N761">
        <v>27.222000000000001</v>
      </c>
      <c r="O761">
        <v>0</v>
      </c>
      <c r="P761" s="13">
        <v>1.5189999999999999</v>
      </c>
      <c r="Q761" t="s">
        <v>52</v>
      </c>
      <c r="R761">
        <v>80</v>
      </c>
      <c r="S761">
        <v>24</v>
      </c>
      <c r="T761" t="s">
        <v>164</v>
      </c>
      <c r="U761" t="s">
        <v>164</v>
      </c>
      <c r="V761" s="7">
        <v>0.76224839171129977</v>
      </c>
      <c r="W761">
        <v>23.31</v>
      </c>
      <c r="X761">
        <v>3.9E-2</v>
      </c>
      <c r="Y761">
        <v>6.69</v>
      </c>
      <c r="AA761">
        <v>9.5</v>
      </c>
      <c r="AB761">
        <v>25</v>
      </c>
      <c r="AC761" s="17">
        <f>15/60</f>
        <v>0.25</v>
      </c>
      <c r="AD761">
        <v>2</v>
      </c>
      <c r="AE761">
        <v>100</v>
      </c>
      <c r="AF761" s="11">
        <v>0.3</v>
      </c>
    </row>
    <row r="762" spans="1:32" x14ac:dyDescent="0.3">
      <c r="A762" t="s">
        <v>135</v>
      </c>
      <c r="B762" s="24" t="s">
        <v>136</v>
      </c>
      <c r="C762">
        <v>0.28000000000000003</v>
      </c>
      <c r="D762">
        <v>331.34</v>
      </c>
      <c r="E762">
        <v>2.2000000000000002</v>
      </c>
      <c r="F762">
        <v>2.34</v>
      </c>
      <c r="G762">
        <v>0.7</v>
      </c>
      <c r="H762">
        <v>2.52</v>
      </c>
      <c r="I762">
        <v>2.3047</v>
      </c>
      <c r="J762">
        <v>72.900000000000006</v>
      </c>
      <c r="K762" t="s">
        <v>55</v>
      </c>
      <c r="L762" t="s">
        <v>51</v>
      </c>
      <c r="M762">
        <v>2</v>
      </c>
      <c r="N762">
        <v>27.222000000000001</v>
      </c>
      <c r="O762">
        <v>0</v>
      </c>
      <c r="P762" s="13">
        <v>1.5189999999999999</v>
      </c>
      <c r="Q762" t="s">
        <v>52</v>
      </c>
      <c r="R762">
        <v>80</v>
      </c>
      <c r="S762">
        <v>24</v>
      </c>
      <c r="T762" t="s">
        <v>164</v>
      </c>
      <c r="U762" t="s">
        <v>164</v>
      </c>
      <c r="V762" s="7">
        <v>0.76224839171129977</v>
      </c>
      <c r="W762">
        <v>23.31</v>
      </c>
      <c r="X762">
        <v>3.9E-2</v>
      </c>
      <c r="Y762">
        <v>6.69</v>
      </c>
      <c r="AA762">
        <v>9.5</v>
      </c>
      <c r="AB762">
        <v>25</v>
      </c>
      <c r="AC762" s="17">
        <f>30/60</f>
        <v>0.5</v>
      </c>
      <c r="AD762">
        <v>2</v>
      </c>
      <c r="AE762">
        <v>100</v>
      </c>
      <c r="AF762" s="11">
        <v>0.34</v>
      </c>
    </row>
    <row r="763" spans="1:32" x14ac:dyDescent="0.3">
      <c r="A763" t="s">
        <v>135</v>
      </c>
      <c r="B763" s="24" t="s">
        <v>136</v>
      </c>
      <c r="C763">
        <v>0.28000000000000003</v>
      </c>
      <c r="D763">
        <v>331.34</v>
      </c>
      <c r="E763">
        <v>2.2000000000000002</v>
      </c>
      <c r="F763">
        <v>2.34</v>
      </c>
      <c r="G763">
        <v>0.7</v>
      </c>
      <c r="H763">
        <v>2.52</v>
      </c>
      <c r="I763">
        <v>2.3047</v>
      </c>
      <c r="J763">
        <v>72.900000000000006</v>
      </c>
      <c r="K763" t="s">
        <v>55</v>
      </c>
      <c r="L763" t="s">
        <v>51</v>
      </c>
      <c r="M763">
        <v>2</v>
      </c>
      <c r="N763">
        <v>27.222000000000001</v>
      </c>
      <c r="O763">
        <v>0</v>
      </c>
      <c r="P763" s="13">
        <v>1.5189999999999999</v>
      </c>
      <c r="Q763" t="s">
        <v>52</v>
      </c>
      <c r="R763">
        <v>80</v>
      </c>
      <c r="S763">
        <v>24</v>
      </c>
      <c r="T763" t="s">
        <v>164</v>
      </c>
      <c r="U763" t="s">
        <v>164</v>
      </c>
      <c r="V763" s="7">
        <v>0.76224839171129977</v>
      </c>
      <c r="W763">
        <v>23.31</v>
      </c>
      <c r="X763">
        <v>3.9E-2</v>
      </c>
      <c r="Y763">
        <v>6.69</v>
      </c>
      <c r="AA763">
        <v>9.5</v>
      </c>
      <c r="AB763">
        <v>25</v>
      </c>
      <c r="AC763" s="17">
        <v>1</v>
      </c>
      <c r="AD763">
        <v>2</v>
      </c>
      <c r="AE763">
        <v>100</v>
      </c>
      <c r="AF763" s="11">
        <v>0.42</v>
      </c>
    </row>
    <row r="764" spans="1:32" x14ac:dyDescent="0.3">
      <c r="A764" t="s">
        <v>135</v>
      </c>
      <c r="B764" s="24" t="s">
        <v>136</v>
      </c>
      <c r="C764">
        <v>0.28000000000000003</v>
      </c>
      <c r="D764">
        <v>331.34</v>
      </c>
      <c r="E764">
        <v>2.2000000000000002</v>
      </c>
      <c r="F764">
        <v>2.34</v>
      </c>
      <c r="G764">
        <v>0.7</v>
      </c>
      <c r="H764">
        <v>2.52</v>
      </c>
      <c r="I764">
        <v>2.3047</v>
      </c>
      <c r="J764">
        <v>72.900000000000006</v>
      </c>
      <c r="K764" t="s">
        <v>55</v>
      </c>
      <c r="L764" t="s">
        <v>51</v>
      </c>
      <c r="M764">
        <v>2</v>
      </c>
      <c r="N764">
        <v>27.222000000000001</v>
      </c>
      <c r="O764">
        <v>0</v>
      </c>
      <c r="P764" s="13">
        <v>1.5189999999999999</v>
      </c>
      <c r="Q764" t="s">
        <v>52</v>
      </c>
      <c r="R764">
        <v>80</v>
      </c>
      <c r="S764">
        <v>24</v>
      </c>
      <c r="T764" t="s">
        <v>164</v>
      </c>
      <c r="U764" t="s">
        <v>164</v>
      </c>
      <c r="V764" s="7">
        <v>0.76224839171129977</v>
      </c>
      <c r="W764">
        <v>23.31</v>
      </c>
      <c r="X764">
        <v>3.9E-2</v>
      </c>
      <c r="Y764">
        <v>6.69</v>
      </c>
      <c r="AA764">
        <v>9.5</v>
      </c>
      <c r="AB764">
        <v>25</v>
      </c>
      <c r="AC764" s="17">
        <f>120/60</f>
        <v>2</v>
      </c>
      <c r="AD764">
        <v>2</v>
      </c>
      <c r="AE764">
        <v>100</v>
      </c>
      <c r="AF764" s="11">
        <v>0.52</v>
      </c>
    </row>
    <row r="765" spans="1:32" x14ac:dyDescent="0.3">
      <c r="A765" t="s">
        <v>135</v>
      </c>
      <c r="B765" s="24" t="s">
        <v>136</v>
      </c>
      <c r="C765">
        <v>0.28000000000000003</v>
      </c>
      <c r="D765">
        <v>331.34</v>
      </c>
      <c r="E765">
        <v>2.2000000000000002</v>
      </c>
      <c r="F765">
        <v>2.34</v>
      </c>
      <c r="G765">
        <v>0.7</v>
      </c>
      <c r="H765">
        <v>2.52</v>
      </c>
      <c r="I765">
        <v>2.3047</v>
      </c>
      <c r="J765">
        <v>72.900000000000006</v>
      </c>
      <c r="K765" t="s">
        <v>55</v>
      </c>
      <c r="L765" t="s">
        <v>51</v>
      </c>
      <c r="M765">
        <v>2</v>
      </c>
      <c r="N765">
        <v>27.222000000000001</v>
      </c>
      <c r="O765">
        <v>0</v>
      </c>
      <c r="P765" s="13">
        <v>1.5189999999999999</v>
      </c>
      <c r="Q765" t="s">
        <v>52</v>
      </c>
      <c r="R765">
        <v>80</v>
      </c>
      <c r="S765">
        <v>24</v>
      </c>
      <c r="T765" t="s">
        <v>164</v>
      </c>
      <c r="U765" t="s">
        <v>164</v>
      </c>
      <c r="V765" s="7">
        <v>0.76224839171129977</v>
      </c>
      <c r="W765">
        <v>23.31</v>
      </c>
      <c r="X765">
        <v>3.9E-2</v>
      </c>
      <c r="Y765">
        <v>6.69</v>
      </c>
      <c r="AA765">
        <v>9.5</v>
      </c>
      <c r="AB765">
        <v>25</v>
      </c>
      <c r="AC765" s="17">
        <f>360/60</f>
        <v>6</v>
      </c>
      <c r="AD765">
        <v>2</v>
      </c>
      <c r="AE765">
        <v>100</v>
      </c>
      <c r="AF765" s="11">
        <v>0.66</v>
      </c>
    </row>
    <row r="766" spans="1:32" x14ac:dyDescent="0.3">
      <c r="A766" t="s">
        <v>135</v>
      </c>
      <c r="B766" s="24" t="s">
        <v>136</v>
      </c>
      <c r="C766">
        <v>0.28000000000000003</v>
      </c>
      <c r="D766">
        <v>331.34</v>
      </c>
      <c r="E766">
        <v>2.2000000000000002</v>
      </c>
      <c r="F766">
        <v>2.34</v>
      </c>
      <c r="G766">
        <v>0.7</v>
      </c>
      <c r="H766">
        <v>2.52</v>
      </c>
      <c r="I766">
        <v>2.3047</v>
      </c>
      <c r="J766">
        <v>72.900000000000006</v>
      </c>
      <c r="K766" t="s">
        <v>55</v>
      </c>
      <c r="L766" t="s">
        <v>51</v>
      </c>
      <c r="M766">
        <v>2</v>
      </c>
      <c r="N766">
        <v>27.222000000000001</v>
      </c>
      <c r="O766">
        <v>0</v>
      </c>
      <c r="P766" s="13">
        <v>1.5189999999999999</v>
      </c>
      <c r="Q766" t="s">
        <v>52</v>
      </c>
      <c r="R766">
        <v>80</v>
      </c>
      <c r="S766">
        <v>24</v>
      </c>
      <c r="T766" t="s">
        <v>164</v>
      </c>
      <c r="U766" t="s">
        <v>164</v>
      </c>
      <c r="V766" s="7">
        <v>0.76224839171129977</v>
      </c>
      <c r="W766">
        <v>23.31</v>
      </c>
      <c r="X766">
        <v>3.9E-2</v>
      </c>
      <c r="Y766">
        <v>6.69</v>
      </c>
      <c r="AA766">
        <v>9.5</v>
      </c>
      <c r="AB766">
        <v>25</v>
      </c>
      <c r="AC766" s="17">
        <f>540/60</f>
        <v>9</v>
      </c>
      <c r="AD766">
        <v>2</v>
      </c>
      <c r="AE766">
        <v>100</v>
      </c>
      <c r="AF766" s="11">
        <v>0.67</v>
      </c>
    </row>
    <row r="767" spans="1:32" x14ac:dyDescent="0.3">
      <c r="A767" t="s">
        <v>135</v>
      </c>
      <c r="B767" s="24" t="s">
        <v>136</v>
      </c>
      <c r="C767">
        <v>0.28000000000000003</v>
      </c>
      <c r="D767">
        <v>331.34</v>
      </c>
      <c r="E767">
        <v>2.2000000000000002</v>
      </c>
      <c r="F767">
        <v>2.34</v>
      </c>
      <c r="G767">
        <v>0.7</v>
      </c>
      <c r="H767">
        <v>2.52</v>
      </c>
      <c r="I767">
        <v>2.3047</v>
      </c>
      <c r="J767">
        <v>72.900000000000006</v>
      </c>
      <c r="K767" t="s">
        <v>55</v>
      </c>
      <c r="L767" t="s">
        <v>51</v>
      </c>
      <c r="M767">
        <v>2</v>
      </c>
      <c r="N767">
        <v>27.222000000000001</v>
      </c>
      <c r="O767">
        <v>0</v>
      </c>
      <c r="P767" s="13">
        <v>1.5189999999999999</v>
      </c>
      <c r="Q767" t="s">
        <v>52</v>
      </c>
      <c r="R767">
        <v>80</v>
      </c>
      <c r="S767">
        <v>24</v>
      </c>
      <c r="T767" t="s">
        <v>164</v>
      </c>
      <c r="U767" t="s">
        <v>164</v>
      </c>
      <c r="V767" s="7">
        <v>0.76224839171129977</v>
      </c>
      <c r="W767">
        <v>23.31</v>
      </c>
      <c r="X767">
        <v>3.9E-2</v>
      </c>
      <c r="Y767">
        <v>6.69</v>
      </c>
      <c r="AA767">
        <v>9.5</v>
      </c>
      <c r="AB767">
        <v>25</v>
      </c>
      <c r="AC767" s="17">
        <f>720/60</f>
        <v>12</v>
      </c>
      <c r="AD767">
        <v>2</v>
      </c>
      <c r="AE767">
        <v>100</v>
      </c>
      <c r="AF767" s="11">
        <v>0.67599999999999993</v>
      </c>
    </row>
    <row r="768" spans="1:32" x14ac:dyDescent="0.3">
      <c r="A768" t="s">
        <v>135</v>
      </c>
      <c r="B768" s="24" t="s">
        <v>136</v>
      </c>
      <c r="C768">
        <v>0.28000000000000003</v>
      </c>
      <c r="D768">
        <v>331.34</v>
      </c>
      <c r="E768">
        <v>2.2000000000000002</v>
      </c>
      <c r="F768">
        <v>2.34</v>
      </c>
      <c r="G768">
        <v>0.7</v>
      </c>
      <c r="H768">
        <v>2.52</v>
      </c>
      <c r="I768">
        <v>2.3047</v>
      </c>
      <c r="J768">
        <v>72.900000000000006</v>
      </c>
      <c r="K768" t="s">
        <v>55</v>
      </c>
      <c r="L768" t="s">
        <v>51</v>
      </c>
      <c r="M768">
        <v>2</v>
      </c>
      <c r="N768">
        <v>27.222000000000001</v>
      </c>
      <c r="O768">
        <v>0</v>
      </c>
      <c r="P768" s="13">
        <v>1.5189999999999999</v>
      </c>
      <c r="Q768" t="s">
        <v>52</v>
      </c>
      <c r="R768">
        <v>80</v>
      </c>
      <c r="S768">
        <v>24</v>
      </c>
      <c r="T768" t="s">
        <v>164</v>
      </c>
      <c r="U768" t="s">
        <v>164</v>
      </c>
      <c r="V768" s="7">
        <v>0.76224839171129977</v>
      </c>
      <c r="W768">
        <v>23.31</v>
      </c>
      <c r="X768">
        <v>3.9E-2</v>
      </c>
      <c r="Y768">
        <v>6.69</v>
      </c>
      <c r="AA768">
        <v>9.5</v>
      </c>
      <c r="AB768">
        <v>25</v>
      </c>
      <c r="AC768" s="17">
        <f>1440/60</f>
        <v>24</v>
      </c>
      <c r="AD768">
        <v>2</v>
      </c>
      <c r="AE768">
        <v>100</v>
      </c>
      <c r="AF768" s="11">
        <v>0.68</v>
      </c>
    </row>
    <row r="769" spans="1:32" x14ac:dyDescent="0.3">
      <c r="A769" t="s">
        <v>135</v>
      </c>
      <c r="B769" s="24" t="s">
        <v>136</v>
      </c>
      <c r="C769">
        <v>0.28000000000000003</v>
      </c>
      <c r="D769">
        <v>331.34</v>
      </c>
      <c r="E769">
        <v>2.2000000000000002</v>
      </c>
      <c r="F769">
        <v>2.34</v>
      </c>
      <c r="G769">
        <v>0.7</v>
      </c>
      <c r="H769">
        <v>2.52</v>
      </c>
      <c r="I769">
        <v>2.3047</v>
      </c>
      <c r="J769">
        <v>72.900000000000006</v>
      </c>
      <c r="K769" t="s">
        <v>55</v>
      </c>
      <c r="L769" t="s">
        <v>51</v>
      </c>
      <c r="M769">
        <v>2</v>
      </c>
      <c r="N769">
        <v>27.222000000000001</v>
      </c>
      <c r="O769">
        <v>0</v>
      </c>
      <c r="P769" s="13">
        <v>1.5189999999999999</v>
      </c>
      <c r="Q769" t="s">
        <v>52</v>
      </c>
      <c r="R769">
        <v>80</v>
      </c>
      <c r="S769">
        <v>24</v>
      </c>
      <c r="T769" t="s">
        <v>164</v>
      </c>
      <c r="U769" t="s">
        <v>164</v>
      </c>
      <c r="V769" s="7">
        <v>0.76224839171129977</v>
      </c>
      <c r="W769">
        <v>23.31</v>
      </c>
      <c r="X769">
        <v>3.9E-2</v>
      </c>
      <c r="Y769">
        <v>6.69</v>
      </c>
      <c r="AA769">
        <v>9.5</v>
      </c>
      <c r="AB769">
        <v>25</v>
      </c>
      <c r="AC769" s="17">
        <f t="shared" ref="AC769:AC779" si="14">1440/60</f>
        <v>24</v>
      </c>
      <c r="AD769">
        <v>2</v>
      </c>
      <c r="AE769">
        <v>10</v>
      </c>
      <c r="AF769" s="11">
        <v>0.8</v>
      </c>
    </row>
    <row r="770" spans="1:32" x14ac:dyDescent="0.3">
      <c r="A770" t="s">
        <v>135</v>
      </c>
      <c r="B770" s="24" t="s">
        <v>136</v>
      </c>
      <c r="C770">
        <v>0.28000000000000003</v>
      </c>
      <c r="D770">
        <v>331.34</v>
      </c>
      <c r="E770">
        <v>2.2000000000000002</v>
      </c>
      <c r="F770">
        <v>2.34</v>
      </c>
      <c r="G770">
        <v>0.7</v>
      </c>
      <c r="H770">
        <v>2.52</v>
      </c>
      <c r="I770">
        <v>2.3047</v>
      </c>
      <c r="J770">
        <v>72.900000000000006</v>
      </c>
      <c r="K770" t="s">
        <v>55</v>
      </c>
      <c r="L770" t="s">
        <v>51</v>
      </c>
      <c r="M770">
        <v>2</v>
      </c>
      <c r="N770">
        <v>27.222000000000001</v>
      </c>
      <c r="O770">
        <v>0</v>
      </c>
      <c r="P770" s="13">
        <v>1.5189999999999999</v>
      </c>
      <c r="Q770" t="s">
        <v>52</v>
      </c>
      <c r="R770">
        <v>80</v>
      </c>
      <c r="S770">
        <v>24</v>
      </c>
      <c r="T770" t="s">
        <v>164</v>
      </c>
      <c r="U770" t="s">
        <v>164</v>
      </c>
      <c r="V770" s="7">
        <v>0.76224839171129977</v>
      </c>
      <c r="W770">
        <v>23.31</v>
      </c>
      <c r="X770">
        <v>3.9E-2</v>
      </c>
      <c r="Y770">
        <v>6.69</v>
      </c>
      <c r="AA770">
        <v>9.5</v>
      </c>
      <c r="AB770">
        <v>25</v>
      </c>
      <c r="AC770" s="17">
        <f t="shared" si="14"/>
        <v>24</v>
      </c>
      <c r="AD770">
        <v>2</v>
      </c>
      <c r="AE770">
        <v>25</v>
      </c>
      <c r="AF770" s="11">
        <v>0.8</v>
      </c>
    </row>
    <row r="771" spans="1:32" x14ac:dyDescent="0.3">
      <c r="A771" t="s">
        <v>135</v>
      </c>
      <c r="B771" s="24" t="s">
        <v>136</v>
      </c>
      <c r="C771">
        <v>0.28000000000000003</v>
      </c>
      <c r="D771">
        <v>331.34</v>
      </c>
      <c r="E771">
        <v>2.2000000000000002</v>
      </c>
      <c r="F771">
        <v>2.34</v>
      </c>
      <c r="G771">
        <v>0.7</v>
      </c>
      <c r="H771">
        <v>2.52</v>
      </c>
      <c r="I771">
        <v>2.3047</v>
      </c>
      <c r="J771">
        <v>72.900000000000006</v>
      </c>
      <c r="K771" t="s">
        <v>55</v>
      </c>
      <c r="L771" t="s">
        <v>51</v>
      </c>
      <c r="M771">
        <v>2</v>
      </c>
      <c r="N771">
        <v>27.222000000000001</v>
      </c>
      <c r="O771">
        <v>0</v>
      </c>
      <c r="P771" s="13">
        <v>1.5189999999999999</v>
      </c>
      <c r="Q771" t="s">
        <v>52</v>
      </c>
      <c r="R771">
        <v>80</v>
      </c>
      <c r="S771">
        <v>24</v>
      </c>
      <c r="T771" t="s">
        <v>164</v>
      </c>
      <c r="U771" t="s">
        <v>164</v>
      </c>
      <c r="V771" s="7">
        <v>0.76224839171129977</v>
      </c>
      <c r="W771">
        <v>23.31</v>
      </c>
      <c r="X771">
        <v>3.9E-2</v>
      </c>
      <c r="Y771">
        <v>6.69</v>
      </c>
      <c r="AA771">
        <v>9.5</v>
      </c>
      <c r="AB771">
        <v>25</v>
      </c>
      <c r="AC771" s="17">
        <f t="shared" si="14"/>
        <v>24</v>
      </c>
      <c r="AD771">
        <v>2</v>
      </c>
      <c r="AE771">
        <v>35</v>
      </c>
      <c r="AF771" s="11">
        <v>0.97142857142857142</v>
      </c>
    </row>
    <row r="772" spans="1:32" x14ac:dyDescent="0.3">
      <c r="A772" t="s">
        <v>135</v>
      </c>
      <c r="B772" s="24" t="s">
        <v>136</v>
      </c>
      <c r="C772">
        <v>0.28000000000000003</v>
      </c>
      <c r="D772">
        <v>331.34</v>
      </c>
      <c r="E772">
        <v>2.2000000000000002</v>
      </c>
      <c r="F772">
        <v>2.34</v>
      </c>
      <c r="G772">
        <v>0.7</v>
      </c>
      <c r="H772">
        <v>2.52</v>
      </c>
      <c r="I772">
        <v>2.3047</v>
      </c>
      <c r="J772">
        <v>72.900000000000006</v>
      </c>
      <c r="K772" t="s">
        <v>55</v>
      </c>
      <c r="L772" t="s">
        <v>51</v>
      </c>
      <c r="M772">
        <v>2</v>
      </c>
      <c r="N772">
        <v>27.222000000000001</v>
      </c>
      <c r="O772">
        <v>0</v>
      </c>
      <c r="P772" s="13">
        <v>1.5189999999999999</v>
      </c>
      <c r="Q772" t="s">
        <v>52</v>
      </c>
      <c r="R772">
        <v>80</v>
      </c>
      <c r="S772">
        <v>24</v>
      </c>
      <c r="T772" t="s">
        <v>164</v>
      </c>
      <c r="U772" t="s">
        <v>164</v>
      </c>
      <c r="V772" s="7">
        <v>0.76224839171129977</v>
      </c>
      <c r="W772">
        <v>23.31</v>
      </c>
      <c r="X772">
        <v>3.9E-2</v>
      </c>
      <c r="Y772">
        <v>6.69</v>
      </c>
      <c r="AA772">
        <v>9.5</v>
      </c>
      <c r="AB772">
        <v>25</v>
      </c>
      <c r="AC772" s="17">
        <f t="shared" si="14"/>
        <v>24</v>
      </c>
      <c r="AD772">
        <v>2</v>
      </c>
      <c r="AE772">
        <v>68</v>
      </c>
      <c r="AF772" s="11">
        <v>0.70588235294117652</v>
      </c>
    </row>
    <row r="773" spans="1:32" x14ac:dyDescent="0.3">
      <c r="A773" t="s">
        <v>135</v>
      </c>
      <c r="B773" s="24" t="s">
        <v>136</v>
      </c>
      <c r="C773">
        <v>0.28000000000000003</v>
      </c>
      <c r="D773">
        <v>331.34</v>
      </c>
      <c r="E773">
        <v>2.2000000000000002</v>
      </c>
      <c r="F773">
        <v>2.34</v>
      </c>
      <c r="G773">
        <v>0.7</v>
      </c>
      <c r="H773">
        <v>2.52</v>
      </c>
      <c r="I773">
        <v>2.3047</v>
      </c>
      <c r="J773">
        <v>72.900000000000006</v>
      </c>
      <c r="K773" t="s">
        <v>55</v>
      </c>
      <c r="L773" t="s">
        <v>51</v>
      </c>
      <c r="M773">
        <v>2</v>
      </c>
      <c r="N773">
        <v>27.222000000000001</v>
      </c>
      <c r="O773">
        <v>0</v>
      </c>
      <c r="P773" s="13">
        <v>1.5189999999999999</v>
      </c>
      <c r="Q773" t="s">
        <v>52</v>
      </c>
      <c r="R773">
        <v>80</v>
      </c>
      <c r="S773">
        <v>24</v>
      </c>
      <c r="T773" t="s">
        <v>164</v>
      </c>
      <c r="U773" t="s">
        <v>164</v>
      </c>
      <c r="V773" s="7">
        <v>0.76224839171129977</v>
      </c>
      <c r="W773">
        <v>23.31</v>
      </c>
      <c r="X773">
        <v>3.9E-2</v>
      </c>
      <c r="Y773">
        <v>6.69</v>
      </c>
      <c r="AA773">
        <v>9.5</v>
      </c>
      <c r="AB773">
        <v>25</v>
      </c>
      <c r="AC773" s="17">
        <f t="shared" si="14"/>
        <v>24</v>
      </c>
      <c r="AD773">
        <v>2</v>
      </c>
      <c r="AE773">
        <v>102</v>
      </c>
      <c r="AF773" s="11">
        <v>0.60784313725490191</v>
      </c>
    </row>
    <row r="774" spans="1:32" x14ac:dyDescent="0.3">
      <c r="A774" t="s">
        <v>135</v>
      </c>
      <c r="B774" s="24" t="s">
        <v>136</v>
      </c>
      <c r="C774">
        <v>0.28000000000000003</v>
      </c>
      <c r="D774">
        <v>331.34</v>
      </c>
      <c r="E774">
        <v>2.2000000000000002</v>
      </c>
      <c r="F774">
        <v>2.34</v>
      </c>
      <c r="G774">
        <v>0.7</v>
      </c>
      <c r="H774">
        <v>2.52</v>
      </c>
      <c r="I774">
        <v>2.3047</v>
      </c>
      <c r="J774">
        <v>72.900000000000006</v>
      </c>
      <c r="K774" t="s">
        <v>55</v>
      </c>
      <c r="L774" t="s">
        <v>51</v>
      </c>
      <c r="M774">
        <v>2</v>
      </c>
      <c r="N774">
        <v>27.222000000000001</v>
      </c>
      <c r="O774">
        <v>0</v>
      </c>
      <c r="P774" s="13">
        <v>1.5189999999999999</v>
      </c>
      <c r="Q774" t="s">
        <v>52</v>
      </c>
      <c r="R774">
        <v>80</v>
      </c>
      <c r="S774">
        <v>24</v>
      </c>
      <c r="T774" t="s">
        <v>164</v>
      </c>
      <c r="U774" t="s">
        <v>164</v>
      </c>
      <c r="V774" s="7">
        <v>0.76224839171129977</v>
      </c>
      <c r="W774">
        <v>23.31</v>
      </c>
      <c r="X774">
        <v>3.9E-2</v>
      </c>
      <c r="Y774">
        <v>6.69</v>
      </c>
      <c r="AA774">
        <v>9.5</v>
      </c>
      <c r="AB774">
        <v>25</v>
      </c>
      <c r="AC774" s="17">
        <f t="shared" si="14"/>
        <v>24</v>
      </c>
      <c r="AD774">
        <v>2</v>
      </c>
      <c r="AE774">
        <v>152</v>
      </c>
      <c r="AF774" s="11">
        <v>0.60526315789473684</v>
      </c>
    </row>
    <row r="775" spans="1:32" x14ac:dyDescent="0.3">
      <c r="A775" t="s">
        <v>135</v>
      </c>
      <c r="B775" s="24" t="s">
        <v>136</v>
      </c>
      <c r="C775">
        <v>0.28000000000000003</v>
      </c>
      <c r="D775">
        <v>331.34</v>
      </c>
      <c r="E775">
        <v>2.2000000000000002</v>
      </c>
      <c r="F775">
        <v>2.34</v>
      </c>
      <c r="G775">
        <v>0.7</v>
      </c>
      <c r="H775">
        <v>2.52</v>
      </c>
      <c r="I775">
        <v>2.3047</v>
      </c>
      <c r="J775">
        <v>72.900000000000006</v>
      </c>
      <c r="K775" t="s">
        <v>55</v>
      </c>
      <c r="L775" t="s">
        <v>51</v>
      </c>
      <c r="M775">
        <v>2</v>
      </c>
      <c r="N775">
        <v>27.222000000000001</v>
      </c>
      <c r="O775">
        <v>0</v>
      </c>
      <c r="P775" s="13">
        <v>1.5189999999999999</v>
      </c>
      <c r="Q775" t="s">
        <v>52</v>
      </c>
      <c r="R775">
        <v>80</v>
      </c>
      <c r="S775">
        <v>24</v>
      </c>
      <c r="T775" t="s">
        <v>164</v>
      </c>
      <c r="U775" t="s">
        <v>164</v>
      </c>
      <c r="V775" s="7">
        <v>0.76224839171129977</v>
      </c>
      <c r="W775">
        <v>23.31</v>
      </c>
      <c r="X775">
        <v>3.9E-2</v>
      </c>
      <c r="Y775">
        <v>6.69</v>
      </c>
      <c r="AA775">
        <v>9.5</v>
      </c>
      <c r="AB775">
        <v>25</v>
      </c>
      <c r="AC775" s="17">
        <f t="shared" si="14"/>
        <v>24</v>
      </c>
      <c r="AD775">
        <v>2</v>
      </c>
      <c r="AE775">
        <v>204</v>
      </c>
      <c r="AF775" s="11">
        <v>0.55882352941176472</v>
      </c>
    </row>
    <row r="776" spans="1:32" x14ac:dyDescent="0.3">
      <c r="A776" t="s">
        <v>135</v>
      </c>
      <c r="B776" s="24" t="s">
        <v>136</v>
      </c>
      <c r="C776">
        <v>0.28000000000000003</v>
      </c>
      <c r="D776">
        <v>331.34</v>
      </c>
      <c r="E776">
        <v>2.2000000000000002</v>
      </c>
      <c r="F776">
        <v>2.34</v>
      </c>
      <c r="G776">
        <v>0.7</v>
      </c>
      <c r="H776">
        <v>2.52</v>
      </c>
      <c r="I776">
        <v>2.3047</v>
      </c>
      <c r="J776">
        <v>72.900000000000006</v>
      </c>
      <c r="K776" t="s">
        <v>55</v>
      </c>
      <c r="L776" t="s">
        <v>51</v>
      </c>
      <c r="M776">
        <v>2</v>
      </c>
      <c r="N776">
        <v>27.222000000000001</v>
      </c>
      <c r="O776">
        <v>0</v>
      </c>
      <c r="P776" s="13">
        <v>1.5189999999999999</v>
      </c>
      <c r="Q776" t="s">
        <v>52</v>
      </c>
      <c r="R776">
        <v>80</v>
      </c>
      <c r="S776">
        <v>24</v>
      </c>
      <c r="T776" t="s">
        <v>164</v>
      </c>
      <c r="U776" t="s">
        <v>164</v>
      </c>
      <c r="V776" s="7">
        <v>0.76224839171129977</v>
      </c>
      <c r="W776">
        <v>23.31</v>
      </c>
      <c r="X776">
        <v>3.9E-2</v>
      </c>
      <c r="Y776">
        <v>6.69</v>
      </c>
      <c r="AA776">
        <v>9.5</v>
      </c>
      <c r="AB776">
        <v>25</v>
      </c>
      <c r="AC776" s="17">
        <f t="shared" si="14"/>
        <v>24</v>
      </c>
      <c r="AD776">
        <v>2</v>
      </c>
      <c r="AE776">
        <v>296</v>
      </c>
      <c r="AF776" s="11">
        <v>0.45945945945945948</v>
      </c>
    </row>
    <row r="777" spans="1:32" x14ac:dyDescent="0.3">
      <c r="A777" t="s">
        <v>135</v>
      </c>
      <c r="B777" s="24" t="s">
        <v>136</v>
      </c>
      <c r="C777">
        <v>0.28000000000000003</v>
      </c>
      <c r="D777">
        <v>331.34</v>
      </c>
      <c r="E777">
        <v>2.2000000000000002</v>
      </c>
      <c r="F777">
        <v>2.34</v>
      </c>
      <c r="G777">
        <v>0.7</v>
      </c>
      <c r="H777">
        <v>2.52</v>
      </c>
      <c r="I777">
        <v>2.3047</v>
      </c>
      <c r="J777">
        <v>72.900000000000006</v>
      </c>
      <c r="K777" t="s">
        <v>55</v>
      </c>
      <c r="L777" t="s">
        <v>51</v>
      </c>
      <c r="M777">
        <v>2</v>
      </c>
      <c r="N777">
        <v>27.222000000000001</v>
      </c>
      <c r="O777">
        <v>0</v>
      </c>
      <c r="P777" s="13">
        <v>1.5189999999999999</v>
      </c>
      <c r="Q777" t="s">
        <v>52</v>
      </c>
      <c r="R777">
        <v>80</v>
      </c>
      <c r="S777">
        <v>24</v>
      </c>
      <c r="T777" t="s">
        <v>164</v>
      </c>
      <c r="U777" t="s">
        <v>164</v>
      </c>
      <c r="V777" s="7">
        <v>0.76224839171129977</v>
      </c>
      <c r="W777">
        <v>23.31</v>
      </c>
      <c r="X777">
        <v>3.9E-2</v>
      </c>
      <c r="Y777">
        <v>6.69</v>
      </c>
      <c r="AA777">
        <v>9.5</v>
      </c>
      <c r="AB777">
        <v>25</v>
      </c>
      <c r="AC777" s="17">
        <f t="shared" si="14"/>
        <v>24</v>
      </c>
      <c r="AD777">
        <v>2</v>
      </c>
      <c r="AE777">
        <v>502</v>
      </c>
      <c r="AF777" s="11">
        <v>0.28286852589641437</v>
      </c>
    </row>
    <row r="778" spans="1:32" x14ac:dyDescent="0.3">
      <c r="A778" t="s">
        <v>135</v>
      </c>
      <c r="B778" s="24" t="s">
        <v>136</v>
      </c>
      <c r="C778">
        <v>0.28000000000000003</v>
      </c>
      <c r="D778">
        <v>331.34</v>
      </c>
      <c r="E778">
        <v>2.2000000000000002</v>
      </c>
      <c r="F778">
        <v>2.34</v>
      </c>
      <c r="G778">
        <v>0.7</v>
      </c>
      <c r="H778">
        <v>2.52</v>
      </c>
      <c r="I778">
        <v>2.3047</v>
      </c>
      <c r="J778">
        <v>72.900000000000006</v>
      </c>
      <c r="K778" t="s">
        <v>55</v>
      </c>
      <c r="L778" t="s">
        <v>51</v>
      </c>
      <c r="M778">
        <v>2</v>
      </c>
      <c r="N778">
        <v>27.222000000000001</v>
      </c>
      <c r="O778">
        <v>0</v>
      </c>
      <c r="P778" s="13">
        <v>1.5189999999999999</v>
      </c>
      <c r="Q778" t="s">
        <v>52</v>
      </c>
      <c r="R778">
        <v>80</v>
      </c>
      <c r="S778">
        <v>24</v>
      </c>
      <c r="T778" t="s">
        <v>164</v>
      </c>
      <c r="U778" t="s">
        <v>164</v>
      </c>
      <c r="V778" s="7">
        <v>0.76224839171129977</v>
      </c>
      <c r="W778">
        <v>23.31</v>
      </c>
      <c r="X778">
        <v>3.9E-2</v>
      </c>
      <c r="Y778">
        <v>6.69</v>
      </c>
      <c r="AA778">
        <v>9.5</v>
      </c>
      <c r="AB778">
        <v>25</v>
      </c>
      <c r="AC778" s="17">
        <f t="shared" si="14"/>
        <v>24</v>
      </c>
      <c r="AD778">
        <v>2</v>
      </c>
      <c r="AE778">
        <v>796</v>
      </c>
      <c r="AF778" s="11">
        <v>0.18341708542713567</v>
      </c>
    </row>
    <row r="779" spans="1:32" x14ac:dyDescent="0.3">
      <c r="A779" t="s">
        <v>135</v>
      </c>
      <c r="B779" s="24" t="s">
        <v>136</v>
      </c>
      <c r="C779">
        <v>0.28000000000000003</v>
      </c>
      <c r="D779">
        <v>331.34</v>
      </c>
      <c r="E779">
        <v>2.2000000000000002</v>
      </c>
      <c r="F779">
        <v>2.34</v>
      </c>
      <c r="G779">
        <v>0.7</v>
      </c>
      <c r="H779">
        <v>2.52</v>
      </c>
      <c r="I779">
        <v>2.3047</v>
      </c>
      <c r="J779">
        <v>72.900000000000006</v>
      </c>
      <c r="K779" t="s">
        <v>55</v>
      </c>
      <c r="L779" t="s">
        <v>51</v>
      </c>
      <c r="M779">
        <v>2</v>
      </c>
      <c r="N779">
        <v>27.222000000000001</v>
      </c>
      <c r="O779">
        <v>0</v>
      </c>
      <c r="P779" s="13">
        <v>1.5189999999999999</v>
      </c>
      <c r="Q779" t="s">
        <v>52</v>
      </c>
      <c r="R779">
        <v>80</v>
      </c>
      <c r="S779">
        <v>24</v>
      </c>
      <c r="T779" t="s">
        <v>164</v>
      </c>
      <c r="U779" t="s">
        <v>164</v>
      </c>
      <c r="V779" s="7">
        <v>0.76224839171129977</v>
      </c>
      <c r="W779">
        <v>23.31</v>
      </c>
      <c r="X779">
        <v>3.9E-2</v>
      </c>
      <c r="Y779">
        <v>6.69</v>
      </c>
      <c r="AA779">
        <v>9.5</v>
      </c>
      <c r="AB779">
        <v>25</v>
      </c>
      <c r="AC779" s="17">
        <f t="shared" si="14"/>
        <v>24</v>
      </c>
      <c r="AD779">
        <v>2</v>
      </c>
      <c r="AE779">
        <v>1000</v>
      </c>
      <c r="AF779" s="11">
        <v>0.15</v>
      </c>
    </row>
    <row r="780" spans="1:32" x14ac:dyDescent="0.3">
      <c r="A780" t="s">
        <v>135</v>
      </c>
      <c r="B780" t="s">
        <v>14</v>
      </c>
      <c r="C780">
        <v>-1.3</v>
      </c>
      <c r="D780">
        <v>444.44</v>
      </c>
      <c r="E780">
        <v>3.5</v>
      </c>
      <c r="F780">
        <v>3.6</v>
      </c>
      <c r="G780">
        <v>1.35</v>
      </c>
      <c r="H780">
        <v>3.29</v>
      </c>
      <c r="I780">
        <v>3.0992000000000002</v>
      </c>
      <c r="J780">
        <v>182</v>
      </c>
      <c r="K780" t="s">
        <v>55</v>
      </c>
      <c r="L780" t="s">
        <v>51</v>
      </c>
      <c r="M780">
        <v>2</v>
      </c>
      <c r="N780">
        <v>27.222000000000001</v>
      </c>
      <c r="O780">
        <v>0</v>
      </c>
      <c r="P780" s="13">
        <v>1.5189999999999999</v>
      </c>
      <c r="Q780" t="s">
        <v>52</v>
      </c>
      <c r="R780">
        <v>80</v>
      </c>
      <c r="S780">
        <v>24</v>
      </c>
      <c r="T780" t="s">
        <v>164</v>
      </c>
      <c r="U780" t="s">
        <v>164</v>
      </c>
      <c r="V780" s="7">
        <v>0.76224839171129977</v>
      </c>
      <c r="W780">
        <v>23.31</v>
      </c>
      <c r="X780">
        <v>3.9E-2</v>
      </c>
      <c r="Y780">
        <v>6.69</v>
      </c>
      <c r="AA780">
        <v>9.5</v>
      </c>
      <c r="AB780">
        <v>25</v>
      </c>
      <c r="AC780" s="21">
        <f>5/60</f>
        <v>8.3333333333333329E-2</v>
      </c>
      <c r="AD780">
        <v>2</v>
      </c>
      <c r="AE780">
        <v>100</v>
      </c>
      <c r="AF780" s="11">
        <v>0.09</v>
      </c>
    </row>
    <row r="781" spans="1:32" x14ac:dyDescent="0.3">
      <c r="A781" t="s">
        <v>135</v>
      </c>
      <c r="B781" t="s">
        <v>14</v>
      </c>
      <c r="C781">
        <v>-1.3</v>
      </c>
      <c r="D781">
        <v>444.44</v>
      </c>
      <c r="E781">
        <v>3.5</v>
      </c>
      <c r="F781">
        <v>3.6</v>
      </c>
      <c r="G781">
        <v>1.35</v>
      </c>
      <c r="H781">
        <v>3.29</v>
      </c>
      <c r="I781">
        <v>3.0992000000000002</v>
      </c>
      <c r="J781">
        <v>182</v>
      </c>
      <c r="K781" t="s">
        <v>55</v>
      </c>
      <c r="L781" t="s">
        <v>51</v>
      </c>
      <c r="M781">
        <v>2</v>
      </c>
      <c r="N781">
        <v>27.222000000000001</v>
      </c>
      <c r="O781">
        <v>0</v>
      </c>
      <c r="P781" s="13">
        <v>1.5189999999999999</v>
      </c>
      <c r="Q781" t="s">
        <v>52</v>
      </c>
      <c r="R781">
        <v>80</v>
      </c>
      <c r="S781">
        <v>24</v>
      </c>
      <c r="T781" t="s">
        <v>164</v>
      </c>
      <c r="U781" t="s">
        <v>164</v>
      </c>
      <c r="V781" s="7">
        <v>0.76224839171129977</v>
      </c>
      <c r="W781">
        <v>23.31</v>
      </c>
      <c r="X781">
        <v>3.9E-2</v>
      </c>
      <c r="Y781">
        <v>6.69</v>
      </c>
      <c r="AA781">
        <v>9.5</v>
      </c>
      <c r="AB781">
        <v>25</v>
      </c>
      <c r="AC781" s="17">
        <f>15/60</f>
        <v>0.25</v>
      </c>
      <c r="AD781">
        <v>2</v>
      </c>
      <c r="AE781">
        <v>100</v>
      </c>
      <c r="AF781" s="11">
        <v>0.14000000000000001</v>
      </c>
    </row>
    <row r="782" spans="1:32" x14ac:dyDescent="0.3">
      <c r="A782" t="s">
        <v>135</v>
      </c>
      <c r="B782" t="s">
        <v>14</v>
      </c>
      <c r="C782">
        <v>-1.3</v>
      </c>
      <c r="D782">
        <v>444.44</v>
      </c>
      <c r="E782">
        <v>3.5</v>
      </c>
      <c r="F782">
        <v>3.6</v>
      </c>
      <c r="G782">
        <v>1.35</v>
      </c>
      <c r="H782">
        <v>3.29</v>
      </c>
      <c r="I782">
        <v>3.0992000000000002</v>
      </c>
      <c r="J782">
        <v>182</v>
      </c>
      <c r="K782" t="s">
        <v>55</v>
      </c>
      <c r="L782" t="s">
        <v>51</v>
      </c>
      <c r="M782">
        <v>2</v>
      </c>
      <c r="N782">
        <v>27.222000000000001</v>
      </c>
      <c r="O782">
        <v>0</v>
      </c>
      <c r="P782" s="13">
        <v>1.5189999999999999</v>
      </c>
      <c r="Q782" t="s">
        <v>52</v>
      </c>
      <c r="R782">
        <v>80</v>
      </c>
      <c r="S782">
        <v>24</v>
      </c>
      <c r="T782" t="s">
        <v>164</v>
      </c>
      <c r="U782" t="s">
        <v>164</v>
      </c>
      <c r="V782" s="7">
        <v>0.76224839171129977</v>
      </c>
      <c r="W782">
        <v>23.31</v>
      </c>
      <c r="X782">
        <v>3.9E-2</v>
      </c>
      <c r="Y782">
        <v>6.69</v>
      </c>
      <c r="AA782">
        <v>9.5</v>
      </c>
      <c r="AB782">
        <v>25</v>
      </c>
      <c r="AC782" s="17">
        <f>30/60</f>
        <v>0.5</v>
      </c>
      <c r="AD782">
        <v>2</v>
      </c>
      <c r="AE782">
        <v>100</v>
      </c>
      <c r="AF782" s="11">
        <v>0.15</v>
      </c>
    </row>
    <row r="783" spans="1:32" x14ac:dyDescent="0.3">
      <c r="A783" t="s">
        <v>135</v>
      </c>
      <c r="B783" t="s">
        <v>14</v>
      </c>
      <c r="C783">
        <v>-1.3</v>
      </c>
      <c r="D783">
        <v>444.44</v>
      </c>
      <c r="E783">
        <v>3.5</v>
      </c>
      <c r="F783">
        <v>3.6</v>
      </c>
      <c r="G783">
        <v>1.35</v>
      </c>
      <c r="H783">
        <v>3.29</v>
      </c>
      <c r="I783">
        <v>3.0992000000000002</v>
      </c>
      <c r="J783">
        <v>182</v>
      </c>
      <c r="K783" t="s">
        <v>55</v>
      </c>
      <c r="L783" t="s">
        <v>51</v>
      </c>
      <c r="M783">
        <v>2</v>
      </c>
      <c r="N783">
        <v>27.222000000000001</v>
      </c>
      <c r="O783">
        <v>0</v>
      </c>
      <c r="P783" s="13">
        <v>1.5189999999999999</v>
      </c>
      <c r="Q783" t="s">
        <v>52</v>
      </c>
      <c r="R783">
        <v>80</v>
      </c>
      <c r="S783">
        <v>24</v>
      </c>
      <c r="T783" t="s">
        <v>164</v>
      </c>
      <c r="U783" t="s">
        <v>164</v>
      </c>
      <c r="V783" s="7">
        <v>0.76224839171129977</v>
      </c>
      <c r="W783">
        <v>23.31</v>
      </c>
      <c r="X783">
        <v>3.9E-2</v>
      </c>
      <c r="Y783">
        <v>6.69</v>
      </c>
      <c r="AA783">
        <v>9.5</v>
      </c>
      <c r="AB783">
        <v>25</v>
      </c>
      <c r="AC783" s="17">
        <v>1</v>
      </c>
      <c r="AD783">
        <v>2</v>
      </c>
      <c r="AE783">
        <v>100</v>
      </c>
      <c r="AF783" s="11">
        <v>0.17599999999999993</v>
      </c>
    </row>
    <row r="784" spans="1:32" x14ac:dyDescent="0.3">
      <c r="A784" t="s">
        <v>135</v>
      </c>
      <c r="B784" t="s">
        <v>14</v>
      </c>
      <c r="C784">
        <v>-1.3</v>
      </c>
      <c r="D784">
        <v>444.44</v>
      </c>
      <c r="E784">
        <v>3.5</v>
      </c>
      <c r="F784">
        <v>3.6</v>
      </c>
      <c r="G784">
        <v>1.35</v>
      </c>
      <c r="H784">
        <v>3.29</v>
      </c>
      <c r="I784">
        <v>3.0992000000000002</v>
      </c>
      <c r="J784">
        <v>182</v>
      </c>
      <c r="K784" t="s">
        <v>55</v>
      </c>
      <c r="L784" t="s">
        <v>51</v>
      </c>
      <c r="M784">
        <v>2</v>
      </c>
      <c r="N784">
        <v>27.222000000000001</v>
      </c>
      <c r="O784">
        <v>0</v>
      </c>
      <c r="P784" s="13">
        <v>1.5189999999999999</v>
      </c>
      <c r="Q784" t="s">
        <v>52</v>
      </c>
      <c r="R784">
        <v>80</v>
      </c>
      <c r="S784">
        <v>24</v>
      </c>
      <c r="T784" t="s">
        <v>164</v>
      </c>
      <c r="U784" t="s">
        <v>164</v>
      </c>
      <c r="V784" s="7">
        <v>0.76224839171129977</v>
      </c>
      <c r="W784">
        <v>23.31</v>
      </c>
      <c r="X784">
        <v>3.9E-2</v>
      </c>
      <c r="Y784">
        <v>6.69</v>
      </c>
      <c r="AA784">
        <v>9.5</v>
      </c>
      <c r="AB784">
        <v>25</v>
      </c>
      <c r="AC784" s="17">
        <f>120/60</f>
        <v>2</v>
      </c>
      <c r="AD784">
        <v>2</v>
      </c>
      <c r="AE784">
        <v>100</v>
      </c>
      <c r="AF784" s="11">
        <v>0.21</v>
      </c>
    </row>
    <row r="785" spans="1:32" x14ac:dyDescent="0.3">
      <c r="A785" t="s">
        <v>135</v>
      </c>
      <c r="B785" t="s">
        <v>14</v>
      </c>
      <c r="C785">
        <v>-1.3</v>
      </c>
      <c r="D785">
        <v>444.44</v>
      </c>
      <c r="E785">
        <v>3.5</v>
      </c>
      <c r="F785">
        <v>3.6</v>
      </c>
      <c r="G785">
        <v>1.35</v>
      </c>
      <c r="H785">
        <v>3.29</v>
      </c>
      <c r="I785">
        <v>3.0992000000000002</v>
      </c>
      <c r="J785">
        <v>182</v>
      </c>
      <c r="K785" t="s">
        <v>55</v>
      </c>
      <c r="L785" t="s">
        <v>51</v>
      </c>
      <c r="M785">
        <v>2</v>
      </c>
      <c r="N785">
        <v>27.222000000000001</v>
      </c>
      <c r="O785">
        <v>0</v>
      </c>
      <c r="P785" s="13">
        <v>1.5189999999999999</v>
      </c>
      <c r="Q785" t="s">
        <v>52</v>
      </c>
      <c r="R785">
        <v>80</v>
      </c>
      <c r="S785">
        <v>24</v>
      </c>
      <c r="T785" t="s">
        <v>164</v>
      </c>
      <c r="U785" t="s">
        <v>164</v>
      </c>
      <c r="V785" s="7">
        <v>0.76224839171129977</v>
      </c>
      <c r="W785">
        <v>23.31</v>
      </c>
      <c r="X785">
        <v>3.9E-2</v>
      </c>
      <c r="Y785">
        <v>6.69</v>
      </c>
      <c r="AA785">
        <v>9.5</v>
      </c>
      <c r="AB785">
        <v>25</v>
      </c>
      <c r="AC785" s="17">
        <f>360/60</f>
        <v>6</v>
      </c>
      <c r="AD785">
        <v>2</v>
      </c>
      <c r="AE785">
        <v>100</v>
      </c>
      <c r="AF785" s="11">
        <v>0.23599999999999993</v>
      </c>
    </row>
    <row r="786" spans="1:32" x14ac:dyDescent="0.3">
      <c r="A786" t="s">
        <v>135</v>
      </c>
      <c r="B786" t="s">
        <v>14</v>
      </c>
      <c r="C786">
        <v>-1.3</v>
      </c>
      <c r="D786">
        <v>444.44</v>
      </c>
      <c r="E786">
        <v>3.5</v>
      </c>
      <c r="F786">
        <v>3.6</v>
      </c>
      <c r="G786">
        <v>1.35</v>
      </c>
      <c r="H786">
        <v>3.29</v>
      </c>
      <c r="I786">
        <v>3.0992000000000002</v>
      </c>
      <c r="J786">
        <v>182</v>
      </c>
      <c r="K786" t="s">
        <v>55</v>
      </c>
      <c r="L786" t="s">
        <v>51</v>
      </c>
      <c r="M786">
        <v>2</v>
      </c>
      <c r="N786">
        <v>27.222000000000001</v>
      </c>
      <c r="O786">
        <v>0</v>
      </c>
      <c r="P786" s="13">
        <v>1.5189999999999999</v>
      </c>
      <c r="Q786" t="s">
        <v>52</v>
      </c>
      <c r="R786">
        <v>80</v>
      </c>
      <c r="S786">
        <v>24</v>
      </c>
      <c r="T786" t="s">
        <v>164</v>
      </c>
      <c r="U786" t="s">
        <v>164</v>
      </c>
      <c r="V786" s="7">
        <v>0.76224839171129977</v>
      </c>
      <c r="W786">
        <v>23.31</v>
      </c>
      <c r="X786">
        <v>3.9E-2</v>
      </c>
      <c r="Y786">
        <v>6.69</v>
      </c>
      <c r="AA786">
        <v>9.5</v>
      </c>
      <c r="AB786">
        <v>25</v>
      </c>
      <c r="AC786" s="17">
        <f>540/60</f>
        <v>9</v>
      </c>
      <c r="AD786">
        <v>2</v>
      </c>
      <c r="AE786">
        <v>100</v>
      </c>
      <c r="AF786" s="11">
        <v>0.24200000000000002</v>
      </c>
    </row>
    <row r="787" spans="1:32" x14ac:dyDescent="0.3">
      <c r="A787" t="s">
        <v>135</v>
      </c>
      <c r="B787" t="s">
        <v>14</v>
      </c>
      <c r="C787">
        <v>-1.3</v>
      </c>
      <c r="D787">
        <v>444.44</v>
      </c>
      <c r="E787">
        <v>3.5</v>
      </c>
      <c r="F787">
        <v>3.6</v>
      </c>
      <c r="G787">
        <v>1.35</v>
      </c>
      <c r="H787">
        <v>3.29</v>
      </c>
      <c r="I787">
        <v>3.0992000000000002</v>
      </c>
      <c r="J787">
        <v>182</v>
      </c>
      <c r="K787" t="s">
        <v>55</v>
      </c>
      <c r="L787" t="s">
        <v>51</v>
      </c>
      <c r="M787">
        <v>2</v>
      </c>
      <c r="N787">
        <v>27.222000000000001</v>
      </c>
      <c r="O787">
        <v>0</v>
      </c>
      <c r="P787" s="13">
        <v>1.5189999999999999</v>
      </c>
      <c r="Q787" t="s">
        <v>52</v>
      </c>
      <c r="R787">
        <v>80</v>
      </c>
      <c r="S787">
        <v>24</v>
      </c>
      <c r="T787" t="s">
        <v>164</v>
      </c>
      <c r="U787" t="s">
        <v>164</v>
      </c>
      <c r="V787" s="7">
        <v>0.76224839171129977</v>
      </c>
      <c r="W787">
        <v>23.31</v>
      </c>
      <c r="X787">
        <v>3.9E-2</v>
      </c>
      <c r="Y787">
        <v>6.69</v>
      </c>
      <c r="AA787">
        <v>9.5</v>
      </c>
      <c r="AB787">
        <v>25</v>
      </c>
      <c r="AC787" s="17">
        <f>720/60</f>
        <v>12</v>
      </c>
      <c r="AD787">
        <v>2</v>
      </c>
      <c r="AE787">
        <v>100</v>
      </c>
      <c r="AF787" s="11">
        <v>0.24599999999999994</v>
      </c>
    </row>
    <row r="788" spans="1:32" x14ac:dyDescent="0.3">
      <c r="A788" t="s">
        <v>135</v>
      </c>
      <c r="B788" t="s">
        <v>14</v>
      </c>
      <c r="C788">
        <v>-1.3</v>
      </c>
      <c r="D788">
        <v>444.44</v>
      </c>
      <c r="E788">
        <v>3.5</v>
      </c>
      <c r="F788">
        <v>3.6</v>
      </c>
      <c r="G788">
        <v>1.35</v>
      </c>
      <c r="H788">
        <v>3.29</v>
      </c>
      <c r="I788">
        <v>3.0992000000000002</v>
      </c>
      <c r="J788">
        <v>182</v>
      </c>
      <c r="K788" t="s">
        <v>55</v>
      </c>
      <c r="L788" t="s">
        <v>51</v>
      </c>
      <c r="M788">
        <v>2</v>
      </c>
      <c r="N788">
        <v>27.222000000000001</v>
      </c>
      <c r="O788">
        <v>0</v>
      </c>
      <c r="P788" s="13">
        <v>1.5189999999999999</v>
      </c>
      <c r="Q788" t="s">
        <v>52</v>
      </c>
      <c r="R788">
        <v>80</v>
      </c>
      <c r="S788">
        <v>24</v>
      </c>
      <c r="T788" t="s">
        <v>164</v>
      </c>
      <c r="U788" t="s">
        <v>164</v>
      </c>
      <c r="V788" s="7">
        <v>0.76224839171129977</v>
      </c>
      <c r="W788">
        <v>23.31</v>
      </c>
      <c r="X788">
        <v>3.9E-2</v>
      </c>
      <c r="Y788">
        <v>6.69</v>
      </c>
      <c r="AA788">
        <v>9.5</v>
      </c>
      <c r="AB788">
        <v>25</v>
      </c>
      <c r="AC788" s="17">
        <f>1440/60</f>
        <v>24</v>
      </c>
      <c r="AD788">
        <v>2</v>
      </c>
      <c r="AE788">
        <v>100</v>
      </c>
      <c r="AF788" s="11">
        <v>0.24</v>
      </c>
    </row>
    <row r="789" spans="1:32" x14ac:dyDescent="0.3">
      <c r="A789" t="s">
        <v>135</v>
      </c>
      <c r="B789" t="s">
        <v>14</v>
      </c>
      <c r="C789">
        <v>-1.3</v>
      </c>
      <c r="D789">
        <v>444.44</v>
      </c>
      <c r="E789">
        <v>3.5</v>
      </c>
      <c r="F789">
        <v>3.6</v>
      </c>
      <c r="G789">
        <v>1.35</v>
      </c>
      <c r="H789">
        <v>3.29</v>
      </c>
      <c r="I789">
        <v>3.0992000000000002</v>
      </c>
      <c r="J789">
        <v>182</v>
      </c>
      <c r="K789" t="s">
        <v>55</v>
      </c>
      <c r="L789" t="s">
        <v>51</v>
      </c>
      <c r="M789">
        <v>2</v>
      </c>
      <c r="N789">
        <v>27.222000000000001</v>
      </c>
      <c r="O789">
        <v>0</v>
      </c>
      <c r="P789" s="13">
        <v>1.5189999999999999</v>
      </c>
      <c r="Q789" t="s">
        <v>52</v>
      </c>
      <c r="R789">
        <v>80</v>
      </c>
      <c r="S789">
        <v>24</v>
      </c>
      <c r="T789" t="s">
        <v>164</v>
      </c>
      <c r="U789" t="s">
        <v>164</v>
      </c>
      <c r="V789" s="7">
        <v>0.76224839171129977</v>
      </c>
      <c r="W789">
        <v>23.31</v>
      </c>
      <c r="X789">
        <v>3.9E-2</v>
      </c>
      <c r="Y789">
        <v>6.69</v>
      </c>
      <c r="AA789">
        <v>9.5</v>
      </c>
      <c r="AB789">
        <v>25</v>
      </c>
      <c r="AC789" s="17">
        <f t="shared" ref="AC789:AC798" si="15">1440/60</f>
        <v>24</v>
      </c>
      <c r="AD789">
        <v>2</v>
      </c>
      <c r="AE789">
        <v>29</v>
      </c>
      <c r="AF789" s="11">
        <v>0.48275862068965519</v>
      </c>
    </row>
    <row r="790" spans="1:32" x14ac:dyDescent="0.3">
      <c r="A790" t="s">
        <v>135</v>
      </c>
      <c r="B790" t="s">
        <v>14</v>
      </c>
      <c r="C790">
        <v>-1.3</v>
      </c>
      <c r="D790">
        <v>444.44</v>
      </c>
      <c r="E790">
        <v>3.5</v>
      </c>
      <c r="F790">
        <v>3.6</v>
      </c>
      <c r="G790">
        <v>1.35</v>
      </c>
      <c r="H790">
        <v>3.29</v>
      </c>
      <c r="I790">
        <v>3.0992000000000002</v>
      </c>
      <c r="J790">
        <v>182</v>
      </c>
      <c r="K790" t="s">
        <v>55</v>
      </c>
      <c r="L790" t="s">
        <v>51</v>
      </c>
      <c r="M790">
        <v>2</v>
      </c>
      <c r="N790">
        <v>27.222000000000001</v>
      </c>
      <c r="O790">
        <v>0</v>
      </c>
      <c r="P790" s="13">
        <v>1.5189999999999999</v>
      </c>
      <c r="Q790" t="s">
        <v>52</v>
      </c>
      <c r="R790">
        <v>80</v>
      </c>
      <c r="S790">
        <v>24</v>
      </c>
      <c r="T790" t="s">
        <v>164</v>
      </c>
      <c r="U790" t="s">
        <v>164</v>
      </c>
      <c r="V790" s="7">
        <v>0.76224839171129977</v>
      </c>
      <c r="W790">
        <v>23.31</v>
      </c>
      <c r="X790">
        <v>3.9E-2</v>
      </c>
      <c r="Y790">
        <v>6.69</v>
      </c>
      <c r="AA790">
        <v>9.5</v>
      </c>
      <c r="AB790">
        <v>25</v>
      </c>
      <c r="AC790" s="17">
        <f t="shared" si="15"/>
        <v>24</v>
      </c>
      <c r="AD790">
        <v>2</v>
      </c>
      <c r="AE790">
        <v>52</v>
      </c>
      <c r="AF790" s="11">
        <v>0.42307692307692307</v>
      </c>
    </row>
    <row r="791" spans="1:32" x14ac:dyDescent="0.3">
      <c r="A791" t="s">
        <v>135</v>
      </c>
      <c r="B791" t="s">
        <v>14</v>
      </c>
      <c r="C791">
        <v>-1.3</v>
      </c>
      <c r="D791">
        <v>444.44</v>
      </c>
      <c r="E791">
        <v>3.5</v>
      </c>
      <c r="F791">
        <v>3.6</v>
      </c>
      <c r="G791">
        <v>1.35</v>
      </c>
      <c r="H791">
        <v>3.29</v>
      </c>
      <c r="I791">
        <v>3.0992000000000002</v>
      </c>
      <c r="J791">
        <v>182</v>
      </c>
      <c r="K791" t="s">
        <v>55</v>
      </c>
      <c r="L791" t="s">
        <v>51</v>
      </c>
      <c r="M791">
        <v>2</v>
      </c>
      <c r="N791">
        <v>27.222000000000001</v>
      </c>
      <c r="O791">
        <v>0</v>
      </c>
      <c r="P791" s="13">
        <v>1.5189999999999999</v>
      </c>
      <c r="Q791" t="s">
        <v>52</v>
      </c>
      <c r="R791">
        <v>80</v>
      </c>
      <c r="S791">
        <v>24</v>
      </c>
      <c r="T791" t="s">
        <v>164</v>
      </c>
      <c r="U791" t="s">
        <v>164</v>
      </c>
      <c r="V791" s="7">
        <v>0.76224839171129977</v>
      </c>
      <c r="W791">
        <v>23.31</v>
      </c>
      <c r="X791">
        <v>3.9E-2</v>
      </c>
      <c r="Y791">
        <v>6.69</v>
      </c>
      <c r="AA791">
        <v>9.5</v>
      </c>
      <c r="AB791">
        <v>25</v>
      </c>
      <c r="AC791" s="17">
        <f t="shared" si="15"/>
        <v>24</v>
      </c>
      <c r="AD791">
        <v>2</v>
      </c>
      <c r="AE791">
        <v>82</v>
      </c>
      <c r="AF791" s="11">
        <v>0.3902439024390244</v>
      </c>
    </row>
    <row r="792" spans="1:32" x14ac:dyDescent="0.3">
      <c r="A792" t="s">
        <v>135</v>
      </c>
      <c r="B792" t="s">
        <v>14</v>
      </c>
      <c r="C792">
        <v>-1.3</v>
      </c>
      <c r="D792">
        <v>444.44</v>
      </c>
      <c r="E792">
        <v>3.5</v>
      </c>
      <c r="F792">
        <v>3.6</v>
      </c>
      <c r="G792">
        <v>1.35</v>
      </c>
      <c r="H792">
        <v>3.29</v>
      </c>
      <c r="I792">
        <v>3.0992000000000002</v>
      </c>
      <c r="J792">
        <v>182</v>
      </c>
      <c r="K792" t="s">
        <v>55</v>
      </c>
      <c r="L792" t="s">
        <v>51</v>
      </c>
      <c r="M792">
        <v>2</v>
      </c>
      <c r="N792">
        <v>27.222000000000001</v>
      </c>
      <c r="O792">
        <v>0</v>
      </c>
      <c r="P792" s="13">
        <v>1.5189999999999999</v>
      </c>
      <c r="Q792" t="s">
        <v>52</v>
      </c>
      <c r="R792">
        <v>80</v>
      </c>
      <c r="S792">
        <v>24</v>
      </c>
      <c r="T792" t="s">
        <v>164</v>
      </c>
      <c r="U792" t="s">
        <v>164</v>
      </c>
      <c r="V792" s="7">
        <v>0.76224839171129977</v>
      </c>
      <c r="W792">
        <v>23.31</v>
      </c>
      <c r="X792">
        <v>3.9E-2</v>
      </c>
      <c r="Y792">
        <v>6.69</v>
      </c>
      <c r="AA792">
        <v>9.5</v>
      </c>
      <c r="AB792">
        <v>25</v>
      </c>
      <c r="AC792" s="17">
        <f t="shared" si="15"/>
        <v>24</v>
      </c>
      <c r="AD792">
        <v>2</v>
      </c>
      <c r="AE792">
        <v>115</v>
      </c>
      <c r="AF792" s="11">
        <v>0.34782608695652173</v>
      </c>
    </row>
    <row r="793" spans="1:32" x14ac:dyDescent="0.3">
      <c r="A793" t="s">
        <v>135</v>
      </c>
      <c r="B793" t="s">
        <v>14</v>
      </c>
      <c r="C793">
        <v>-1.3</v>
      </c>
      <c r="D793">
        <v>444.44</v>
      </c>
      <c r="E793">
        <v>3.5</v>
      </c>
      <c r="F793">
        <v>3.6</v>
      </c>
      <c r="G793">
        <v>1.35</v>
      </c>
      <c r="H793">
        <v>3.29</v>
      </c>
      <c r="I793">
        <v>3.0992000000000002</v>
      </c>
      <c r="J793">
        <v>182</v>
      </c>
      <c r="K793" t="s">
        <v>55</v>
      </c>
      <c r="L793" t="s">
        <v>51</v>
      </c>
      <c r="M793">
        <v>2</v>
      </c>
      <c r="N793">
        <v>27.222000000000001</v>
      </c>
      <c r="O793">
        <v>0</v>
      </c>
      <c r="P793" s="13">
        <v>1.5189999999999999</v>
      </c>
      <c r="Q793" t="s">
        <v>52</v>
      </c>
      <c r="R793">
        <v>80</v>
      </c>
      <c r="S793">
        <v>24</v>
      </c>
      <c r="T793" t="s">
        <v>164</v>
      </c>
      <c r="U793" t="s">
        <v>164</v>
      </c>
      <c r="V793" s="7">
        <v>0.76224839171129977</v>
      </c>
      <c r="W793">
        <v>23.31</v>
      </c>
      <c r="X793">
        <v>3.9E-2</v>
      </c>
      <c r="Y793">
        <v>6.69</v>
      </c>
      <c r="AA793">
        <v>9.5</v>
      </c>
      <c r="AB793">
        <v>25</v>
      </c>
      <c r="AC793" s="17">
        <f t="shared" si="15"/>
        <v>24</v>
      </c>
      <c r="AD793">
        <v>2</v>
      </c>
      <c r="AE793">
        <v>158</v>
      </c>
      <c r="AF793" s="11">
        <v>0.30379746835443039</v>
      </c>
    </row>
    <row r="794" spans="1:32" x14ac:dyDescent="0.3">
      <c r="A794" t="s">
        <v>135</v>
      </c>
      <c r="B794" t="s">
        <v>14</v>
      </c>
      <c r="C794">
        <v>-1.3</v>
      </c>
      <c r="D794">
        <v>444.44</v>
      </c>
      <c r="E794">
        <v>3.5</v>
      </c>
      <c r="F794">
        <v>3.6</v>
      </c>
      <c r="G794">
        <v>1.35</v>
      </c>
      <c r="H794">
        <v>3.29</v>
      </c>
      <c r="I794">
        <v>3.0992000000000002</v>
      </c>
      <c r="J794">
        <v>182</v>
      </c>
      <c r="K794" t="s">
        <v>55</v>
      </c>
      <c r="L794" t="s">
        <v>51</v>
      </c>
      <c r="M794">
        <v>2</v>
      </c>
      <c r="N794">
        <v>27.222000000000001</v>
      </c>
      <c r="O794">
        <v>0</v>
      </c>
      <c r="P794" s="13">
        <v>1.5189999999999999</v>
      </c>
      <c r="Q794" t="s">
        <v>52</v>
      </c>
      <c r="R794">
        <v>80</v>
      </c>
      <c r="S794">
        <v>24</v>
      </c>
      <c r="T794" t="s">
        <v>164</v>
      </c>
      <c r="U794" t="s">
        <v>164</v>
      </c>
      <c r="V794" s="7">
        <v>0.76224839171129977</v>
      </c>
      <c r="W794">
        <v>23.31</v>
      </c>
      <c r="X794">
        <v>3.9E-2</v>
      </c>
      <c r="Y794">
        <v>6.69</v>
      </c>
      <c r="AA794">
        <v>9.5</v>
      </c>
      <c r="AB794">
        <v>25</v>
      </c>
      <c r="AC794" s="17">
        <f t="shared" si="15"/>
        <v>24</v>
      </c>
      <c r="AD794">
        <v>2</v>
      </c>
      <c r="AE794">
        <v>194</v>
      </c>
      <c r="AF794" s="11">
        <v>0.27835051546391754</v>
      </c>
    </row>
    <row r="795" spans="1:32" x14ac:dyDescent="0.3">
      <c r="A795" t="s">
        <v>135</v>
      </c>
      <c r="B795" t="s">
        <v>14</v>
      </c>
      <c r="C795">
        <v>-1.3</v>
      </c>
      <c r="D795">
        <v>444.44</v>
      </c>
      <c r="E795">
        <v>3.5</v>
      </c>
      <c r="F795">
        <v>3.6</v>
      </c>
      <c r="G795">
        <v>1.35</v>
      </c>
      <c r="H795">
        <v>3.29</v>
      </c>
      <c r="I795">
        <v>3.0992000000000002</v>
      </c>
      <c r="J795">
        <v>182</v>
      </c>
      <c r="K795" t="s">
        <v>55</v>
      </c>
      <c r="L795" t="s">
        <v>51</v>
      </c>
      <c r="M795">
        <v>2</v>
      </c>
      <c r="N795">
        <v>27.222000000000001</v>
      </c>
      <c r="O795">
        <v>0</v>
      </c>
      <c r="P795" s="13">
        <v>1.5189999999999999</v>
      </c>
      <c r="Q795" t="s">
        <v>52</v>
      </c>
      <c r="R795">
        <v>80</v>
      </c>
      <c r="S795">
        <v>24</v>
      </c>
      <c r="T795" t="s">
        <v>164</v>
      </c>
      <c r="U795" t="s">
        <v>164</v>
      </c>
      <c r="V795" s="7">
        <v>0.76224839171129977</v>
      </c>
      <c r="W795">
        <v>23.31</v>
      </c>
      <c r="X795">
        <v>3.9E-2</v>
      </c>
      <c r="Y795">
        <v>6.69</v>
      </c>
      <c r="AA795">
        <v>9.5</v>
      </c>
      <c r="AB795">
        <v>25</v>
      </c>
      <c r="AC795" s="17">
        <f t="shared" si="15"/>
        <v>24</v>
      </c>
      <c r="AD795">
        <v>2</v>
      </c>
      <c r="AE795">
        <v>290</v>
      </c>
      <c r="AF795" s="11">
        <v>0.20689655172413793</v>
      </c>
    </row>
    <row r="796" spans="1:32" x14ac:dyDescent="0.3">
      <c r="A796" t="s">
        <v>135</v>
      </c>
      <c r="B796" t="s">
        <v>14</v>
      </c>
      <c r="C796">
        <v>-1.3</v>
      </c>
      <c r="D796">
        <v>444.44</v>
      </c>
      <c r="E796">
        <v>3.5</v>
      </c>
      <c r="F796">
        <v>3.6</v>
      </c>
      <c r="G796">
        <v>1.35</v>
      </c>
      <c r="H796">
        <v>3.29</v>
      </c>
      <c r="I796">
        <v>3.0992000000000002</v>
      </c>
      <c r="J796">
        <v>182</v>
      </c>
      <c r="K796" t="s">
        <v>55</v>
      </c>
      <c r="L796" t="s">
        <v>51</v>
      </c>
      <c r="M796">
        <v>2</v>
      </c>
      <c r="N796">
        <v>27.222000000000001</v>
      </c>
      <c r="O796">
        <v>0</v>
      </c>
      <c r="P796" s="13">
        <v>1.5189999999999999</v>
      </c>
      <c r="Q796" t="s">
        <v>52</v>
      </c>
      <c r="R796">
        <v>80</v>
      </c>
      <c r="S796">
        <v>24</v>
      </c>
      <c r="T796" t="s">
        <v>164</v>
      </c>
      <c r="U796" t="s">
        <v>164</v>
      </c>
      <c r="V796" s="7">
        <v>0.76224839171129977</v>
      </c>
      <c r="W796">
        <v>23.31</v>
      </c>
      <c r="X796">
        <v>3.9E-2</v>
      </c>
      <c r="Y796">
        <v>6.69</v>
      </c>
      <c r="AA796">
        <v>9.5</v>
      </c>
      <c r="AB796">
        <v>25</v>
      </c>
      <c r="AC796" s="17">
        <f t="shared" si="15"/>
        <v>24</v>
      </c>
      <c r="AD796">
        <v>2</v>
      </c>
      <c r="AE796">
        <v>492</v>
      </c>
      <c r="AF796" s="11">
        <v>0.12601626016260162</v>
      </c>
    </row>
    <row r="797" spans="1:32" x14ac:dyDescent="0.3">
      <c r="A797" t="s">
        <v>135</v>
      </c>
      <c r="B797" t="s">
        <v>14</v>
      </c>
      <c r="C797">
        <v>-1.3</v>
      </c>
      <c r="D797">
        <v>444.44</v>
      </c>
      <c r="E797">
        <v>3.5</v>
      </c>
      <c r="F797">
        <v>3.6</v>
      </c>
      <c r="G797">
        <v>1.35</v>
      </c>
      <c r="H797">
        <v>3.29</v>
      </c>
      <c r="I797">
        <v>3.0992000000000002</v>
      </c>
      <c r="J797">
        <v>182</v>
      </c>
      <c r="K797" t="s">
        <v>55</v>
      </c>
      <c r="L797" t="s">
        <v>51</v>
      </c>
      <c r="M797">
        <v>2</v>
      </c>
      <c r="N797">
        <v>27.222000000000001</v>
      </c>
      <c r="O797">
        <v>0</v>
      </c>
      <c r="P797" s="13">
        <v>1.5189999999999999</v>
      </c>
      <c r="Q797" t="s">
        <v>52</v>
      </c>
      <c r="R797">
        <v>80</v>
      </c>
      <c r="S797">
        <v>24</v>
      </c>
      <c r="T797" t="s">
        <v>164</v>
      </c>
      <c r="U797" t="s">
        <v>164</v>
      </c>
      <c r="V797" s="7">
        <v>0.76224839171129977</v>
      </c>
      <c r="W797">
        <v>23.31</v>
      </c>
      <c r="X797">
        <v>3.9E-2</v>
      </c>
      <c r="Y797">
        <v>6.69</v>
      </c>
      <c r="AA797">
        <v>9.5</v>
      </c>
      <c r="AB797">
        <v>25</v>
      </c>
      <c r="AC797" s="17">
        <f t="shared" si="15"/>
        <v>24</v>
      </c>
      <c r="AD797">
        <v>2</v>
      </c>
      <c r="AE797">
        <v>804</v>
      </c>
      <c r="AF797" s="11">
        <v>7.9601990049751242E-2</v>
      </c>
    </row>
    <row r="798" spans="1:32" x14ac:dyDescent="0.3">
      <c r="A798" t="s">
        <v>135</v>
      </c>
      <c r="B798" t="s">
        <v>14</v>
      </c>
      <c r="C798">
        <v>-1.3</v>
      </c>
      <c r="D798">
        <v>444.44</v>
      </c>
      <c r="E798">
        <v>3.5</v>
      </c>
      <c r="F798">
        <v>3.6</v>
      </c>
      <c r="G798">
        <v>1.35</v>
      </c>
      <c r="H798">
        <v>3.29</v>
      </c>
      <c r="I798">
        <v>3.0992000000000002</v>
      </c>
      <c r="J798">
        <v>182</v>
      </c>
      <c r="K798" t="s">
        <v>55</v>
      </c>
      <c r="L798" t="s">
        <v>51</v>
      </c>
      <c r="M798">
        <v>2</v>
      </c>
      <c r="N798">
        <v>27.222000000000001</v>
      </c>
      <c r="O798">
        <v>0</v>
      </c>
      <c r="P798" s="13">
        <v>1.5189999999999999</v>
      </c>
      <c r="Q798" t="s">
        <v>52</v>
      </c>
      <c r="R798">
        <v>80</v>
      </c>
      <c r="S798">
        <v>24</v>
      </c>
      <c r="T798" t="s">
        <v>164</v>
      </c>
      <c r="U798" t="s">
        <v>164</v>
      </c>
      <c r="V798" s="7">
        <v>0.76224839171129977</v>
      </c>
      <c r="W798">
        <v>23.31</v>
      </c>
      <c r="X798">
        <v>3.9E-2</v>
      </c>
      <c r="Y798">
        <v>6.69</v>
      </c>
      <c r="AA798">
        <v>9.5</v>
      </c>
      <c r="AB798">
        <v>25</v>
      </c>
      <c r="AC798" s="17">
        <f t="shared" si="15"/>
        <v>24</v>
      </c>
      <c r="AD798">
        <v>2</v>
      </c>
      <c r="AE798">
        <v>966</v>
      </c>
      <c r="AF798" s="11">
        <v>6.8322981366459631E-2</v>
      </c>
    </row>
    <row r="799" spans="1:32" x14ac:dyDescent="0.3">
      <c r="A799" t="s">
        <v>139</v>
      </c>
      <c r="B799" t="s">
        <v>140</v>
      </c>
      <c r="C799">
        <v>3.06</v>
      </c>
      <c r="D799">
        <v>733.93</v>
      </c>
      <c r="E799">
        <v>1.72</v>
      </c>
      <c r="F799">
        <v>2.65</v>
      </c>
      <c r="G799">
        <v>1.55</v>
      </c>
      <c r="H799">
        <v>3.1</v>
      </c>
      <c r="I799">
        <v>6.35</v>
      </c>
      <c r="J799">
        <v>194</v>
      </c>
      <c r="K799" t="s">
        <v>132</v>
      </c>
      <c r="L799" t="s">
        <v>46</v>
      </c>
      <c r="M799">
        <v>3</v>
      </c>
      <c r="N799">
        <v>57.981000000000002</v>
      </c>
      <c r="O799">
        <v>7.25</v>
      </c>
      <c r="P799" s="13">
        <v>1.89</v>
      </c>
      <c r="Q799" t="s">
        <v>52</v>
      </c>
      <c r="R799">
        <v>90</v>
      </c>
      <c r="S799">
        <v>24</v>
      </c>
      <c r="T799">
        <v>400</v>
      </c>
      <c r="U799">
        <v>3</v>
      </c>
      <c r="V799" s="7">
        <v>0.66717326983053638</v>
      </c>
      <c r="W799">
        <v>141.47999999999999</v>
      </c>
      <c r="X799">
        <v>9.7799999999999998E-2</v>
      </c>
      <c r="Y799">
        <v>2.76</v>
      </c>
      <c r="Z799">
        <v>8.5</v>
      </c>
      <c r="AA799">
        <v>7</v>
      </c>
      <c r="AB799">
        <v>15</v>
      </c>
      <c r="AC799" s="17">
        <v>12</v>
      </c>
      <c r="AD799">
        <v>0.5</v>
      </c>
      <c r="AE799">
        <v>400</v>
      </c>
      <c r="AF799" s="11">
        <v>0.21</v>
      </c>
    </row>
    <row r="800" spans="1:32" x14ac:dyDescent="0.3">
      <c r="A800" t="s">
        <v>139</v>
      </c>
      <c r="B800" t="s">
        <v>140</v>
      </c>
      <c r="C800">
        <v>3.06</v>
      </c>
      <c r="D800">
        <v>733.93</v>
      </c>
      <c r="E800">
        <v>1.72</v>
      </c>
      <c r="F800">
        <v>2.65</v>
      </c>
      <c r="G800">
        <v>1.55</v>
      </c>
      <c r="H800">
        <v>3.1</v>
      </c>
      <c r="I800">
        <v>6.35</v>
      </c>
      <c r="J800">
        <v>194</v>
      </c>
      <c r="K800" t="s">
        <v>132</v>
      </c>
      <c r="L800" t="s">
        <v>46</v>
      </c>
      <c r="M800">
        <v>3</v>
      </c>
      <c r="N800">
        <v>57.981000000000002</v>
      </c>
      <c r="O800">
        <v>7.25</v>
      </c>
      <c r="P800" s="13">
        <v>1.89</v>
      </c>
      <c r="Q800" t="s">
        <v>52</v>
      </c>
      <c r="R800">
        <v>90</v>
      </c>
      <c r="S800">
        <v>24</v>
      </c>
      <c r="T800">
        <v>400</v>
      </c>
      <c r="U800">
        <v>3</v>
      </c>
      <c r="V800" s="7">
        <v>0.66717326983053638</v>
      </c>
      <c r="W800">
        <v>141.47999999999999</v>
      </c>
      <c r="X800">
        <v>9.7799999999999998E-2</v>
      </c>
      <c r="Y800">
        <v>2.76</v>
      </c>
      <c r="Z800">
        <v>8.5</v>
      </c>
      <c r="AA800">
        <v>7</v>
      </c>
      <c r="AB800">
        <v>15</v>
      </c>
      <c r="AC800" s="17">
        <v>12</v>
      </c>
      <c r="AD800">
        <v>1</v>
      </c>
      <c r="AE800">
        <v>400</v>
      </c>
      <c r="AF800" s="11">
        <v>0.7</v>
      </c>
    </row>
    <row r="801" spans="1:32" x14ac:dyDescent="0.3">
      <c r="A801" t="s">
        <v>139</v>
      </c>
      <c r="B801" t="s">
        <v>140</v>
      </c>
      <c r="C801">
        <v>3.06</v>
      </c>
      <c r="D801">
        <v>733.93</v>
      </c>
      <c r="E801">
        <v>1.72</v>
      </c>
      <c r="F801">
        <v>2.65</v>
      </c>
      <c r="G801">
        <v>1.55</v>
      </c>
      <c r="H801">
        <v>3.1</v>
      </c>
      <c r="I801">
        <v>6.35</v>
      </c>
      <c r="J801">
        <v>194</v>
      </c>
      <c r="K801" t="s">
        <v>132</v>
      </c>
      <c r="L801" t="s">
        <v>46</v>
      </c>
      <c r="M801">
        <v>3</v>
      </c>
      <c r="N801">
        <v>57.981000000000002</v>
      </c>
      <c r="O801">
        <v>7.25</v>
      </c>
      <c r="P801" s="13">
        <v>1.89</v>
      </c>
      <c r="Q801" t="s">
        <v>52</v>
      </c>
      <c r="R801">
        <v>90</v>
      </c>
      <c r="S801">
        <v>24</v>
      </c>
      <c r="T801">
        <v>400</v>
      </c>
      <c r="U801">
        <v>3</v>
      </c>
      <c r="V801" s="7">
        <v>0.66717326983053638</v>
      </c>
      <c r="W801">
        <v>141.47999999999999</v>
      </c>
      <c r="X801">
        <v>9.7799999999999998E-2</v>
      </c>
      <c r="Y801">
        <v>2.76</v>
      </c>
      <c r="Z801">
        <v>8.5</v>
      </c>
      <c r="AA801">
        <v>7</v>
      </c>
      <c r="AB801">
        <v>15</v>
      </c>
      <c r="AC801" s="17">
        <v>12</v>
      </c>
      <c r="AD801">
        <v>1.25</v>
      </c>
      <c r="AE801">
        <v>400</v>
      </c>
      <c r="AF801" s="11">
        <v>0.81</v>
      </c>
    </row>
    <row r="802" spans="1:32" x14ac:dyDescent="0.3">
      <c r="A802" t="s">
        <v>139</v>
      </c>
      <c r="B802" t="s">
        <v>140</v>
      </c>
      <c r="C802">
        <v>3.06</v>
      </c>
      <c r="D802">
        <v>733.93</v>
      </c>
      <c r="E802">
        <v>1.72</v>
      </c>
      <c r="F802">
        <v>2.65</v>
      </c>
      <c r="G802">
        <v>1.55</v>
      </c>
      <c r="H802">
        <v>3.1</v>
      </c>
      <c r="I802">
        <v>6.35</v>
      </c>
      <c r="J802">
        <v>194</v>
      </c>
      <c r="K802" t="s">
        <v>132</v>
      </c>
      <c r="L802" t="s">
        <v>46</v>
      </c>
      <c r="M802">
        <v>3</v>
      </c>
      <c r="N802">
        <v>57.981000000000002</v>
      </c>
      <c r="O802">
        <v>7.25</v>
      </c>
      <c r="P802" s="13">
        <v>1.89</v>
      </c>
      <c r="Q802" t="s">
        <v>52</v>
      </c>
      <c r="R802">
        <v>90</v>
      </c>
      <c r="S802">
        <v>24</v>
      </c>
      <c r="T802">
        <v>400</v>
      </c>
      <c r="U802">
        <v>3</v>
      </c>
      <c r="V802" s="7">
        <v>0.66717326983053638</v>
      </c>
      <c r="W802">
        <v>141.47999999999999</v>
      </c>
      <c r="X802">
        <v>9.7799999999999998E-2</v>
      </c>
      <c r="Y802">
        <v>2.76</v>
      </c>
      <c r="Z802">
        <v>8.5</v>
      </c>
      <c r="AA802">
        <v>7</v>
      </c>
      <c r="AB802">
        <v>15</v>
      </c>
      <c r="AC802" s="17">
        <v>12</v>
      </c>
      <c r="AD802">
        <v>1.7</v>
      </c>
      <c r="AE802">
        <v>400</v>
      </c>
      <c r="AF802" s="11">
        <v>0.87</v>
      </c>
    </row>
    <row r="803" spans="1:32" x14ac:dyDescent="0.3">
      <c r="A803" t="s">
        <v>139</v>
      </c>
      <c r="B803" t="s">
        <v>140</v>
      </c>
      <c r="C803">
        <v>3.06</v>
      </c>
      <c r="D803">
        <v>733.93</v>
      </c>
      <c r="E803">
        <v>1.72</v>
      </c>
      <c r="F803">
        <v>2.65</v>
      </c>
      <c r="G803">
        <v>1.55</v>
      </c>
      <c r="H803">
        <v>3.1</v>
      </c>
      <c r="I803">
        <v>6.35</v>
      </c>
      <c r="J803">
        <v>194</v>
      </c>
      <c r="K803" t="s">
        <v>132</v>
      </c>
      <c r="L803" t="s">
        <v>46</v>
      </c>
      <c r="M803">
        <v>3</v>
      </c>
      <c r="N803">
        <v>57.981000000000002</v>
      </c>
      <c r="O803">
        <v>7.25</v>
      </c>
      <c r="P803" s="13">
        <v>1.89</v>
      </c>
      <c r="Q803" t="s">
        <v>52</v>
      </c>
      <c r="R803">
        <v>90</v>
      </c>
      <c r="S803">
        <v>24</v>
      </c>
      <c r="T803">
        <v>400</v>
      </c>
      <c r="U803">
        <v>3</v>
      </c>
      <c r="V803" s="7">
        <v>0.66717326983053638</v>
      </c>
      <c r="W803">
        <v>141.47999999999999</v>
      </c>
      <c r="X803">
        <v>9.7799999999999998E-2</v>
      </c>
      <c r="Y803">
        <v>2.76</v>
      </c>
      <c r="Z803">
        <v>8.5</v>
      </c>
      <c r="AA803">
        <v>7</v>
      </c>
      <c r="AB803">
        <v>15</v>
      </c>
      <c r="AC803" s="17">
        <v>12</v>
      </c>
      <c r="AD803">
        <v>2</v>
      </c>
      <c r="AE803">
        <v>400</v>
      </c>
      <c r="AF803" s="11">
        <v>0.87</v>
      </c>
    </row>
    <row r="804" spans="1:32" x14ac:dyDescent="0.3">
      <c r="A804" t="s">
        <v>139</v>
      </c>
      <c r="B804" t="s">
        <v>140</v>
      </c>
      <c r="C804">
        <v>3.06</v>
      </c>
      <c r="D804">
        <v>733.93</v>
      </c>
      <c r="E804">
        <v>1.72</v>
      </c>
      <c r="F804">
        <v>2.65</v>
      </c>
      <c r="G804">
        <v>1.55</v>
      </c>
      <c r="H804">
        <v>3.1</v>
      </c>
      <c r="I804">
        <v>6.35</v>
      </c>
      <c r="J804">
        <v>194</v>
      </c>
      <c r="K804" t="s">
        <v>132</v>
      </c>
      <c r="L804" t="s">
        <v>46</v>
      </c>
      <c r="M804">
        <v>3</v>
      </c>
      <c r="N804">
        <v>57.981000000000002</v>
      </c>
      <c r="O804">
        <v>7.25</v>
      </c>
      <c r="P804" s="13">
        <v>1.89</v>
      </c>
      <c r="Q804" t="s">
        <v>52</v>
      </c>
      <c r="R804">
        <v>90</v>
      </c>
      <c r="S804">
        <v>24</v>
      </c>
      <c r="T804">
        <v>400</v>
      </c>
      <c r="U804">
        <v>3</v>
      </c>
      <c r="V804" s="7">
        <v>0.66717326983053638</v>
      </c>
      <c r="W804">
        <v>141.47999999999999</v>
      </c>
      <c r="X804">
        <v>9.7799999999999998E-2</v>
      </c>
      <c r="Y804">
        <v>2.76</v>
      </c>
      <c r="Z804">
        <v>8.5</v>
      </c>
      <c r="AA804">
        <v>7</v>
      </c>
      <c r="AB804">
        <v>15</v>
      </c>
      <c r="AC804" s="17">
        <v>12</v>
      </c>
      <c r="AD804">
        <v>2.5</v>
      </c>
      <c r="AE804">
        <v>400</v>
      </c>
      <c r="AF804" s="11">
        <v>0.87</v>
      </c>
    </row>
    <row r="805" spans="1:32" x14ac:dyDescent="0.3">
      <c r="A805" t="s">
        <v>139</v>
      </c>
      <c r="B805" t="s">
        <v>140</v>
      </c>
      <c r="C805">
        <v>3.06</v>
      </c>
      <c r="D805">
        <v>733.93</v>
      </c>
      <c r="E805">
        <v>1.72</v>
      </c>
      <c r="F805">
        <v>2.65</v>
      </c>
      <c r="G805">
        <v>1.55</v>
      </c>
      <c r="H805">
        <v>3.1</v>
      </c>
      <c r="I805">
        <v>6.35</v>
      </c>
      <c r="J805">
        <v>194</v>
      </c>
      <c r="K805" t="s">
        <v>132</v>
      </c>
      <c r="L805" t="s">
        <v>46</v>
      </c>
      <c r="M805">
        <v>3</v>
      </c>
      <c r="N805">
        <v>57.981000000000002</v>
      </c>
      <c r="O805">
        <v>7.25</v>
      </c>
      <c r="P805" s="13">
        <v>1.89</v>
      </c>
      <c r="Q805" t="s">
        <v>52</v>
      </c>
      <c r="R805">
        <v>90</v>
      </c>
      <c r="S805">
        <v>24</v>
      </c>
      <c r="T805">
        <v>400</v>
      </c>
      <c r="U805">
        <v>3</v>
      </c>
      <c r="V805" s="7">
        <v>0.66717326983053638</v>
      </c>
      <c r="W805">
        <v>141.47999999999999</v>
      </c>
      <c r="X805">
        <v>9.7799999999999998E-2</v>
      </c>
      <c r="Y805">
        <v>2.76</v>
      </c>
      <c r="Z805">
        <v>8.5</v>
      </c>
      <c r="AA805">
        <v>2</v>
      </c>
      <c r="AB805">
        <v>15</v>
      </c>
      <c r="AC805" s="17">
        <v>12</v>
      </c>
      <c r="AD805">
        <v>1.7</v>
      </c>
      <c r="AE805">
        <v>400</v>
      </c>
      <c r="AF805" s="11">
        <v>0.18</v>
      </c>
    </row>
    <row r="806" spans="1:32" x14ac:dyDescent="0.3">
      <c r="A806" t="s">
        <v>139</v>
      </c>
      <c r="B806" t="s">
        <v>140</v>
      </c>
      <c r="C806">
        <v>3.06</v>
      </c>
      <c r="D806">
        <v>733.93</v>
      </c>
      <c r="E806">
        <v>1.72</v>
      </c>
      <c r="F806">
        <v>2.65</v>
      </c>
      <c r="G806">
        <v>1.55</v>
      </c>
      <c r="H806">
        <v>3.1</v>
      </c>
      <c r="I806">
        <v>6.35</v>
      </c>
      <c r="J806">
        <v>194</v>
      </c>
      <c r="K806" t="s">
        <v>132</v>
      </c>
      <c r="L806" t="s">
        <v>46</v>
      </c>
      <c r="M806">
        <v>3</v>
      </c>
      <c r="N806">
        <v>57.981000000000002</v>
      </c>
      <c r="O806">
        <v>7.25</v>
      </c>
      <c r="P806" s="13">
        <v>1.89</v>
      </c>
      <c r="Q806" t="s">
        <v>52</v>
      </c>
      <c r="R806">
        <v>90</v>
      </c>
      <c r="S806">
        <v>24</v>
      </c>
      <c r="T806">
        <v>400</v>
      </c>
      <c r="U806">
        <v>3</v>
      </c>
      <c r="V806" s="7">
        <v>0.66717326983053638</v>
      </c>
      <c r="W806">
        <v>141.47999999999999</v>
      </c>
      <c r="X806">
        <v>9.7799999999999998E-2</v>
      </c>
      <c r="Y806">
        <v>2.76</v>
      </c>
      <c r="Z806">
        <v>8.5</v>
      </c>
      <c r="AA806">
        <v>4</v>
      </c>
      <c r="AB806">
        <v>15</v>
      </c>
      <c r="AC806" s="17">
        <v>12</v>
      </c>
      <c r="AD806">
        <v>1.7</v>
      </c>
      <c r="AE806">
        <v>400</v>
      </c>
      <c r="AF806" s="11">
        <v>0.36</v>
      </c>
    </row>
    <row r="807" spans="1:32" x14ac:dyDescent="0.3">
      <c r="A807" t="s">
        <v>139</v>
      </c>
      <c r="B807" t="s">
        <v>140</v>
      </c>
      <c r="C807">
        <v>3.06</v>
      </c>
      <c r="D807">
        <v>733.93</v>
      </c>
      <c r="E807">
        <v>1.72</v>
      </c>
      <c r="F807">
        <v>2.65</v>
      </c>
      <c r="G807">
        <v>1.55</v>
      </c>
      <c r="H807">
        <v>3.1</v>
      </c>
      <c r="I807">
        <v>6.35</v>
      </c>
      <c r="J807">
        <v>194</v>
      </c>
      <c r="K807" t="s">
        <v>132</v>
      </c>
      <c r="L807" t="s">
        <v>46</v>
      </c>
      <c r="M807">
        <v>3</v>
      </c>
      <c r="N807">
        <v>57.981000000000002</v>
      </c>
      <c r="O807">
        <v>7.25</v>
      </c>
      <c r="P807" s="13">
        <v>1.89</v>
      </c>
      <c r="Q807" t="s">
        <v>52</v>
      </c>
      <c r="R807">
        <v>90</v>
      </c>
      <c r="S807">
        <v>24</v>
      </c>
      <c r="T807">
        <v>400</v>
      </c>
      <c r="U807">
        <v>3</v>
      </c>
      <c r="V807" s="7">
        <v>0.66717326983053638</v>
      </c>
      <c r="W807">
        <v>141.47999999999999</v>
      </c>
      <c r="X807">
        <v>9.7799999999999998E-2</v>
      </c>
      <c r="Y807">
        <v>2.76</v>
      </c>
      <c r="Z807">
        <v>8.5</v>
      </c>
      <c r="AA807">
        <v>6</v>
      </c>
      <c r="AB807">
        <v>15</v>
      </c>
      <c r="AC807" s="17">
        <v>12</v>
      </c>
      <c r="AD807">
        <v>1.7</v>
      </c>
      <c r="AE807">
        <v>400</v>
      </c>
      <c r="AF807" s="11">
        <v>0.85</v>
      </c>
    </row>
    <row r="808" spans="1:32" x14ac:dyDescent="0.3">
      <c r="A808" t="s">
        <v>139</v>
      </c>
      <c r="B808" t="s">
        <v>140</v>
      </c>
      <c r="C808">
        <v>3.06</v>
      </c>
      <c r="D808">
        <v>733.93</v>
      </c>
      <c r="E808">
        <v>1.72</v>
      </c>
      <c r="F808">
        <v>2.65</v>
      </c>
      <c r="G808">
        <v>1.55</v>
      </c>
      <c r="H808">
        <v>3.1</v>
      </c>
      <c r="I808">
        <v>6.35</v>
      </c>
      <c r="J808">
        <v>194</v>
      </c>
      <c r="K808" t="s">
        <v>132</v>
      </c>
      <c r="L808" t="s">
        <v>46</v>
      </c>
      <c r="M808">
        <v>3</v>
      </c>
      <c r="N808">
        <v>57.981000000000002</v>
      </c>
      <c r="O808">
        <v>7.25</v>
      </c>
      <c r="P808" s="13">
        <v>1.89</v>
      </c>
      <c r="Q808" t="s">
        <v>52</v>
      </c>
      <c r="R808">
        <v>90</v>
      </c>
      <c r="S808">
        <v>24</v>
      </c>
      <c r="T808">
        <v>400</v>
      </c>
      <c r="U808">
        <v>3</v>
      </c>
      <c r="V808" s="7">
        <v>0.66717326983053638</v>
      </c>
      <c r="W808">
        <v>141.47999999999999</v>
      </c>
      <c r="X808">
        <v>9.7799999999999998E-2</v>
      </c>
      <c r="Y808">
        <v>2.76</v>
      </c>
      <c r="Z808">
        <v>8.5</v>
      </c>
      <c r="AA808">
        <v>7</v>
      </c>
      <c r="AB808">
        <v>15</v>
      </c>
      <c r="AC808" s="17">
        <v>12</v>
      </c>
      <c r="AD808">
        <v>1.7</v>
      </c>
      <c r="AE808">
        <v>400</v>
      </c>
      <c r="AF808" s="11">
        <v>0.87</v>
      </c>
    </row>
    <row r="809" spans="1:32" x14ac:dyDescent="0.3">
      <c r="A809" t="s">
        <v>139</v>
      </c>
      <c r="B809" t="s">
        <v>140</v>
      </c>
      <c r="C809">
        <v>3.06</v>
      </c>
      <c r="D809">
        <v>733.93</v>
      </c>
      <c r="E809">
        <v>1.72</v>
      </c>
      <c r="F809">
        <v>2.65</v>
      </c>
      <c r="G809">
        <v>1.55</v>
      </c>
      <c r="H809">
        <v>3.1</v>
      </c>
      <c r="I809">
        <v>6.35</v>
      </c>
      <c r="J809">
        <v>194</v>
      </c>
      <c r="K809" t="s">
        <v>132</v>
      </c>
      <c r="L809" t="s">
        <v>46</v>
      </c>
      <c r="M809">
        <v>3</v>
      </c>
      <c r="N809">
        <v>57.981000000000002</v>
      </c>
      <c r="O809">
        <v>7.25</v>
      </c>
      <c r="P809" s="13">
        <v>1.89</v>
      </c>
      <c r="Q809" t="s">
        <v>52</v>
      </c>
      <c r="R809">
        <v>90</v>
      </c>
      <c r="S809">
        <v>24</v>
      </c>
      <c r="T809">
        <v>400</v>
      </c>
      <c r="U809">
        <v>3</v>
      </c>
      <c r="V809" s="7">
        <v>0.66717326983053638</v>
      </c>
      <c r="W809">
        <v>141.47999999999999</v>
      </c>
      <c r="X809">
        <v>9.7799999999999998E-2</v>
      </c>
      <c r="Y809">
        <v>2.76</v>
      </c>
      <c r="Z809">
        <v>8.5</v>
      </c>
      <c r="AA809">
        <v>8</v>
      </c>
      <c r="AB809">
        <v>15</v>
      </c>
      <c r="AC809" s="17">
        <v>12</v>
      </c>
      <c r="AD809">
        <v>1.7</v>
      </c>
      <c r="AE809">
        <v>400</v>
      </c>
      <c r="AF809" s="11">
        <v>0.88</v>
      </c>
    </row>
    <row r="810" spans="1:32" x14ac:dyDescent="0.3">
      <c r="A810" t="s">
        <v>139</v>
      </c>
      <c r="B810" t="s">
        <v>140</v>
      </c>
      <c r="C810">
        <v>3.06</v>
      </c>
      <c r="D810">
        <v>733.93</v>
      </c>
      <c r="E810">
        <v>1.72</v>
      </c>
      <c r="F810">
        <v>2.65</v>
      </c>
      <c r="G810">
        <v>1.55</v>
      </c>
      <c r="H810">
        <v>3.1</v>
      </c>
      <c r="I810">
        <v>6.35</v>
      </c>
      <c r="J810">
        <v>194</v>
      </c>
      <c r="K810" t="s">
        <v>132</v>
      </c>
      <c r="L810" t="s">
        <v>46</v>
      </c>
      <c r="M810">
        <v>3</v>
      </c>
      <c r="N810">
        <v>57.981000000000002</v>
      </c>
      <c r="O810">
        <v>7.25</v>
      </c>
      <c r="P810" s="13">
        <v>1.89</v>
      </c>
      <c r="Q810" t="s">
        <v>52</v>
      </c>
      <c r="R810">
        <v>90</v>
      </c>
      <c r="S810">
        <v>24</v>
      </c>
      <c r="T810">
        <v>400</v>
      </c>
      <c r="U810">
        <v>3</v>
      </c>
      <c r="V810" s="7">
        <v>0.66717326983053638</v>
      </c>
      <c r="W810">
        <v>141.47999999999999</v>
      </c>
      <c r="X810">
        <v>9.7799999999999998E-2</v>
      </c>
      <c r="Y810">
        <v>2.76</v>
      </c>
      <c r="Z810">
        <v>8.5</v>
      </c>
      <c r="AA810">
        <v>10</v>
      </c>
      <c r="AB810">
        <v>15</v>
      </c>
      <c r="AC810" s="17">
        <v>12</v>
      </c>
      <c r="AD810">
        <v>1.7</v>
      </c>
      <c r="AE810">
        <v>400</v>
      </c>
      <c r="AF810" s="11">
        <v>0.78</v>
      </c>
    </row>
    <row r="811" spans="1:32" x14ac:dyDescent="0.3">
      <c r="A811" t="s">
        <v>139</v>
      </c>
      <c r="B811" t="s">
        <v>140</v>
      </c>
      <c r="C811">
        <v>3.06</v>
      </c>
      <c r="D811">
        <v>733.93</v>
      </c>
      <c r="E811">
        <v>1.72</v>
      </c>
      <c r="F811">
        <v>2.65</v>
      </c>
      <c r="G811">
        <v>1.55</v>
      </c>
      <c r="H811">
        <v>3.1</v>
      </c>
      <c r="I811">
        <v>6.35</v>
      </c>
      <c r="J811">
        <v>194</v>
      </c>
      <c r="K811" t="s">
        <v>132</v>
      </c>
      <c r="L811" t="s">
        <v>46</v>
      </c>
      <c r="M811">
        <v>3</v>
      </c>
      <c r="N811">
        <v>57.981000000000002</v>
      </c>
      <c r="O811">
        <v>7.25</v>
      </c>
      <c r="P811" s="13">
        <v>1.89</v>
      </c>
      <c r="Q811" t="s">
        <v>52</v>
      </c>
      <c r="R811">
        <v>90</v>
      </c>
      <c r="S811">
        <v>24</v>
      </c>
      <c r="T811">
        <v>400</v>
      </c>
      <c r="U811">
        <v>3</v>
      </c>
      <c r="V811" s="7">
        <v>0.66717326983053638</v>
      </c>
      <c r="W811">
        <v>141.47999999999999</v>
      </c>
      <c r="X811">
        <v>9.7799999999999998E-2</v>
      </c>
      <c r="Y811">
        <v>2.76</v>
      </c>
      <c r="Z811">
        <v>8.5</v>
      </c>
      <c r="AA811">
        <v>12</v>
      </c>
      <c r="AB811">
        <v>15</v>
      </c>
      <c r="AC811" s="17">
        <v>12</v>
      </c>
      <c r="AD811">
        <v>1.7</v>
      </c>
      <c r="AE811">
        <v>400</v>
      </c>
      <c r="AF811" s="11">
        <v>0.76</v>
      </c>
    </row>
    <row r="812" spans="1:32" x14ac:dyDescent="0.3">
      <c r="A812" t="s">
        <v>139</v>
      </c>
      <c r="B812" t="s">
        <v>140</v>
      </c>
      <c r="C812">
        <v>3.06</v>
      </c>
      <c r="D812">
        <v>733.93</v>
      </c>
      <c r="E812">
        <v>1.72</v>
      </c>
      <c r="F812">
        <v>2.65</v>
      </c>
      <c r="G812">
        <v>1.55</v>
      </c>
      <c r="H812">
        <v>3.1</v>
      </c>
      <c r="I812">
        <v>6.35</v>
      </c>
      <c r="J812">
        <v>194</v>
      </c>
      <c r="K812" t="s">
        <v>132</v>
      </c>
      <c r="L812" t="s">
        <v>46</v>
      </c>
      <c r="M812">
        <v>3</v>
      </c>
      <c r="N812">
        <v>57.981000000000002</v>
      </c>
      <c r="O812">
        <v>7.25</v>
      </c>
      <c r="P812" s="13">
        <v>1.89</v>
      </c>
      <c r="Q812" t="s">
        <v>52</v>
      </c>
      <c r="R812">
        <v>90</v>
      </c>
      <c r="S812">
        <v>24</v>
      </c>
      <c r="T812">
        <v>400</v>
      </c>
      <c r="U812">
        <v>3</v>
      </c>
      <c r="V812" s="7">
        <v>0.66717326983053638</v>
      </c>
      <c r="W812">
        <v>141.47999999999999</v>
      </c>
      <c r="X812">
        <v>9.7799999999999998E-2</v>
      </c>
      <c r="Y812">
        <v>2.76</v>
      </c>
      <c r="Z812">
        <v>8.5</v>
      </c>
      <c r="AA812">
        <v>7</v>
      </c>
      <c r="AB812">
        <v>15</v>
      </c>
      <c r="AC812" s="17">
        <v>0.1</v>
      </c>
      <c r="AD812">
        <v>1.7</v>
      </c>
      <c r="AE812">
        <v>400</v>
      </c>
      <c r="AF812" s="11">
        <v>5.5100000000000052E-2</v>
      </c>
    </row>
    <row r="813" spans="1:32" x14ac:dyDescent="0.3">
      <c r="A813" t="s">
        <v>139</v>
      </c>
      <c r="B813" t="s">
        <v>140</v>
      </c>
      <c r="C813">
        <v>3.06</v>
      </c>
      <c r="D813">
        <v>733.93</v>
      </c>
      <c r="E813">
        <v>1.72</v>
      </c>
      <c r="F813">
        <v>2.65</v>
      </c>
      <c r="G813">
        <v>1.55</v>
      </c>
      <c r="H813">
        <v>3.1</v>
      </c>
      <c r="I813">
        <v>6.35</v>
      </c>
      <c r="J813">
        <v>194</v>
      </c>
      <c r="K813" t="s">
        <v>132</v>
      </c>
      <c r="L813" t="s">
        <v>46</v>
      </c>
      <c r="M813">
        <v>3</v>
      </c>
      <c r="N813">
        <v>57.981000000000002</v>
      </c>
      <c r="O813">
        <v>7.25</v>
      </c>
      <c r="P813" s="13">
        <v>1.89</v>
      </c>
      <c r="Q813" t="s">
        <v>52</v>
      </c>
      <c r="R813">
        <v>90</v>
      </c>
      <c r="S813">
        <v>24</v>
      </c>
      <c r="T813">
        <v>400</v>
      </c>
      <c r="U813">
        <v>3</v>
      </c>
      <c r="V813" s="7">
        <v>0.66717326983053638</v>
      </c>
      <c r="W813">
        <v>141.47999999999999</v>
      </c>
      <c r="X813">
        <v>9.7799999999999998E-2</v>
      </c>
      <c r="Y813">
        <v>2.76</v>
      </c>
      <c r="Z813">
        <v>8.5</v>
      </c>
      <c r="AA813">
        <v>7</v>
      </c>
      <c r="AB813">
        <v>15</v>
      </c>
      <c r="AC813" s="17">
        <v>0.25</v>
      </c>
      <c r="AD813">
        <v>1.7</v>
      </c>
      <c r="AE813">
        <v>400</v>
      </c>
      <c r="AF813" s="11">
        <v>0.10439999999999998</v>
      </c>
    </row>
    <row r="814" spans="1:32" x14ac:dyDescent="0.3">
      <c r="A814" t="s">
        <v>139</v>
      </c>
      <c r="B814" t="s">
        <v>140</v>
      </c>
      <c r="C814">
        <v>3.06</v>
      </c>
      <c r="D814">
        <v>733.93</v>
      </c>
      <c r="E814">
        <v>1.72</v>
      </c>
      <c r="F814">
        <v>2.65</v>
      </c>
      <c r="G814">
        <v>1.55</v>
      </c>
      <c r="H814">
        <v>3.1</v>
      </c>
      <c r="I814">
        <v>6.35</v>
      </c>
      <c r="J814">
        <v>194</v>
      </c>
      <c r="K814" t="s">
        <v>132</v>
      </c>
      <c r="L814" t="s">
        <v>46</v>
      </c>
      <c r="M814">
        <v>3</v>
      </c>
      <c r="N814">
        <v>57.981000000000002</v>
      </c>
      <c r="O814">
        <v>7.25</v>
      </c>
      <c r="P814" s="13">
        <v>1.89</v>
      </c>
      <c r="Q814" t="s">
        <v>52</v>
      </c>
      <c r="R814">
        <v>90</v>
      </c>
      <c r="S814">
        <v>24</v>
      </c>
      <c r="T814">
        <v>400</v>
      </c>
      <c r="U814">
        <v>3</v>
      </c>
      <c r="V814" s="7">
        <v>0.66717326983053638</v>
      </c>
      <c r="W814">
        <v>141.47999999999999</v>
      </c>
      <c r="X814">
        <v>9.7799999999999998E-2</v>
      </c>
      <c r="Y814">
        <v>2.76</v>
      </c>
      <c r="Z814">
        <v>8.5</v>
      </c>
      <c r="AA814">
        <v>7</v>
      </c>
      <c r="AB814">
        <v>15</v>
      </c>
      <c r="AC814" s="17">
        <v>0.5</v>
      </c>
      <c r="AD814">
        <v>1.7</v>
      </c>
      <c r="AE814">
        <v>400</v>
      </c>
      <c r="AF814" s="11">
        <v>0.15370000000000006</v>
      </c>
    </row>
    <row r="815" spans="1:32" x14ac:dyDescent="0.3">
      <c r="A815" t="s">
        <v>139</v>
      </c>
      <c r="B815" t="s">
        <v>140</v>
      </c>
      <c r="C815">
        <v>3.06</v>
      </c>
      <c r="D815">
        <v>733.93</v>
      </c>
      <c r="E815">
        <v>1.72</v>
      </c>
      <c r="F815">
        <v>2.65</v>
      </c>
      <c r="G815">
        <v>1.55</v>
      </c>
      <c r="H815">
        <v>3.1</v>
      </c>
      <c r="I815">
        <v>6.35</v>
      </c>
      <c r="J815">
        <v>194</v>
      </c>
      <c r="K815" t="s">
        <v>132</v>
      </c>
      <c r="L815" t="s">
        <v>46</v>
      </c>
      <c r="M815">
        <v>3</v>
      </c>
      <c r="N815">
        <v>57.981000000000002</v>
      </c>
      <c r="O815">
        <v>7.25</v>
      </c>
      <c r="P815" s="13">
        <v>1.89</v>
      </c>
      <c r="Q815" t="s">
        <v>52</v>
      </c>
      <c r="R815">
        <v>90</v>
      </c>
      <c r="S815">
        <v>24</v>
      </c>
      <c r="T815">
        <v>400</v>
      </c>
      <c r="U815">
        <v>3</v>
      </c>
      <c r="V815" s="7">
        <v>0.66717326983053638</v>
      </c>
      <c r="W815">
        <v>141.47999999999999</v>
      </c>
      <c r="X815">
        <v>9.7799999999999998E-2</v>
      </c>
      <c r="Y815">
        <v>2.76</v>
      </c>
      <c r="Z815">
        <v>8.5</v>
      </c>
      <c r="AA815">
        <v>7</v>
      </c>
      <c r="AB815">
        <v>15</v>
      </c>
      <c r="AC815" s="17">
        <v>1</v>
      </c>
      <c r="AD815">
        <v>1.7</v>
      </c>
      <c r="AE815">
        <v>400</v>
      </c>
      <c r="AF815" s="11">
        <v>0.18560000000000001</v>
      </c>
    </row>
    <row r="816" spans="1:32" x14ac:dyDescent="0.3">
      <c r="A816" t="s">
        <v>139</v>
      </c>
      <c r="B816" t="s">
        <v>140</v>
      </c>
      <c r="C816">
        <v>3.06</v>
      </c>
      <c r="D816">
        <v>733.93</v>
      </c>
      <c r="E816">
        <v>1.72</v>
      </c>
      <c r="F816">
        <v>2.65</v>
      </c>
      <c r="G816">
        <v>1.55</v>
      </c>
      <c r="H816">
        <v>3.1</v>
      </c>
      <c r="I816">
        <v>6.35</v>
      </c>
      <c r="J816">
        <v>194</v>
      </c>
      <c r="K816" t="s">
        <v>132</v>
      </c>
      <c r="L816" t="s">
        <v>46</v>
      </c>
      <c r="M816">
        <v>3</v>
      </c>
      <c r="N816">
        <v>57.981000000000002</v>
      </c>
      <c r="O816">
        <v>7.25</v>
      </c>
      <c r="P816" s="13">
        <v>1.89</v>
      </c>
      <c r="Q816" t="s">
        <v>52</v>
      </c>
      <c r="R816">
        <v>90</v>
      </c>
      <c r="S816">
        <v>24</v>
      </c>
      <c r="T816">
        <v>400</v>
      </c>
      <c r="U816">
        <v>3</v>
      </c>
      <c r="V816" s="7">
        <v>0.66717326983053638</v>
      </c>
      <c r="W816">
        <v>141.47999999999999</v>
      </c>
      <c r="X816">
        <v>9.7799999999999998E-2</v>
      </c>
      <c r="Y816">
        <v>2.76</v>
      </c>
      <c r="Z816">
        <v>8.5</v>
      </c>
      <c r="AA816">
        <v>7</v>
      </c>
      <c r="AB816">
        <v>15</v>
      </c>
      <c r="AC816" s="17">
        <v>2</v>
      </c>
      <c r="AD816">
        <v>1.7</v>
      </c>
      <c r="AE816">
        <v>400</v>
      </c>
      <c r="AF816" s="11">
        <v>0.22909999999999997</v>
      </c>
    </row>
    <row r="817" spans="1:32" x14ac:dyDescent="0.3">
      <c r="A817" t="s">
        <v>139</v>
      </c>
      <c r="B817" t="s">
        <v>140</v>
      </c>
      <c r="C817">
        <v>3.06</v>
      </c>
      <c r="D817">
        <v>733.93</v>
      </c>
      <c r="E817">
        <v>1.72</v>
      </c>
      <c r="F817">
        <v>2.65</v>
      </c>
      <c r="G817">
        <v>1.55</v>
      </c>
      <c r="H817">
        <v>3.1</v>
      </c>
      <c r="I817">
        <v>6.35</v>
      </c>
      <c r="J817">
        <v>194</v>
      </c>
      <c r="K817" t="s">
        <v>132</v>
      </c>
      <c r="L817" t="s">
        <v>46</v>
      </c>
      <c r="M817">
        <v>3</v>
      </c>
      <c r="N817">
        <v>57.981000000000002</v>
      </c>
      <c r="O817">
        <v>7.25</v>
      </c>
      <c r="P817" s="13">
        <v>1.89</v>
      </c>
      <c r="Q817" t="s">
        <v>52</v>
      </c>
      <c r="R817">
        <v>90</v>
      </c>
      <c r="S817">
        <v>24</v>
      </c>
      <c r="T817">
        <v>400</v>
      </c>
      <c r="U817">
        <v>3</v>
      </c>
      <c r="V817" s="7">
        <v>0.66717326983053638</v>
      </c>
      <c r="W817">
        <v>141.47999999999999</v>
      </c>
      <c r="X817">
        <v>9.7799999999999998E-2</v>
      </c>
      <c r="Y817">
        <v>2.76</v>
      </c>
      <c r="Z817">
        <v>8.5</v>
      </c>
      <c r="AA817">
        <v>7</v>
      </c>
      <c r="AB817">
        <v>15</v>
      </c>
      <c r="AC817" s="17">
        <v>4</v>
      </c>
      <c r="AD817">
        <v>1.7</v>
      </c>
      <c r="AE817">
        <v>400</v>
      </c>
      <c r="AF817" s="11">
        <v>0.25664999999999993</v>
      </c>
    </row>
    <row r="818" spans="1:32" x14ac:dyDescent="0.3">
      <c r="A818" t="s">
        <v>139</v>
      </c>
      <c r="B818" t="s">
        <v>140</v>
      </c>
      <c r="C818">
        <v>3.06</v>
      </c>
      <c r="D818">
        <v>733.93</v>
      </c>
      <c r="E818">
        <v>1.72</v>
      </c>
      <c r="F818">
        <v>2.65</v>
      </c>
      <c r="G818">
        <v>1.55</v>
      </c>
      <c r="H818">
        <v>3.1</v>
      </c>
      <c r="I818">
        <v>6.35</v>
      </c>
      <c r="J818">
        <v>194</v>
      </c>
      <c r="K818" t="s">
        <v>132</v>
      </c>
      <c r="L818" t="s">
        <v>46</v>
      </c>
      <c r="M818">
        <v>3</v>
      </c>
      <c r="N818">
        <v>57.981000000000002</v>
      </c>
      <c r="O818">
        <v>7.25</v>
      </c>
      <c r="P818" s="13">
        <v>1.89</v>
      </c>
      <c r="Q818" t="s">
        <v>52</v>
      </c>
      <c r="R818">
        <v>90</v>
      </c>
      <c r="S818">
        <v>24</v>
      </c>
      <c r="T818">
        <v>400</v>
      </c>
      <c r="U818">
        <v>3</v>
      </c>
      <c r="V818" s="7">
        <v>0.66717326983053638</v>
      </c>
      <c r="W818">
        <v>141.47999999999999</v>
      </c>
      <c r="X818">
        <v>9.7799999999999998E-2</v>
      </c>
      <c r="Y818">
        <v>2.76</v>
      </c>
      <c r="Z818">
        <v>8.5</v>
      </c>
      <c r="AA818">
        <v>7</v>
      </c>
      <c r="AB818">
        <v>15</v>
      </c>
      <c r="AC818" s="17">
        <v>6.5</v>
      </c>
      <c r="AD818">
        <v>1.7</v>
      </c>
      <c r="AE818">
        <v>400</v>
      </c>
      <c r="AF818" s="11">
        <v>0.26390000000000002</v>
      </c>
    </row>
    <row r="819" spans="1:32" x14ac:dyDescent="0.3">
      <c r="A819" t="s">
        <v>139</v>
      </c>
      <c r="B819" t="s">
        <v>140</v>
      </c>
      <c r="C819">
        <v>3.06</v>
      </c>
      <c r="D819">
        <v>733.93</v>
      </c>
      <c r="E819">
        <v>1.72</v>
      </c>
      <c r="F819">
        <v>2.65</v>
      </c>
      <c r="G819">
        <v>1.55</v>
      </c>
      <c r="H819">
        <v>3.1</v>
      </c>
      <c r="I819">
        <v>6.35</v>
      </c>
      <c r="J819">
        <v>194</v>
      </c>
      <c r="K819" t="s">
        <v>132</v>
      </c>
      <c r="L819" t="s">
        <v>46</v>
      </c>
      <c r="M819">
        <v>3</v>
      </c>
      <c r="N819">
        <v>57.981000000000002</v>
      </c>
      <c r="O819">
        <v>7.25</v>
      </c>
      <c r="P819" s="13">
        <v>1.89</v>
      </c>
      <c r="Q819" t="s">
        <v>52</v>
      </c>
      <c r="R819">
        <v>90</v>
      </c>
      <c r="S819">
        <v>24</v>
      </c>
      <c r="T819">
        <v>400</v>
      </c>
      <c r="U819">
        <v>3</v>
      </c>
      <c r="V819" s="7">
        <v>0.66717326983053638</v>
      </c>
      <c r="W819">
        <v>141.47999999999999</v>
      </c>
      <c r="X819">
        <v>9.7799999999999998E-2</v>
      </c>
      <c r="Y819">
        <v>2.76</v>
      </c>
      <c r="Z819">
        <v>8.5</v>
      </c>
      <c r="AA819">
        <v>7</v>
      </c>
      <c r="AB819">
        <v>15</v>
      </c>
      <c r="AC819" s="17">
        <v>10</v>
      </c>
      <c r="AD819">
        <v>1.7</v>
      </c>
      <c r="AE819">
        <v>400</v>
      </c>
      <c r="AF819" s="11">
        <v>0.27549999999999997</v>
      </c>
    </row>
    <row r="820" spans="1:32" x14ac:dyDescent="0.3">
      <c r="A820" t="s">
        <v>139</v>
      </c>
      <c r="B820" t="s">
        <v>140</v>
      </c>
      <c r="C820">
        <v>3.06</v>
      </c>
      <c r="D820">
        <v>733.93</v>
      </c>
      <c r="E820">
        <v>1.72</v>
      </c>
      <c r="F820">
        <v>2.65</v>
      </c>
      <c r="G820">
        <v>1.55</v>
      </c>
      <c r="H820">
        <v>3.1</v>
      </c>
      <c r="I820">
        <v>6.35</v>
      </c>
      <c r="J820">
        <v>194</v>
      </c>
      <c r="K820" t="s">
        <v>132</v>
      </c>
      <c r="L820" t="s">
        <v>46</v>
      </c>
      <c r="M820">
        <v>3</v>
      </c>
      <c r="N820">
        <v>57.981000000000002</v>
      </c>
      <c r="O820">
        <v>7.25</v>
      </c>
      <c r="P820" s="13">
        <v>1.89</v>
      </c>
      <c r="Q820" t="s">
        <v>52</v>
      </c>
      <c r="R820">
        <v>90</v>
      </c>
      <c r="S820">
        <v>24</v>
      </c>
      <c r="T820">
        <v>400</v>
      </c>
      <c r="U820">
        <v>3</v>
      </c>
      <c r="V820" s="7">
        <v>0.66717326983053638</v>
      </c>
      <c r="W820">
        <v>141.47999999999999</v>
      </c>
      <c r="X820">
        <v>9.7799999999999998E-2</v>
      </c>
      <c r="Y820">
        <v>2.76</v>
      </c>
      <c r="Z820">
        <v>8.5</v>
      </c>
      <c r="AA820">
        <v>7</v>
      </c>
      <c r="AB820">
        <v>15</v>
      </c>
      <c r="AC820" s="17">
        <v>13</v>
      </c>
      <c r="AD820">
        <v>1.7</v>
      </c>
      <c r="AE820">
        <v>400</v>
      </c>
      <c r="AF820" s="11">
        <v>0.27840000000000004</v>
      </c>
    </row>
    <row r="821" spans="1:32" x14ac:dyDescent="0.3">
      <c r="A821" t="s">
        <v>141</v>
      </c>
      <c r="B821" t="s">
        <v>15</v>
      </c>
      <c r="C821">
        <v>0.28000000000000003</v>
      </c>
      <c r="D821">
        <v>331.34</v>
      </c>
      <c r="E821">
        <v>2.2000000000000002</v>
      </c>
      <c r="F821">
        <v>2.34</v>
      </c>
      <c r="G821">
        <v>0.7</v>
      </c>
      <c r="H821">
        <v>2.52</v>
      </c>
      <c r="I821">
        <v>2.3047</v>
      </c>
      <c r="J821">
        <v>72.900000000000006</v>
      </c>
      <c r="K821" t="s">
        <v>142</v>
      </c>
      <c r="L821" t="s">
        <v>46</v>
      </c>
      <c r="M821">
        <v>2</v>
      </c>
      <c r="N821">
        <v>57.744</v>
      </c>
      <c r="O821">
        <v>7</v>
      </c>
      <c r="P821" s="13">
        <v>1.88</v>
      </c>
      <c r="Q821" t="s">
        <v>52</v>
      </c>
      <c r="R821">
        <v>70</v>
      </c>
      <c r="S821">
        <v>24</v>
      </c>
      <c r="T821" t="s">
        <v>164</v>
      </c>
      <c r="U821" t="s">
        <v>164</v>
      </c>
      <c r="V821" s="7">
        <v>0.78172725481696481</v>
      </c>
      <c r="W821">
        <v>225.7</v>
      </c>
      <c r="X821">
        <v>0.21</v>
      </c>
      <c r="Y821">
        <v>3.77</v>
      </c>
      <c r="Z821">
        <v>6.8</v>
      </c>
      <c r="AA821">
        <v>3</v>
      </c>
      <c r="AB821">
        <v>25</v>
      </c>
      <c r="AC821" s="17">
        <f>120/60</f>
        <v>2</v>
      </c>
      <c r="AD821">
        <f>0.01/0.02</f>
        <v>0.5</v>
      </c>
      <c r="AE821">
        <v>20</v>
      </c>
      <c r="AF821" s="11">
        <v>0.34</v>
      </c>
    </row>
    <row r="822" spans="1:32" x14ac:dyDescent="0.3">
      <c r="A822" t="s">
        <v>141</v>
      </c>
      <c r="B822" t="s">
        <v>15</v>
      </c>
      <c r="C822">
        <v>0.28000000000000003</v>
      </c>
      <c r="D822">
        <v>331.34</v>
      </c>
      <c r="E822">
        <v>2.2000000000000002</v>
      </c>
      <c r="F822">
        <v>2.34</v>
      </c>
      <c r="G822">
        <v>0.7</v>
      </c>
      <c r="H822">
        <v>2.52</v>
      </c>
      <c r="I822">
        <v>2.3047</v>
      </c>
      <c r="J822">
        <v>72.900000000000006</v>
      </c>
      <c r="K822" t="s">
        <v>142</v>
      </c>
      <c r="L822" t="s">
        <v>46</v>
      </c>
      <c r="M822">
        <v>2</v>
      </c>
      <c r="N822">
        <v>57.744</v>
      </c>
      <c r="O822">
        <v>7</v>
      </c>
      <c r="P822" s="13">
        <v>1.88</v>
      </c>
      <c r="Q822" t="s">
        <v>52</v>
      </c>
      <c r="R822">
        <v>70</v>
      </c>
      <c r="S822">
        <v>24</v>
      </c>
      <c r="T822" t="s">
        <v>164</v>
      </c>
      <c r="U822" t="s">
        <v>164</v>
      </c>
      <c r="V822" s="7">
        <v>0.78172725481696481</v>
      </c>
      <c r="W822">
        <v>225.7</v>
      </c>
      <c r="X822">
        <v>0.21</v>
      </c>
      <c r="Y822">
        <v>3.77</v>
      </c>
      <c r="Z822">
        <v>6.8</v>
      </c>
      <c r="AA822">
        <v>5</v>
      </c>
      <c r="AB822">
        <v>25</v>
      </c>
      <c r="AC822" s="17">
        <f t="shared" ref="AC822:AC829" si="16">120/60</f>
        <v>2</v>
      </c>
      <c r="AD822">
        <f t="shared" ref="AD822:AD824" si="17">0.01/0.02</f>
        <v>0.5</v>
      </c>
      <c r="AE822">
        <v>20</v>
      </c>
      <c r="AF822" s="11">
        <v>0.36</v>
      </c>
    </row>
    <row r="823" spans="1:32" x14ac:dyDescent="0.3">
      <c r="A823" t="s">
        <v>141</v>
      </c>
      <c r="B823" t="s">
        <v>15</v>
      </c>
      <c r="C823">
        <v>0.28000000000000003</v>
      </c>
      <c r="D823">
        <v>331.34</v>
      </c>
      <c r="E823">
        <v>2.2000000000000002</v>
      </c>
      <c r="F823">
        <v>2.34</v>
      </c>
      <c r="G823">
        <v>0.7</v>
      </c>
      <c r="H823">
        <v>2.52</v>
      </c>
      <c r="I823">
        <v>2.3047</v>
      </c>
      <c r="J823">
        <v>72.900000000000006</v>
      </c>
      <c r="K823" t="s">
        <v>142</v>
      </c>
      <c r="L823" t="s">
        <v>46</v>
      </c>
      <c r="M823">
        <v>2</v>
      </c>
      <c r="N823">
        <v>57.744</v>
      </c>
      <c r="O823">
        <v>7</v>
      </c>
      <c r="P823" s="13">
        <v>1.88</v>
      </c>
      <c r="Q823" t="s">
        <v>52</v>
      </c>
      <c r="R823">
        <v>70</v>
      </c>
      <c r="S823">
        <v>24</v>
      </c>
      <c r="T823" t="s">
        <v>164</v>
      </c>
      <c r="U823" t="s">
        <v>164</v>
      </c>
      <c r="V823" s="7">
        <v>0.78172725481696481</v>
      </c>
      <c r="W823">
        <v>225.7</v>
      </c>
      <c r="X823">
        <v>0.21</v>
      </c>
      <c r="Y823">
        <v>3.77</v>
      </c>
      <c r="Z823">
        <v>6.8</v>
      </c>
      <c r="AA823">
        <v>7</v>
      </c>
      <c r="AB823">
        <v>25</v>
      </c>
      <c r="AC823" s="17">
        <f t="shared" si="16"/>
        <v>2</v>
      </c>
      <c r="AD823">
        <f t="shared" si="17"/>
        <v>0.5</v>
      </c>
      <c r="AE823">
        <v>20</v>
      </c>
      <c r="AF823" s="11">
        <v>0.15</v>
      </c>
    </row>
    <row r="824" spans="1:32" x14ac:dyDescent="0.3">
      <c r="A824" t="s">
        <v>141</v>
      </c>
      <c r="B824" t="s">
        <v>15</v>
      </c>
      <c r="C824">
        <v>0.28000000000000003</v>
      </c>
      <c r="D824">
        <v>331.34</v>
      </c>
      <c r="E824">
        <v>2.2000000000000002</v>
      </c>
      <c r="F824">
        <v>2.34</v>
      </c>
      <c r="G824">
        <v>0.7</v>
      </c>
      <c r="H824">
        <v>2.52</v>
      </c>
      <c r="I824">
        <v>2.3047</v>
      </c>
      <c r="J824">
        <v>72.900000000000006</v>
      </c>
      <c r="K824" t="s">
        <v>142</v>
      </c>
      <c r="L824" t="s">
        <v>46</v>
      </c>
      <c r="M824">
        <v>2</v>
      </c>
      <c r="N824">
        <v>57.744</v>
      </c>
      <c r="O824">
        <v>7</v>
      </c>
      <c r="P824" s="13">
        <v>1.88</v>
      </c>
      <c r="Q824" t="s">
        <v>52</v>
      </c>
      <c r="R824">
        <v>70</v>
      </c>
      <c r="S824">
        <v>24</v>
      </c>
      <c r="T824" t="s">
        <v>164</v>
      </c>
      <c r="U824" t="s">
        <v>164</v>
      </c>
      <c r="V824" s="7">
        <v>0.78172725481696481</v>
      </c>
      <c r="W824">
        <v>225.7</v>
      </c>
      <c r="X824">
        <v>0.21</v>
      </c>
      <c r="Y824">
        <v>3.77</v>
      </c>
      <c r="Z824">
        <v>6.8</v>
      </c>
      <c r="AA824">
        <v>9</v>
      </c>
      <c r="AB824">
        <v>25</v>
      </c>
      <c r="AC824" s="17">
        <f t="shared" si="16"/>
        <v>2</v>
      </c>
      <c r="AD824">
        <f t="shared" si="17"/>
        <v>0.5</v>
      </c>
      <c r="AE824">
        <v>20</v>
      </c>
      <c r="AF824" s="11">
        <v>0.11</v>
      </c>
    </row>
    <row r="825" spans="1:32" x14ac:dyDescent="0.3">
      <c r="A825" t="s">
        <v>141</v>
      </c>
      <c r="B825" t="s">
        <v>15</v>
      </c>
      <c r="C825">
        <v>0.28000000000000003</v>
      </c>
      <c r="D825">
        <v>331.34</v>
      </c>
      <c r="E825">
        <v>2.2000000000000002</v>
      </c>
      <c r="F825">
        <v>2.34</v>
      </c>
      <c r="G825">
        <v>0.7</v>
      </c>
      <c r="H825">
        <v>2.52</v>
      </c>
      <c r="I825">
        <v>2.3047</v>
      </c>
      <c r="J825">
        <v>72.900000000000006</v>
      </c>
      <c r="K825" t="s">
        <v>142</v>
      </c>
      <c r="L825" t="s">
        <v>46</v>
      </c>
      <c r="M825">
        <v>2</v>
      </c>
      <c r="N825">
        <v>57.744</v>
      </c>
      <c r="O825">
        <v>7</v>
      </c>
      <c r="P825" s="13">
        <v>1.88</v>
      </c>
      <c r="Q825" t="s">
        <v>52</v>
      </c>
      <c r="R825">
        <v>70</v>
      </c>
      <c r="S825">
        <v>24</v>
      </c>
      <c r="T825" t="s">
        <v>164</v>
      </c>
      <c r="U825" t="s">
        <v>164</v>
      </c>
      <c r="V825" s="7">
        <v>0.78172725481696481</v>
      </c>
      <c r="W825">
        <v>225.7</v>
      </c>
      <c r="X825">
        <v>0.21</v>
      </c>
      <c r="Y825">
        <v>3.77</v>
      </c>
      <c r="Z825">
        <v>6.8</v>
      </c>
      <c r="AA825">
        <v>5</v>
      </c>
      <c r="AB825">
        <v>25</v>
      </c>
      <c r="AC825" s="17">
        <f t="shared" si="16"/>
        <v>2</v>
      </c>
      <c r="AD825">
        <f>0.01/0.02</f>
        <v>0.5</v>
      </c>
      <c r="AE825">
        <v>20</v>
      </c>
      <c r="AF825" s="11">
        <v>0.36</v>
      </c>
    </row>
    <row r="826" spans="1:32" x14ac:dyDescent="0.3">
      <c r="A826" t="s">
        <v>141</v>
      </c>
      <c r="B826" t="s">
        <v>15</v>
      </c>
      <c r="C826">
        <v>0.28000000000000003</v>
      </c>
      <c r="D826">
        <v>331.34</v>
      </c>
      <c r="E826">
        <v>2.2000000000000002</v>
      </c>
      <c r="F826">
        <v>2.34</v>
      </c>
      <c r="G826">
        <v>0.7</v>
      </c>
      <c r="H826">
        <v>2.52</v>
      </c>
      <c r="I826">
        <v>2.3047</v>
      </c>
      <c r="J826">
        <v>72.900000000000006</v>
      </c>
      <c r="K826" t="s">
        <v>142</v>
      </c>
      <c r="L826" t="s">
        <v>46</v>
      </c>
      <c r="M826">
        <v>2</v>
      </c>
      <c r="N826">
        <v>57.744</v>
      </c>
      <c r="O826">
        <v>7</v>
      </c>
      <c r="P826" s="13">
        <v>1.88</v>
      </c>
      <c r="Q826" t="s">
        <v>52</v>
      </c>
      <c r="R826">
        <v>70</v>
      </c>
      <c r="S826">
        <v>24</v>
      </c>
      <c r="T826" t="s">
        <v>164</v>
      </c>
      <c r="U826" t="s">
        <v>164</v>
      </c>
      <c r="V826" s="7">
        <v>0.78172725481696481</v>
      </c>
      <c r="W826">
        <v>225.7</v>
      </c>
      <c r="X826">
        <v>0.21</v>
      </c>
      <c r="Y826">
        <v>3.77</v>
      </c>
      <c r="Z826">
        <v>6.8</v>
      </c>
      <c r="AA826">
        <v>5</v>
      </c>
      <c r="AB826">
        <v>25</v>
      </c>
      <c r="AC826" s="17">
        <f t="shared" si="16"/>
        <v>2</v>
      </c>
      <c r="AD826">
        <f>0.03/0.02</f>
        <v>1.5</v>
      </c>
      <c r="AE826">
        <v>20</v>
      </c>
      <c r="AF826" s="11">
        <v>0.33</v>
      </c>
    </row>
    <row r="827" spans="1:32" x14ac:dyDescent="0.3">
      <c r="A827" t="s">
        <v>141</v>
      </c>
      <c r="B827" t="s">
        <v>15</v>
      </c>
      <c r="C827">
        <v>0.28000000000000003</v>
      </c>
      <c r="D827">
        <v>331.34</v>
      </c>
      <c r="E827">
        <v>2.2000000000000002</v>
      </c>
      <c r="F827">
        <v>2.34</v>
      </c>
      <c r="G827">
        <v>0.7</v>
      </c>
      <c r="H827">
        <v>2.52</v>
      </c>
      <c r="I827">
        <v>2.3047</v>
      </c>
      <c r="J827">
        <v>72.900000000000006</v>
      </c>
      <c r="K827" t="s">
        <v>142</v>
      </c>
      <c r="L827" t="s">
        <v>46</v>
      </c>
      <c r="M827">
        <v>2</v>
      </c>
      <c r="N827">
        <v>57.744</v>
      </c>
      <c r="O827">
        <v>7</v>
      </c>
      <c r="P827" s="13">
        <v>1.88</v>
      </c>
      <c r="Q827" t="s">
        <v>52</v>
      </c>
      <c r="R827">
        <v>70</v>
      </c>
      <c r="S827">
        <v>24</v>
      </c>
      <c r="T827" t="s">
        <v>164</v>
      </c>
      <c r="U827" t="s">
        <v>164</v>
      </c>
      <c r="V827" s="7">
        <v>0.78172725481696481</v>
      </c>
      <c r="W827">
        <v>225.7</v>
      </c>
      <c r="X827">
        <v>0.21</v>
      </c>
      <c r="Y827">
        <v>3.77</v>
      </c>
      <c r="Z827">
        <v>6.8</v>
      </c>
      <c r="AA827">
        <v>5</v>
      </c>
      <c r="AB827">
        <v>25</v>
      </c>
      <c r="AC827" s="17">
        <f t="shared" si="16"/>
        <v>2</v>
      </c>
      <c r="AD827">
        <f>0.05/0.02</f>
        <v>2.5</v>
      </c>
      <c r="AE827">
        <v>20</v>
      </c>
      <c r="AF827" s="11">
        <v>0.4</v>
      </c>
    </row>
    <row r="828" spans="1:32" x14ac:dyDescent="0.3">
      <c r="A828" t="s">
        <v>141</v>
      </c>
      <c r="B828" t="s">
        <v>15</v>
      </c>
      <c r="C828">
        <v>0.28000000000000003</v>
      </c>
      <c r="D828">
        <v>331.34</v>
      </c>
      <c r="E828">
        <v>2.2000000000000002</v>
      </c>
      <c r="F828">
        <v>2.34</v>
      </c>
      <c r="G828">
        <v>0.7</v>
      </c>
      <c r="H828">
        <v>2.52</v>
      </c>
      <c r="I828">
        <v>2.3047</v>
      </c>
      <c r="J828">
        <v>72.900000000000006</v>
      </c>
      <c r="K828" t="s">
        <v>142</v>
      </c>
      <c r="L828" t="s">
        <v>46</v>
      </c>
      <c r="M828">
        <v>2</v>
      </c>
      <c r="N828">
        <v>57.744</v>
      </c>
      <c r="O828">
        <v>7</v>
      </c>
      <c r="P828" s="13">
        <v>1.88</v>
      </c>
      <c r="Q828" t="s">
        <v>52</v>
      </c>
      <c r="R828">
        <v>70</v>
      </c>
      <c r="S828">
        <v>24</v>
      </c>
      <c r="T828" t="s">
        <v>164</v>
      </c>
      <c r="U828" t="s">
        <v>164</v>
      </c>
      <c r="V828" s="7">
        <v>0.78172725481696481</v>
      </c>
      <c r="W828">
        <v>225.7</v>
      </c>
      <c r="X828">
        <v>0.21</v>
      </c>
      <c r="Y828">
        <v>3.77</v>
      </c>
      <c r="Z828">
        <v>6.8</v>
      </c>
      <c r="AA828">
        <v>5</v>
      </c>
      <c r="AB828">
        <v>25</v>
      </c>
      <c r="AC828" s="17">
        <f t="shared" si="16"/>
        <v>2</v>
      </c>
      <c r="AD828">
        <f>0.07/0.02</f>
        <v>3.5000000000000004</v>
      </c>
      <c r="AE828">
        <v>20</v>
      </c>
      <c r="AF828" s="11">
        <v>0.36</v>
      </c>
    </row>
    <row r="829" spans="1:32" x14ac:dyDescent="0.3">
      <c r="A829" t="s">
        <v>141</v>
      </c>
      <c r="B829" t="s">
        <v>15</v>
      </c>
      <c r="C829">
        <v>0.28000000000000003</v>
      </c>
      <c r="D829">
        <v>331.34</v>
      </c>
      <c r="E829">
        <v>2.2000000000000002</v>
      </c>
      <c r="F829">
        <v>2.34</v>
      </c>
      <c r="G829">
        <v>0.7</v>
      </c>
      <c r="H829">
        <v>2.52</v>
      </c>
      <c r="I829">
        <v>2.3047</v>
      </c>
      <c r="J829">
        <v>72.900000000000006</v>
      </c>
      <c r="K829" t="s">
        <v>142</v>
      </c>
      <c r="L829" t="s">
        <v>46</v>
      </c>
      <c r="M829">
        <v>2</v>
      </c>
      <c r="N829">
        <v>57.744</v>
      </c>
      <c r="O829">
        <v>7</v>
      </c>
      <c r="P829" s="13">
        <v>1.88</v>
      </c>
      <c r="Q829" t="s">
        <v>52</v>
      </c>
      <c r="R829">
        <v>70</v>
      </c>
      <c r="S829">
        <v>24</v>
      </c>
      <c r="T829" t="s">
        <v>164</v>
      </c>
      <c r="U829" t="s">
        <v>164</v>
      </c>
      <c r="V829" s="7">
        <v>0.78172725481696481</v>
      </c>
      <c r="W829">
        <v>225.7</v>
      </c>
      <c r="X829">
        <v>0.21</v>
      </c>
      <c r="Y829">
        <v>3.77</v>
      </c>
      <c r="Z829">
        <v>6.8</v>
      </c>
      <c r="AA829">
        <v>5</v>
      </c>
      <c r="AB829">
        <v>25</v>
      </c>
      <c r="AC829" s="17">
        <f t="shared" si="16"/>
        <v>2</v>
      </c>
      <c r="AD829">
        <f>0.1/0.02</f>
        <v>5</v>
      </c>
      <c r="AE829">
        <v>20</v>
      </c>
      <c r="AF829" s="11">
        <v>0.24</v>
      </c>
    </row>
    <row r="830" spans="1:32" x14ac:dyDescent="0.3">
      <c r="A830" t="s">
        <v>141</v>
      </c>
      <c r="B830" t="s">
        <v>15</v>
      </c>
      <c r="C830">
        <v>0.28000000000000003</v>
      </c>
      <c r="D830">
        <v>331.34</v>
      </c>
      <c r="E830">
        <v>2.2000000000000002</v>
      </c>
      <c r="F830">
        <v>2.34</v>
      </c>
      <c r="G830">
        <v>0.7</v>
      </c>
      <c r="H830">
        <v>2.52</v>
      </c>
      <c r="I830">
        <v>2.3047</v>
      </c>
      <c r="J830">
        <v>72.900000000000006</v>
      </c>
      <c r="K830" t="s">
        <v>142</v>
      </c>
      <c r="L830" t="s">
        <v>46</v>
      </c>
      <c r="M830">
        <v>2</v>
      </c>
      <c r="N830">
        <v>57.744</v>
      </c>
      <c r="O830">
        <v>7</v>
      </c>
      <c r="P830" s="13">
        <v>1.88</v>
      </c>
      <c r="Q830" t="s">
        <v>52</v>
      </c>
      <c r="R830">
        <v>70</v>
      </c>
      <c r="S830">
        <v>24</v>
      </c>
      <c r="T830" t="s">
        <v>164</v>
      </c>
      <c r="U830" t="s">
        <v>164</v>
      </c>
      <c r="V830" s="7">
        <v>0.78172725481696481</v>
      </c>
      <c r="W830">
        <v>225.7</v>
      </c>
      <c r="X830">
        <v>0.21</v>
      </c>
      <c r="Y830">
        <v>3.77</v>
      </c>
      <c r="Z830">
        <v>6.8</v>
      </c>
      <c r="AA830">
        <v>5</v>
      </c>
      <c r="AB830">
        <v>25</v>
      </c>
      <c r="AC830" s="17">
        <v>8.3000000000000004E-2</v>
      </c>
      <c r="AD830">
        <f>0.05/0.05</f>
        <v>1</v>
      </c>
      <c r="AE830">
        <v>50</v>
      </c>
      <c r="AF830" s="11">
        <v>0.04</v>
      </c>
    </row>
    <row r="831" spans="1:32" x14ac:dyDescent="0.3">
      <c r="A831" t="s">
        <v>141</v>
      </c>
      <c r="B831" t="s">
        <v>15</v>
      </c>
      <c r="C831">
        <v>0.28000000000000003</v>
      </c>
      <c r="D831">
        <v>331.34</v>
      </c>
      <c r="E831">
        <v>2.2000000000000002</v>
      </c>
      <c r="F831">
        <v>2.34</v>
      </c>
      <c r="G831">
        <v>0.7</v>
      </c>
      <c r="H831">
        <v>2.52</v>
      </c>
      <c r="I831">
        <v>2.3047</v>
      </c>
      <c r="J831">
        <v>72.900000000000006</v>
      </c>
      <c r="K831" t="s">
        <v>142</v>
      </c>
      <c r="L831" t="s">
        <v>46</v>
      </c>
      <c r="M831">
        <v>2</v>
      </c>
      <c r="N831">
        <v>57.744</v>
      </c>
      <c r="O831">
        <v>7</v>
      </c>
      <c r="P831" s="13">
        <v>1.88</v>
      </c>
      <c r="Q831" t="s">
        <v>52</v>
      </c>
      <c r="R831">
        <v>70</v>
      </c>
      <c r="S831">
        <v>24</v>
      </c>
      <c r="T831" t="s">
        <v>164</v>
      </c>
      <c r="U831" t="s">
        <v>164</v>
      </c>
      <c r="V831" s="7">
        <v>0.78172725481696481</v>
      </c>
      <c r="W831">
        <v>225.7</v>
      </c>
      <c r="X831">
        <v>0.21</v>
      </c>
      <c r="Y831">
        <v>3.77</v>
      </c>
      <c r="Z831">
        <v>6.8</v>
      </c>
      <c r="AA831">
        <v>5</v>
      </c>
      <c r="AB831">
        <v>25</v>
      </c>
      <c r="AC831" s="17">
        <v>0.16700000000000001</v>
      </c>
      <c r="AD831">
        <f t="shared" ref="AD831:AD838" si="18">0.05/0.05</f>
        <v>1</v>
      </c>
      <c r="AE831">
        <v>50</v>
      </c>
      <c r="AF831" s="11">
        <v>0.08</v>
      </c>
    </row>
    <row r="832" spans="1:32" x14ac:dyDescent="0.3">
      <c r="A832" t="s">
        <v>141</v>
      </c>
      <c r="B832" t="s">
        <v>15</v>
      </c>
      <c r="C832">
        <v>0.28000000000000003</v>
      </c>
      <c r="D832">
        <v>331.34</v>
      </c>
      <c r="E832">
        <v>2.2000000000000002</v>
      </c>
      <c r="F832">
        <v>2.34</v>
      </c>
      <c r="G832">
        <v>0.7</v>
      </c>
      <c r="H832">
        <v>2.52</v>
      </c>
      <c r="I832">
        <v>2.3047</v>
      </c>
      <c r="J832">
        <v>72.900000000000006</v>
      </c>
      <c r="K832" t="s">
        <v>142</v>
      </c>
      <c r="L832" t="s">
        <v>46</v>
      </c>
      <c r="M832">
        <v>2</v>
      </c>
      <c r="N832">
        <v>57.744</v>
      </c>
      <c r="O832">
        <v>7</v>
      </c>
      <c r="P832" s="13">
        <v>1.88</v>
      </c>
      <c r="Q832" t="s">
        <v>52</v>
      </c>
      <c r="R832">
        <v>70</v>
      </c>
      <c r="S832">
        <v>24</v>
      </c>
      <c r="T832" t="s">
        <v>164</v>
      </c>
      <c r="U832" t="s">
        <v>164</v>
      </c>
      <c r="V832" s="7">
        <v>0.78172725481696481</v>
      </c>
      <c r="W832">
        <v>225.7</v>
      </c>
      <c r="X832">
        <v>0.21</v>
      </c>
      <c r="Y832">
        <v>3.77</v>
      </c>
      <c r="Z832">
        <v>6.8</v>
      </c>
      <c r="AA832">
        <v>5</v>
      </c>
      <c r="AB832">
        <v>25</v>
      </c>
      <c r="AC832" s="17">
        <v>0.25</v>
      </c>
      <c r="AD832">
        <f t="shared" si="18"/>
        <v>1</v>
      </c>
      <c r="AE832">
        <v>50</v>
      </c>
      <c r="AF832" s="11">
        <v>0.12</v>
      </c>
    </row>
    <row r="833" spans="1:32" x14ac:dyDescent="0.3">
      <c r="A833" t="s">
        <v>141</v>
      </c>
      <c r="B833" t="s">
        <v>15</v>
      </c>
      <c r="C833">
        <v>0.28000000000000003</v>
      </c>
      <c r="D833">
        <v>331.34</v>
      </c>
      <c r="E833">
        <v>2.2000000000000002</v>
      </c>
      <c r="F833">
        <v>2.34</v>
      </c>
      <c r="G833">
        <v>0.7</v>
      </c>
      <c r="H833">
        <v>2.52</v>
      </c>
      <c r="I833">
        <v>2.3047</v>
      </c>
      <c r="J833">
        <v>72.900000000000006</v>
      </c>
      <c r="K833" t="s">
        <v>142</v>
      </c>
      <c r="L833" t="s">
        <v>46</v>
      </c>
      <c r="M833">
        <v>2</v>
      </c>
      <c r="N833">
        <v>57.744</v>
      </c>
      <c r="O833">
        <v>7</v>
      </c>
      <c r="P833" s="13">
        <v>1.88</v>
      </c>
      <c r="Q833" t="s">
        <v>52</v>
      </c>
      <c r="R833">
        <v>70</v>
      </c>
      <c r="S833">
        <v>24</v>
      </c>
      <c r="T833" t="s">
        <v>164</v>
      </c>
      <c r="U833" t="s">
        <v>164</v>
      </c>
      <c r="V833" s="7">
        <v>0.78172725481696481</v>
      </c>
      <c r="W833">
        <v>225.7</v>
      </c>
      <c r="X833">
        <v>0.21</v>
      </c>
      <c r="Y833">
        <v>3.77</v>
      </c>
      <c r="Z833">
        <v>6.8</v>
      </c>
      <c r="AA833">
        <v>5</v>
      </c>
      <c r="AB833">
        <v>25</v>
      </c>
      <c r="AC833" s="17">
        <v>0.5</v>
      </c>
      <c r="AD833">
        <f t="shared" si="18"/>
        <v>1</v>
      </c>
      <c r="AE833">
        <v>50</v>
      </c>
      <c r="AF833" s="11">
        <v>0.2</v>
      </c>
    </row>
    <row r="834" spans="1:32" x14ac:dyDescent="0.3">
      <c r="A834" t="s">
        <v>141</v>
      </c>
      <c r="B834" t="s">
        <v>15</v>
      </c>
      <c r="C834">
        <v>0.28000000000000003</v>
      </c>
      <c r="D834">
        <v>331.34</v>
      </c>
      <c r="E834">
        <v>2.2000000000000002</v>
      </c>
      <c r="F834">
        <v>2.34</v>
      </c>
      <c r="G834">
        <v>0.7</v>
      </c>
      <c r="H834">
        <v>2.52</v>
      </c>
      <c r="I834">
        <v>2.3047</v>
      </c>
      <c r="J834">
        <v>72.900000000000006</v>
      </c>
      <c r="K834" t="s">
        <v>142</v>
      </c>
      <c r="L834" t="s">
        <v>46</v>
      </c>
      <c r="M834">
        <v>2</v>
      </c>
      <c r="N834">
        <v>57.744</v>
      </c>
      <c r="O834">
        <v>7</v>
      </c>
      <c r="P834" s="13">
        <v>1.88</v>
      </c>
      <c r="Q834" t="s">
        <v>52</v>
      </c>
      <c r="R834">
        <v>70</v>
      </c>
      <c r="S834">
        <v>24</v>
      </c>
      <c r="T834" t="s">
        <v>164</v>
      </c>
      <c r="U834" t="s">
        <v>164</v>
      </c>
      <c r="V834" s="7">
        <v>0.78172725481696481</v>
      </c>
      <c r="W834">
        <v>225.7</v>
      </c>
      <c r="X834">
        <v>0.21</v>
      </c>
      <c r="Y834">
        <v>3.77</v>
      </c>
      <c r="Z834">
        <v>6.8</v>
      </c>
      <c r="AA834">
        <v>5</v>
      </c>
      <c r="AB834">
        <v>25</v>
      </c>
      <c r="AC834" s="17">
        <v>0.75</v>
      </c>
      <c r="AD834">
        <f t="shared" si="18"/>
        <v>1</v>
      </c>
      <c r="AE834">
        <v>50</v>
      </c>
      <c r="AF834" s="11">
        <v>0.28000000000000003</v>
      </c>
    </row>
    <row r="835" spans="1:32" x14ac:dyDescent="0.3">
      <c r="A835" t="s">
        <v>141</v>
      </c>
      <c r="B835" t="s">
        <v>15</v>
      </c>
      <c r="C835">
        <v>0.28000000000000003</v>
      </c>
      <c r="D835">
        <v>331.34</v>
      </c>
      <c r="E835">
        <v>2.2000000000000002</v>
      </c>
      <c r="F835">
        <v>2.34</v>
      </c>
      <c r="G835">
        <v>0.7</v>
      </c>
      <c r="H835">
        <v>2.52</v>
      </c>
      <c r="I835">
        <v>2.3047</v>
      </c>
      <c r="J835">
        <v>72.900000000000006</v>
      </c>
      <c r="K835" t="s">
        <v>142</v>
      </c>
      <c r="L835" t="s">
        <v>46</v>
      </c>
      <c r="M835">
        <v>2</v>
      </c>
      <c r="N835">
        <v>57.744</v>
      </c>
      <c r="O835">
        <v>7</v>
      </c>
      <c r="P835" s="13">
        <v>1.88</v>
      </c>
      <c r="Q835" t="s">
        <v>52</v>
      </c>
      <c r="R835">
        <v>70</v>
      </c>
      <c r="S835">
        <v>24</v>
      </c>
      <c r="T835" t="s">
        <v>164</v>
      </c>
      <c r="U835" t="s">
        <v>164</v>
      </c>
      <c r="V835" s="7">
        <v>0.78172725481696481</v>
      </c>
      <c r="W835">
        <v>225.7</v>
      </c>
      <c r="X835">
        <v>0.21</v>
      </c>
      <c r="Y835">
        <v>3.77</v>
      </c>
      <c r="Z835">
        <v>6.8</v>
      </c>
      <c r="AA835">
        <v>5</v>
      </c>
      <c r="AB835">
        <v>25</v>
      </c>
      <c r="AC835" s="17">
        <v>1</v>
      </c>
      <c r="AD835">
        <f t="shared" si="18"/>
        <v>1</v>
      </c>
      <c r="AE835">
        <v>50</v>
      </c>
      <c r="AF835" s="11">
        <v>0.36</v>
      </c>
    </row>
    <row r="836" spans="1:32" x14ac:dyDescent="0.3">
      <c r="A836" t="s">
        <v>141</v>
      </c>
      <c r="B836" t="s">
        <v>15</v>
      </c>
      <c r="C836">
        <v>0.28000000000000003</v>
      </c>
      <c r="D836">
        <v>331.34</v>
      </c>
      <c r="E836">
        <v>2.2000000000000002</v>
      </c>
      <c r="F836">
        <v>2.34</v>
      </c>
      <c r="G836">
        <v>0.7</v>
      </c>
      <c r="H836">
        <v>2.52</v>
      </c>
      <c r="I836">
        <v>2.3047</v>
      </c>
      <c r="J836">
        <v>72.900000000000006</v>
      </c>
      <c r="K836" t="s">
        <v>142</v>
      </c>
      <c r="L836" t="s">
        <v>46</v>
      </c>
      <c r="M836">
        <v>2</v>
      </c>
      <c r="N836">
        <v>57.744</v>
      </c>
      <c r="O836">
        <v>7</v>
      </c>
      <c r="P836" s="13">
        <v>1.88</v>
      </c>
      <c r="Q836" t="s">
        <v>52</v>
      </c>
      <c r="R836">
        <v>70</v>
      </c>
      <c r="S836">
        <v>24</v>
      </c>
      <c r="T836" t="s">
        <v>164</v>
      </c>
      <c r="U836" t="s">
        <v>164</v>
      </c>
      <c r="V836" s="7">
        <v>0.78172725481696481</v>
      </c>
      <c r="W836">
        <v>225.7</v>
      </c>
      <c r="X836">
        <v>0.21</v>
      </c>
      <c r="Y836">
        <v>3.77</v>
      </c>
      <c r="Z836">
        <v>6.8</v>
      </c>
      <c r="AA836">
        <v>5</v>
      </c>
      <c r="AB836">
        <v>25</v>
      </c>
      <c r="AC836" s="17">
        <v>2</v>
      </c>
      <c r="AD836">
        <f t="shared" si="18"/>
        <v>1</v>
      </c>
      <c r="AE836">
        <v>50</v>
      </c>
      <c r="AF836" s="11">
        <v>0.48</v>
      </c>
    </row>
    <row r="837" spans="1:32" x14ac:dyDescent="0.3">
      <c r="A837" t="s">
        <v>141</v>
      </c>
      <c r="B837" t="s">
        <v>15</v>
      </c>
      <c r="C837">
        <v>0.28000000000000003</v>
      </c>
      <c r="D837">
        <v>331.34</v>
      </c>
      <c r="E837">
        <v>2.2000000000000002</v>
      </c>
      <c r="F837">
        <v>2.34</v>
      </c>
      <c r="G837">
        <v>0.7</v>
      </c>
      <c r="H837">
        <v>2.52</v>
      </c>
      <c r="I837">
        <v>2.3047</v>
      </c>
      <c r="J837">
        <v>72.900000000000006</v>
      </c>
      <c r="K837" t="s">
        <v>142</v>
      </c>
      <c r="L837" t="s">
        <v>46</v>
      </c>
      <c r="M837">
        <v>2</v>
      </c>
      <c r="N837">
        <v>57.744</v>
      </c>
      <c r="O837">
        <v>7</v>
      </c>
      <c r="P837" s="13">
        <v>1.88</v>
      </c>
      <c r="Q837" t="s">
        <v>52</v>
      </c>
      <c r="R837">
        <v>70</v>
      </c>
      <c r="S837">
        <v>24</v>
      </c>
      <c r="T837" t="s">
        <v>164</v>
      </c>
      <c r="U837" t="s">
        <v>164</v>
      </c>
      <c r="V837" s="7">
        <v>0.78172725481696481</v>
      </c>
      <c r="W837">
        <v>225.7</v>
      </c>
      <c r="X837">
        <v>0.21</v>
      </c>
      <c r="Y837">
        <v>3.77</v>
      </c>
      <c r="Z837">
        <v>6.8</v>
      </c>
      <c r="AA837">
        <v>5</v>
      </c>
      <c r="AB837">
        <v>25</v>
      </c>
      <c r="AC837" s="17">
        <v>4</v>
      </c>
      <c r="AD837">
        <f t="shared" si="18"/>
        <v>1</v>
      </c>
      <c r="AE837">
        <v>50</v>
      </c>
      <c r="AF837" s="11">
        <v>0.48</v>
      </c>
    </row>
    <row r="838" spans="1:32" x14ac:dyDescent="0.3">
      <c r="A838" t="s">
        <v>141</v>
      </c>
      <c r="B838" t="s">
        <v>15</v>
      </c>
      <c r="C838">
        <v>0.28000000000000003</v>
      </c>
      <c r="D838">
        <v>331.34</v>
      </c>
      <c r="E838">
        <v>2.2000000000000002</v>
      </c>
      <c r="F838">
        <v>2.34</v>
      </c>
      <c r="G838">
        <v>0.7</v>
      </c>
      <c r="H838">
        <v>2.52</v>
      </c>
      <c r="I838">
        <v>2.3047</v>
      </c>
      <c r="J838">
        <v>72.900000000000006</v>
      </c>
      <c r="K838" t="s">
        <v>142</v>
      </c>
      <c r="L838" t="s">
        <v>46</v>
      </c>
      <c r="M838">
        <v>2</v>
      </c>
      <c r="N838">
        <v>57.744</v>
      </c>
      <c r="O838">
        <v>7</v>
      </c>
      <c r="P838" s="13">
        <v>1.88</v>
      </c>
      <c r="Q838" t="s">
        <v>52</v>
      </c>
      <c r="R838">
        <v>70</v>
      </c>
      <c r="S838">
        <v>24</v>
      </c>
      <c r="T838" t="s">
        <v>164</v>
      </c>
      <c r="U838" t="s">
        <v>164</v>
      </c>
      <c r="V838" s="7">
        <v>0.78172725481696481</v>
      </c>
      <c r="W838">
        <v>225.7</v>
      </c>
      <c r="X838">
        <v>0.21</v>
      </c>
      <c r="Y838">
        <v>3.77</v>
      </c>
      <c r="Z838">
        <v>6.8</v>
      </c>
      <c r="AA838">
        <v>5</v>
      </c>
      <c r="AB838">
        <v>25</v>
      </c>
      <c r="AC838" s="17">
        <v>5</v>
      </c>
      <c r="AD838">
        <f t="shared" si="18"/>
        <v>1</v>
      </c>
      <c r="AE838">
        <v>50</v>
      </c>
      <c r="AF838" s="11">
        <v>0.48</v>
      </c>
    </row>
    <row r="839" spans="1:32" x14ac:dyDescent="0.3">
      <c r="A839" t="s">
        <v>141</v>
      </c>
      <c r="B839" t="s">
        <v>15</v>
      </c>
      <c r="C839">
        <v>0.28000000000000003</v>
      </c>
      <c r="D839">
        <v>331.34</v>
      </c>
      <c r="E839">
        <v>2.2000000000000002</v>
      </c>
      <c r="F839">
        <v>2.34</v>
      </c>
      <c r="G839">
        <v>0.7</v>
      </c>
      <c r="H839">
        <v>2.52</v>
      </c>
      <c r="I839">
        <v>2.3047</v>
      </c>
      <c r="J839">
        <v>72.900000000000006</v>
      </c>
      <c r="K839" t="s">
        <v>142</v>
      </c>
      <c r="L839" t="s">
        <v>46</v>
      </c>
      <c r="M839">
        <v>2</v>
      </c>
      <c r="N839">
        <v>57.744</v>
      </c>
      <c r="O839">
        <v>7</v>
      </c>
      <c r="P839" s="13">
        <v>1.88</v>
      </c>
      <c r="Q839" t="s">
        <v>52</v>
      </c>
      <c r="R839">
        <v>70</v>
      </c>
      <c r="S839">
        <v>24</v>
      </c>
      <c r="T839" t="s">
        <v>164</v>
      </c>
      <c r="U839" t="s">
        <v>164</v>
      </c>
      <c r="V839" s="7">
        <v>0.78172725481696481</v>
      </c>
      <c r="W839">
        <v>225.7</v>
      </c>
      <c r="X839">
        <v>0.21</v>
      </c>
      <c r="Y839">
        <v>3.77</v>
      </c>
      <c r="Z839">
        <v>6.8</v>
      </c>
      <c r="AA839">
        <v>5</v>
      </c>
      <c r="AB839">
        <v>25</v>
      </c>
      <c r="AC839" s="17">
        <f>120/60</f>
        <v>2</v>
      </c>
      <c r="AD839">
        <f>0.05/0.02</f>
        <v>2.5</v>
      </c>
      <c r="AE839">
        <v>56</v>
      </c>
      <c r="AF839" s="11">
        <v>0.8928571428571429</v>
      </c>
    </row>
    <row r="840" spans="1:32" x14ac:dyDescent="0.3">
      <c r="A840" t="s">
        <v>141</v>
      </c>
      <c r="B840" t="s">
        <v>15</v>
      </c>
      <c r="C840">
        <v>0.28000000000000003</v>
      </c>
      <c r="D840">
        <v>331.34</v>
      </c>
      <c r="E840">
        <v>2.2000000000000002</v>
      </c>
      <c r="F840">
        <v>2.34</v>
      </c>
      <c r="G840">
        <v>0.7</v>
      </c>
      <c r="H840">
        <v>2.52</v>
      </c>
      <c r="I840">
        <v>2.3047</v>
      </c>
      <c r="J840">
        <v>72.900000000000006</v>
      </c>
      <c r="K840" t="s">
        <v>142</v>
      </c>
      <c r="L840" t="s">
        <v>46</v>
      </c>
      <c r="M840">
        <v>2</v>
      </c>
      <c r="N840">
        <v>57.744</v>
      </c>
      <c r="O840">
        <v>7</v>
      </c>
      <c r="P840" s="13">
        <v>1.88</v>
      </c>
      <c r="Q840" t="s">
        <v>52</v>
      </c>
      <c r="R840">
        <v>70</v>
      </c>
      <c r="S840">
        <v>24</v>
      </c>
      <c r="T840" t="s">
        <v>164</v>
      </c>
      <c r="U840" t="s">
        <v>164</v>
      </c>
      <c r="V840" s="7">
        <v>0.78172725481696481</v>
      </c>
      <c r="W840">
        <v>225.7</v>
      </c>
      <c r="X840">
        <v>0.21</v>
      </c>
      <c r="Y840">
        <v>3.77</v>
      </c>
      <c r="Z840">
        <v>6.8</v>
      </c>
      <c r="AA840">
        <v>5</v>
      </c>
      <c r="AB840">
        <v>25</v>
      </c>
      <c r="AC840" s="17">
        <f t="shared" ref="AC840:AC845" si="19">120/60</f>
        <v>2</v>
      </c>
      <c r="AD840">
        <f t="shared" ref="AD840:AD845" si="20">0.05/0.02</f>
        <v>2.5</v>
      </c>
      <c r="AE840">
        <v>61</v>
      </c>
      <c r="AF840" s="11">
        <v>0.81967213114754101</v>
      </c>
    </row>
    <row r="841" spans="1:32" x14ac:dyDescent="0.3">
      <c r="A841" t="s">
        <v>141</v>
      </c>
      <c r="B841" t="s">
        <v>15</v>
      </c>
      <c r="C841">
        <v>0.28000000000000003</v>
      </c>
      <c r="D841">
        <v>331.34</v>
      </c>
      <c r="E841">
        <v>2.2000000000000002</v>
      </c>
      <c r="F841">
        <v>2.34</v>
      </c>
      <c r="G841">
        <v>0.7</v>
      </c>
      <c r="H841">
        <v>2.52</v>
      </c>
      <c r="I841">
        <v>2.3047</v>
      </c>
      <c r="J841">
        <v>72.900000000000006</v>
      </c>
      <c r="K841" t="s">
        <v>142</v>
      </c>
      <c r="L841" t="s">
        <v>46</v>
      </c>
      <c r="M841">
        <v>2</v>
      </c>
      <c r="N841">
        <v>57.744</v>
      </c>
      <c r="O841">
        <v>7</v>
      </c>
      <c r="P841" s="13">
        <v>1.88</v>
      </c>
      <c r="Q841" t="s">
        <v>52</v>
      </c>
      <c r="R841">
        <v>70</v>
      </c>
      <c r="S841">
        <v>24</v>
      </c>
      <c r="T841" t="s">
        <v>164</v>
      </c>
      <c r="U841" t="s">
        <v>164</v>
      </c>
      <c r="V841" s="7">
        <v>0.78172725481696481</v>
      </c>
      <c r="W841">
        <v>225.7</v>
      </c>
      <c r="X841">
        <v>0.21</v>
      </c>
      <c r="Y841">
        <v>3.77</v>
      </c>
      <c r="Z841">
        <v>6.8</v>
      </c>
      <c r="AA841">
        <v>5</v>
      </c>
      <c r="AB841">
        <v>25</v>
      </c>
      <c r="AC841" s="17">
        <f t="shared" si="19"/>
        <v>2</v>
      </c>
      <c r="AD841">
        <f t="shared" si="20"/>
        <v>2.5</v>
      </c>
      <c r="AE841">
        <v>172</v>
      </c>
      <c r="AF841" s="11">
        <v>0.81395348837209303</v>
      </c>
    </row>
    <row r="842" spans="1:32" x14ac:dyDescent="0.3">
      <c r="A842" t="s">
        <v>141</v>
      </c>
      <c r="B842" t="s">
        <v>15</v>
      </c>
      <c r="C842">
        <v>0.28000000000000003</v>
      </c>
      <c r="D842">
        <v>331.34</v>
      </c>
      <c r="E842">
        <v>2.2000000000000002</v>
      </c>
      <c r="F842">
        <v>2.34</v>
      </c>
      <c r="G842">
        <v>0.7</v>
      </c>
      <c r="H842">
        <v>2.52</v>
      </c>
      <c r="I842">
        <v>2.3047</v>
      </c>
      <c r="J842">
        <v>72.900000000000006</v>
      </c>
      <c r="K842" t="s">
        <v>142</v>
      </c>
      <c r="L842" t="s">
        <v>46</v>
      </c>
      <c r="M842">
        <v>2</v>
      </c>
      <c r="N842">
        <v>57.744</v>
      </c>
      <c r="O842">
        <v>7</v>
      </c>
      <c r="P842" s="13">
        <v>1.88</v>
      </c>
      <c r="Q842" t="s">
        <v>52</v>
      </c>
      <c r="R842">
        <v>70</v>
      </c>
      <c r="S842">
        <v>24</v>
      </c>
      <c r="T842" t="s">
        <v>164</v>
      </c>
      <c r="U842" t="s">
        <v>164</v>
      </c>
      <c r="V842" s="7">
        <v>0.78172725481696481</v>
      </c>
      <c r="W842">
        <v>225.7</v>
      </c>
      <c r="X842">
        <v>0.21</v>
      </c>
      <c r="Y842">
        <v>3.77</v>
      </c>
      <c r="Z842">
        <v>6.8</v>
      </c>
      <c r="AA842">
        <v>5</v>
      </c>
      <c r="AB842">
        <v>25</v>
      </c>
      <c r="AC842" s="17">
        <f t="shared" si="19"/>
        <v>2</v>
      </c>
      <c r="AD842">
        <f t="shared" si="20"/>
        <v>2.5</v>
      </c>
      <c r="AE842">
        <v>244</v>
      </c>
      <c r="AF842" s="11">
        <v>0.67622950819672134</v>
      </c>
    </row>
    <row r="843" spans="1:32" x14ac:dyDescent="0.3">
      <c r="A843" t="s">
        <v>141</v>
      </c>
      <c r="B843" t="s">
        <v>15</v>
      </c>
      <c r="C843">
        <v>0.28000000000000003</v>
      </c>
      <c r="D843">
        <v>331.34</v>
      </c>
      <c r="E843">
        <v>2.2000000000000002</v>
      </c>
      <c r="F843">
        <v>2.34</v>
      </c>
      <c r="G843">
        <v>0.7</v>
      </c>
      <c r="H843">
        <v>2.52</v>
      </c>
      <c r="I843">
        <v>2.3047</v>
      </c>
      <c r="J843">
        <v>72.900000000000006</v>
      </c>
      <c r="K843" t="s">
        <v>142</v>
      </c>
      <c r="L843" t="s">
        <v>46</v>
      </c>
      <c r="M843">
        <v>2</v>
      </c>
      <c r="N843">
        <v>57.744</v>
      </c>
      <c r="O843">
        <v>7</v>
      </c>
      <c r="P843" s="13">
        <v>1.88</v>
      </c>
      <c r="Q843" t="s">
        <v>52</v>
      </c>
      <c r="R843">
        <v>70</v>
      </c>
      <c r="S843">
        <v>24</v>
      </c>
      <c r="T843" t="s">
        <v>164</v>
      </c>
      <c r="U843" t="s">
        <v>164</v>
      </c>
      <c r="V843" s="7">
        <v>0.78172725481696481</v>
      </c>
      <c r="W843">
        <v>225.7</v>
      </c>
      <c r="X843">
        <v>0.21</v>
      </c>
      <c r="Y843">
        <v>3.77</v>
      </c>
      <c r="Z843">
        <v>6.8</v>
      </c>
      <c r="AA843">
        <v>5</v>
      </c>
      <c r="AB843">
        <v>25</v>
      </c>
      <c r="AC843" s="17">
        <f t="shared" si="19"/>
        <v>2</v>
      </c>
      <c r="AD843">
        <f t="shared" si="20"/>
        <v>2.5</v>
      </c>
      <c r="AE843" s="9">
        <v>339.5</v>
      </c>
      <c r="AF843" s="11">
        <v>0.58173784977908694</v>
      </c>
    </row>
    <row r="844" spans="1:32" x14ac:dyDescent="0.3">
      <c r="A844" t="s">
        <v>141</v>
      </c>
      <c r="B844" t="s">
        <v>15</v>
      </c>
      <c r="C844">
        <v>0.28000000000000003</v>
      </c>
      <c r="D844">
        <v>331.34</v>
      </c>
      <c r="E844">
        <v>2.2000000000000002</v>
      </c>
      <c r="F844">
        <v>2.34</v>
      </c>
      <c r="G844">
        <v>0.7</v>
      </c>
      <c r="H844">
        <v>2.52</v>
      </c>
      <c r="I844">
        <v>2.3047</v>
      </c>
      <c r="J844">
        <v>72.900000000000006</v>
      </c>
      <c r="K844" t="s">
        <v>142</v>
      </c>
      <c r="L844" t="s">
        <v>46</v>
      </c>
      <c r="M844">
        <v>2</v>
      </c>
      <c r="N844">
        <v>57.744</v>
      </c>
      <c r="O844">
        <v>7</v>
      </c>
      <c r="P844" s="13">
        <v>1.88</v>
      </c>
      <c r="Q844" t="s">
        <v>52</v>
      </c>
      <c r="R844">
        <v>70</v>
      </c>
      <c r="S844">
        <v>24</v>
      </c>
      <c r="T844" t="s">
        <v>164</v>
      </c>
      <c r="U844" t="s">
        <v>164</v>
      </c>
      <c r="V844" s="7">
        <v>0.78172725481696481</v>
      </c>
      <c r="W844">
        <v>225.7</v>
      </c>
      <c r="X844">
        <v>0.21</v>
      </c>
      <c r="Y844">
        <v>3.77</v>
      </c>
      <c r="Z844">
        <v>6.8</v>
      </c>
      <c r="AA844">
        <v>5</v>
      </c>
      <c r="AB844">
        <v>25</v>
      </c>
      <c r="AC844" s="17">
        <f t="shared" si="19"/>
        <v>2</v>
      </c>
      <c r="AD844">
        <f t="shared" si="20"/>
        <v>2.5</v>
      </c>
      <c r="AE844">
        <v>353</v>
      </c>
      <c r="AF844" s="11">
        <v>0.56657223796033995</v>
      </c>
    </row>
    <row r="845" spans="1:32" x14ac:dyDescent="0.3">
      <c r="A845" t="s">
        <v>141</v>
      </c>
      <c r="B845" t="s">
        <v>15</v>
      </c>
      <c r="C845">
        <v>0.28000000000000003</v>
      </c>
      <c r="D845">
        <v>331.34</v>
      </c>
      <c r="E845">
        <v>2.2000000000000002</v>
      </c>
      <c r="F845">
        <v>2.34</v>
      </c>
      <c r="G845">
        <v>0.7</v>
      </c>
      <c r="H845">
        <v>2.52</v>
      </c>
      <c r="I845">
        <v>2.3047</v>
      </c>
      <c r="J845">
        <v>72.900000000000006</v>
      </c>
      <c r="K845" t="s">
        <v>142</v>
      </c>
      <c r="L845" t="s">
        <v>46</v>
      </c>
      <c r="M845">
        <v>2</v>
      </c>
      <c r="N845">
        <v>57.744</v>
      </c>
      <c r="O845">
        <v>7</v>
      </c>
      <c r="P845" s="13">
        <v>1.88</v>
      </c>
      <c r="Q845" t="s">
        <v>52</v>
      </c>
      <c r="R845">
        <v>70</v>
      </c>
      <c r="S845">
        <v>24</v>
      </c>
      <c r="T845" t="s">
        <v>164</v>
      </c>
      <c r="U845" t="s">
        <v>164</v>
      </c>
      <c r="V845" s="7">
        <v>0.78172725481696481</v>
      </c>
      <c r="W845">
        <v>225.7</v>
      </c>
      <c r="X845">
        <v>0.21</v>
      </c>
      <c r="Y845">
        <v>3.77</v>
      </c>
      <c r="Z845">
        <v>6.8</v>
      </c>
      <c r="AA845">
        <v>5</v>
      </c>
      <c r="AB845">
        <v>25</v>
      </c>
      <c r="AC845" s="17">
        <f t="shared" si="19"/>
        <v>2</v>
      </c>
      <c r="AD845">
        <f t="shared" si="20"/>
        <v>2.5</v>
      </c>
      <c r="AE845">
        <v>400</v>
      </c>
      <c r="AF845" s="11">
        <v>0.5</v>
      </c>
    </row>
    <row r="846" spans="1:32" x14ac:dyDescent="0.3">
      <c r="A846" t="s">
        <v>143</v>
      </c>
      <c r="B846" t="s">
        <v>15</v>
      </c>
      <c r="C846">
        <v>0.28000000000000003</v>
      </c>
      <c r="D846">
        <v>331.34</v>
      </c>
      <c r="E846">
        <v>2.2000000000000002</v>
      </c>
      <c r="F846">
        <v>2.34</v>
      </c>
      <c r="G846">
        <v>0.7</v>
      </c>
      <c r="H846">
        <v>2.52</v>
      </c>
      <c r="I846">
        <v>2.3047</v>
      </c>
      <c r="J846">
        <v>72.900000000000006</v>
      </c>
      <c r="K846" t="s">
        <v>142</v>
      </c>
      <c r="L846" t="s">
        <v>51</v>
      </c>
      <c r="M846">
        <v>4</v>
      </c>
      <c r="N846">
        <v>52.350999999999999</v>
      </c>
      <c r="O846">
        <v>6.4</v>
      </c>
      <c r="P846" s="13">
        <v>1.85</v>
      </c>
      <c r="Q846" t="s">
        <v>52</v>
      </c>
      <c r="R846">
        <v>60</v>
      </c>
      <c r="S846">
        <v>24</v>
      </c>
      <c r="T846" t="s">
        <v>164</v>
      </c>
      <c r="U846" t="s">
        <v>164</v>
      </c>
      <c r="V846" s="7">
        <v>0.75318980568751348</v>
      </c>
      <c r="W846">
        <v>0.4</v>
      </c>
      <c r="X846">
        <v>0.09</v>
      </c>
      <c r="Y846">
        <v>28.4</v>
      </c>
      <c r="Z846">
        <v>7.5</v>
      </c>
      <c r="AA846">
        <v>3</v>
      </c>
      <c r="AB846">
        <v>25</v>
      </c>
      <c r="AC846" s="19">
        <f>5/60</f>
        <v>8.3333333333333329E-2</v>
      </c>
      <c r="AD846">
        <v>0.125</v>
      </c>
      <c r="AE846">
        <v>20</v>
      </c>
      <c r="AF846" s="11">
        <v>0.52</v>
      </c>
    </row>
    <row r="847" spans="1:32" x14ac:dyDescent="0.3">
      <c r="A847" t="s">
        <v>143</v>
      </c>
      <c r="B847" t="s">
        <v>15</v>
      </c>
      <c r="C847">
        <v>0.28000000000000003</v>
      </c>
      <c r="D847">
        <v>331.34</v>
      </c>
      <c r="E847">
        <v>2.2000000000000002</v>
      </c>
      <c r="F847">
        <v>2.34</v>
      </c>
      <c r="G847">
        <v>0.7</v>
      </c>
      <c r="H847">
        <v>2.52</v>
      </c>
      <c r="I847">
        <v>2.3047</v>
      </c>
      <c r="J847">
        <v>72.900000000000006</v>
      </c>
      <c r="K847" t="s">
        <v>142</v>
      </c>
      <c r="L847" t="s">
        <v>51</v>
      </c>
      <c r="M847">
        <v>4</v>
      </c>
      <c r="N847">
        <v>52.350999999999999</v>
      </c>
      <c r="O847">
        <v>6.4</v>
      </c>
      <c r="P847">
        <v>1.85</v>
      </c>
      <c r="Q847" t="s">
        <v>52</v>
      </c>
      <c r="R847">
        <v>60</v>
      </c>
      <c r="S847">
        <v>24</v>
      </c>
      <c r="T847" t="s">
        <v>164</v>
      </c>
      <c r="U847" t="s">
        <v>164</v>
      </c>
      <c r="V847" s="7">
        <v>0.75318980568751348</v>
      </c>
      <c r="W847">
        <v>0.4</v>
      </c>
      <c r="X847">
        <v>0.09</v>
      </c>
      <c r="Y847">
        <v>28.4</v>
      </c>
      <c r="Z847">
        <v>7.5</v>
      </c>
      <c r="AA847">
        <v>5</v>
      </c>
      <c r="AB847">
        <v>25</v>
      </c>
      <c r="AC847" s="19">
        <f t="shared" ref="AC847:AC864" si="21">5/60</f>
        <v>8.3333333333333329E-2</v>
      </c>
      <c r="AD847">
        <v>0.125</v>
      </c>
      <c r="AE847">
        <v>20</v>
      </c>
      <c r="AF847" s="11">
        <v>0.6</v>
      </c>
    </row>
    <row r="848" spans="1:32" x14ac:dyDescent="0.3">
      <c r="A848" t="s">
        <v>143</v>
      </c>
      <c r="B848" t="s">
        <v>15</v>
      </c>
      <c r="C848">
        <v>0.28000000000000003</v>
      </c>
      <c r="D848">
        <v>331.34</v>
      </c>
      <c r="E848">
        <v>2.2000000000000002</v>
      </c>
      <c r="F848">
        <v>2.34</v>
      </c>
      <c r="G848">
        <v>0.7</v>
      </c>
      <c r="H848">
        <v>2.52</v>
      </c>
      <c r="I848">
        <v>2.3047</v>
      </c>
      <c r="J848">
        <v>72.900000000000006</v>
      </c>
      <c r="K848" t="s">
        <v>142</v>
      </c>
      <c r="L848" t="s">
        <v>51</v>
      </c>
      <c r="M848">
        <v>4</v>
      </c>
      <c r="N848">
        <v>52.350999999999999</v>
      </c>
      <c r="O848">
        <v>6.4</v>
      </c>
      <c r="P848">
        <v>1.85</v>
      </c>
      <c r="Q848" t="s">
        <v>52</v>
      </c>
      <c r="R848">
        <v>60</v>
      </c>
      <c r="S848">
        <v>24</v>
      </c>
      <c r="T848" t="s">
        <v>164</v>
      </c>
      <c r="U848" t="s">
        <v>164</v>
      </c>
      <c r="V848" s="7">
        <v>0.75318980568751348</v>
      </c>
      <c r="W848">
        <v>0.4</v>
      </c>
      <c r="X848">
        <v>0.09</v>
      </c>
      <c r="Y848">
        <v>28.4</v>
      </c>
      <c r="Z848">
        <v>7.5</v>
      </c>
      <c r="AA848">
        <v>7</v>
      </c>
      <c r="AB848">
        <v>25</v>
      </c>
      <c r="AC848" s="19">
        <f t="shared" si="21"/>
        <v>8.3333333333333329E-2</v>
      </c>
      <c r="AD848">
        <v>0.125</v>
      </c>
      <c r="AE848">
        <v>20</v>
      </c>
      <c r="AF848" s="11">
        <v>0.7</v>
      </c>
    </row>
    <row r="849" spans="1:32" x14ac:dyDescent="0.3">
      <c r="A849" t="s">
        <v>143</v>
      </c>
      <c r="B849" t="s">
        <v>15</v>
      </c>
      <c r="C849">
        <v>0.28000000000000003</v>
      </c>
      <c r="D849">
        <v>331.34</v>
      </c>
      <c r="E849">
        <v>2.2000000000000002</v>
      </c>
      <c r="F849">
        <v>2.34</v>
      </c>
      <c r="G849">
        <v>0.7</v>
      </c>
      <c r="H849">
        <v>2.52</v>
      </c>
      <c r="I849">
        <v>2.3047</v>
      </c>
      <c r="J849">
        <v>72.900000000000006</v>
      </c>
      <c r="K849" t="s">
        <v>142</v>
      </c>
      <c r="L849" t="s">
        <v>51</v>
      </c>
      <c r="M849">
        <v>4</v>
      </c>
      <c r="N849">
        <v>52.350999999999999</v>
      </c>
      <c r="O849">
        <v>6.4</v>
      </c>
      <c r="P849">
        <v>1.85</v>
      </c>
      <c r="Q849" t="s">
        <v>52</v>
      </c>
      <c r="R849">
        <v>60</v>
      </c>
      <c r="S849">
        <v>24</v>
      </c>
      <c r="T849" t="s">
        <v>164</v>
      </c>
      <c r="U849" t="s">
        <v>164</v>
      </c>
      <c r="V849" s="7">
        <v>0.75318980568751348</v>
      </c>
      <c r="W849">
        <v>0.4</v>
      </c>
      <c r="X849">
        <v>0.09</v>
      </c>
      <c r="Y849">
        <v>28.4</v>
      </c>
      <c r="Z849">
        <v>7.5</v>
      </c>
      <c r="AA849">
        <v>9</v>
      </c>
      <c r="AB849">
        <v>25</v>
      </c>
      <c r="AC849" s="19">
        <f t="shared" si="21"/>
        <v>8.3333333333333329E-2</v>
      </c>
      <c r="AD849">
        <v>0.125</v>
      </c>
      <c r="AE849">
        <v>20</v>
      </c>
      <c r="AF849" s="11">
        <v>0.4</v>
      </c>
    </row>
    <row r="850" spans="1:32" x14ac:dyDescent="0.3">
      <c r="A850" t="s">
        <v>143</v>
      </c>
      <c r="B850" t="s">
        <v>15</v>
      </c>
      <c r="C850">
        <v>0.28000000000000003</v>
      </c>
      <c r="D850">
        <v>331.34</v>
      </c>
      <c r="E850">
        <v>2.2000000000000002</v>
      </c>
      <c r="F850">
        <v>2.34</v>
      </c>
      <c r="G850">
        <v>0.7</v>
      </c>
      <c r="H850">
        <v>2.52</v>
      </c>
      <c r="I850">
        <v>2.3047</v>
      </c>
      <c r="J850">
        <v>72.900000000000006</v>
      </c>
      <c r="K850" t="s">
        <v>142</v>
      </c>
      <c r="L850" t="s">
        <v>51</v>
      </c>
      <c r="M850">
        <v>4</v>
      </c>
      <c r="N850">
        <v>52.350999999999999</v>
      </c>
      <c r="O850">
        <v>6.4</v>
      </c>
      <c r="P850">
        <v>1.85</v>
      </c>
      <c r="Q850" t="s">
        <v>52</v>
      </c>
      <c r="R850">
        <v>60</v>
      </c>
      <c r="S850">
        <v>24</v>
      </c>
      <c r="T850" t="s">
        <v>164</v>
      </c>
      <c r="U850" t="s">
        <v>164</v>
      </c>
      <c r="V850" s="7">
        <v>0.75318980568751348</v>
      </c>
      <c r="W850">
        <v>0.4</v>
      </c>
      <c r="X850">
        <v>0.09</v>
      </c>
      <c r="Y850">
        <v>28.4</v>
      </c>
      <c r="Z850">
        <v>7.5</v>
      </c>
      <c r="AA850">
        <v>11</v>
      </c>
      <c r="AB850">
        <v>25</v>
      </c>
      <c r="AC850" s="19">
        <f t="shared" si="21"/>
        <v>8.3333333333333329E-2</v>
      </c>
      <c r="AD850">
        <v>0.125</v>
      </c>
      <c r="AE850">
        <v>20</v>
      </c>
      <c r="AF850" s="11">
        <v>0.81</v>
      </c>
    </row>
    <row r="851" spans="1:32" x14ac:dyDescent="0.3">
      <c r="A851" t="s">
        <v>143</v>
      </c>
      <c r="B851" t="s">
        <v>15</v>
      </c>
      <c r="C851">
        <v>0.28000000000000003</v>
      </c>
      <c r="D851">
        <v>331.34</v>
      </c>
      <c r="E851">
        <v>2.2000000000000002</v>
      </c>
      <c r="F851">
        <v>2.34</v>
      </c>
      <c r="G851">
        <v>0.7</v>
      </c>
      <c r="H851">
        <v>2.52</v>
      </c>
      <c r="I851">
        <v>2.3047</v>
      </c>
      <c r="J851">
        <v>72.900000000000006</v>
      </c>
      <c r="K851" t="s">
        <v>142</v>
      </c>
      <c r="L851" t="s">
        <v>51</v>
      </c>
      <c r="M851">
        <v>4</v>
      </c>
      <c r="N851">
        <v>52.350999999999999</v>
      </c>
      <c r="O851">
        <v>6.4</v>
      </c>
      <c r="P851">
        <v>1.85</v>
      </c>
      <c r="Q851" t="s">
        <v>52</v>
      </c>
      <c r="R851">
        <v>60</v>
      </c>
      <c r="S851">
        <v>24</v>
      </c>
      <c r="T851" t="s">
        <v>164</v>
      </c>
      <c r="U851" t="s">
        <v>164</v>
      </c>
      <c r="V851" s="7">
        <v>0.75318980568751348</v>
      </c>
      <c r="W851">
        <v>0.4</v>
      </c>
      <c r="X851">
        <v>0.09</v>
      </c>
      <c r="Y851">
        <v>28.4</v>
      </c>
      <c r="Z851">
        <v>7.5</v>
      </c>
      <c r="AA851">
        <v>11</v>
      </c>
      <c r="AB851">
        <v>25</v>
      </c>
      <c r="AC851" s="19">
        <f t="shared" si="21"/>
        <v>8.3333333333333329E-2</v>
      </c>
      <c r="AD851">
        <v>0.02</v>
      </c>
      <c r="AE851">
        <v>20</v>
      </c>
      <c r="AF851" s="11">
        <v>0.9</v>
      </c>
    </row>
    <row r="852" spans="1:32" x14ac:dyDescent="0.3">
      <c r="A852" t="s">
        <v>143</v>
      </c>
      <c r="B852" t="s">
        <v>15</v>
      </c>
      <c r="C852">
        <v>0.28000000000000003</v>
      </c>
      <c r="D852">
        <v>331.34</v>
      </c>
      <c r="E852">
        <v>2.2000000000000002</v>
      </c>
      <c r="F852">
        <v>2.34</v>
      </c>
      <c r="G852">
        <v>0.7</v>
      </c>
      <c r="H852">
        <v>2.52</v>
      </c>
      <c r="I852">
        <v>2.3047</v>
      </c>
      <c r="J852">
        <v>72.900000000000006</v>
      </c>
      <c r="K852" t="s">
        <v>142</v>
      </c>
      <c r="L852" t="s">
        <v>51</v>
      </c>
      <c r="M852">
        <v>4</v>
      </c>
      <c r="N852">
        <v>52.350999999999999</v>
      </c>
      <c r="O852">
        <v>6.4</v>
      </c>
      <c r="P852">
        <v>1.85</v>
      </c>
      <c r="Q852" t="s">
        <v>52</v>
      </c>
      <c r="R852">
        <v>60</v>
      </c>
      <c r="S852">
        <v>24</v>
      </c>
      <c r="T852" t="s">
        <v>164</v>
      </c>
      <c r="U852" t="s">
        <v>164</v>
      </c>
      <c r="V852" s="7">
        <v>0.75318980568751348</v>
      </c>
      <c r="W852">
        <v>0.4</v>
      </c>
      <c r="X852">
        <v>0.09</v>
      </c>
      <c r="Y852">
        <v>28.4</v>
      </c>
      <c r="Z852">
        <v>7.5</v>
      </c>
      <c r="AA852">
        <v>11</v>
      </c>
      <c r="AB852">
        <v>25</v>
      </c>
      <c r="AC852" s="19">
        <f t="shared" si="21"/>
        <v>8.3333333333333329E-2</v>
      </c>
      <c r="AD852">
        <v>0.05</v>
      </c>
      <c r="AE852">
        <v>20</v>
      </c>
      <c r="AF852" s="11">
        <v>0.55000000000000004</v>
      </c>
    </row>
    <row r="853" spans="1:32" x14ac:dyDescent="0.3">
      <c r="A853" t="s">
        <v>143</v>
      </c>
      <c r="B853" t="s">
        <v>15</v>
      </c>
      <c r="C853">
        <v>0.28000000000000003</v>
      </c>
      <c r="D853">
        <v>331.34</v>
      </c>
      <c r="E853">
        <v>2.2000000000000002</v>
      </c>
      <c r="F853">
        <v>2.34</v>
      </c>
      <c r="G853">
        <v>0.7</v>
      </c>
      <c r="H853">
        <v>2.52</v>
      </c>
      <c r="I853">
        <v>2.3047</v>
      </c>
      <c r="J853">
        <v>72.900000000000006</v>
      </c>
      <c r="K853" t="s">
        <v>142</v>
      </c>
      <c r="L853" t="s">
        <v>51</v>
      </c>
      <c r="M853">
        <v>4</v>
      </c>
      <c r="N853">
        <v>52.350999999999999</v>
      </c>
      <c r="O853">
        <v>6.4</v>
      </c>
      <c r="P853">
        <v>1.85</v>
      </c>
      <c r="Q853" t="s">
        <v>52</v>
      </c>
      <c r="R853">
        <v>60</v>
      </c>
      <c r="S853">
        <v>24</v>
      </c>
      <c r="T853" t="s">
        <v>164</v>
      </c>
      <c r="U853" t="s">
        <v>164</v>
      </c>
      <c r="V853" s="7">
        <v>0.75318980568751348</v>
      </c>
      <c r="W853">
        <v>0.4</v>
      </c>
      <c r="X853">
        <v>0.09</v>
      </c>
      <c r="Y853">
        <v>28.4</v>
      </c>
      <c r="Z853">
        <v>7.5</v>
      </c>
      <c r="AA853">
        <v>11</v>
      </c>
      <c r="AB853">
        <v>25</v>
      </c>
      <c r="AC853" s="19">
        <f t="shared" si="21"/>
        <v>8.3333333333333329E-2</v>
      </c>
      <c r="AD853">
        <v>7.4999999999999997E-2</v>
      </c>
      <c r="AE853">
        <v>20</v>
      </c>
      <c r="AF853" s="11">
        <v>0.35</v>
      </c>
    </row>
    <row r="854" spans="1:32" x14ac:dyDescent="0.3">
      <c r="A854" t="s">
        <v>143</v>
      </c>
      <c r="B854" t="s">
        <v>15</v>
      </c>
      <c r="C854">
        <v>0.28000000000000003</v>
      </c>
      <c r="D854">
        <v>331.34</v>
      </c>
      <c r="E854">
        <v>2.2000000000000002</v>
      </c>
      <c r="F854">
        <v>2.34</v>
      </c>
      <c r="G854">
        <v>0.7</v>
      </c>
      <c r="H854">
        <v>2.52</v>
      </c>
      <c r="I854">
        <v>2.3047</v>
      </c>
      <c r="J854">
        <v>72.900000000000006</v>
      </c>
      <c r="K854" t="s">
        <v>142</v>
      </c>
      <c r="L854" t="s">
        <v>51</v>
      </c>
      <c r="M854">
        <v>4</v>
      </c>
      <c r="N854">
        <v>52.350999999999999</v>
      </c>
      <c r="O854">
        <v>6.4</v>
      </c>
      <c r="P854">
        <v>1.85</v>
      </c>
      <c r="Q854" t="s">
        <v>52</v>
      </c>
      <c r="R854">
        <v>60</v>
      </c>
      <c r="S854">
        <v>24</v>
      </c>
      <c r="T854" t="s">
        <v>164</v>
      </c>
      <c r="U854" t="s">
        <v>164</v>
      </c>
      <c r="V854" s="7">
        <v>0.75318980568751348</v>
      </c>
      <c r="W854">
        <v>0.4</v>
      </c>
      <c r="X854">
        <v>0.09</v>
      </c>
      <c r="Y854">
        <v>28.4</v>
      </c>
      <c r="Z854">
        <v>7.5</v>
      </c>
      <c r="AA854">
        <v>11</v>
      </c>
      <c r="AB854">
        <v>25</v>
      </c>
      <c r="AC854" s="19">
        <f t="shared" si="21"/>
        <v>8.3333333333333329E-2</v>
      </c>
      <c r="AD854">
        <v>0.1</v>
      </c>
      <c r="AE854">
        <v>20</v>
      </c>
      <c r="AF854" s="11">
        <v>0.21</v>
      </c>
    </row>
    <row r="855" spans="1:32" x14ac:dyDescent="0.3">
      <c r="A855" t="s">
        <v>143</v>
      </c>
      <c r="B855" t="s">
        <v>15</v>
      </c>
      <c r="C855">
        <v>0.28000000000000003</v>
      </c>
      <c r="D855">
        <v>331.34</v>
      </c>
      <c r="E855">
        <v>2.2000000000000002</v>
      </c>
      <c r="F855">
        <v>2.34</v>
      </c>
      <c r="G855">
        <v>0.7</v>
      </c>
      <c r="H855">
        <v>2.52</v>
      </c>
      <c r="I855">
        <v>2.3047</v>
      </c>
      <c r="J855">
        <v>72.900000000000006</v>
      </c>
      <c r="K855" t="s">
        <v>142</v>
      </c>
      <c r="L855" t="s">
        <v>51</v>
      </c>
      <c r="M855">
        <v>4</v>
      </c>
      <c r="N855">
        <v>52.350999999999999</v>
      </c>
      <c r="O855">
        <v>6.4</v>
      </c>
      <c r="P855">
        <v>1.85</v>
      </c>
      <c r="Q855" t="s">
        <v>52</v>
      </c>
      <c r="R855">
        <v>60</v>
      </c>
      <c r="S855">
        <v>24</v>
      </c>
      <c r="T855" t="s">
        <v>164</v>
      </c>
      <c r="U855" t="s">
        <v>164</v>
      </c>
      <c r="V855" s="7">
        <v>0.75318980568751348</v>
      </c>
      <c r="W855">
        <v>0.4</v>
      </c>
      <c r="X855">
        <v>0.09</v>
      </c>
      <c r="Y855">
        <v>28.4</v>
      </c>
      <c r="Z855">
        <v>7.5</v>
      </c>
      <c r="AA855">
        <v>11</v>
      </c>
      <c r="AB855">
        <v>25</v>
      </c>
      <c r="AC855" s="19">
        <f t="shared" si="21"/>
        <v>8.3333333333333329E-2</v>
      </c>
      <c r="AD855">
        <v>0.125</v>
      </c>
      <c r="AE855">
        <v>20</v>
      </c>
      <c r="AF855" s="11">
        <v>0.2</v>
      </c>
    </row>
    <row r="856" spans="1:32" x14ac:dyDescent="0.3">
      <c r="A856" t="s">
        <v>143</v>
      </c>
      <c r="B856" t="s">
        <v>15</v>
      </c>
      <c r="C856">
        <v>0.28000000000000003</v>
      </c>
      <c r="D856">
        <v>331.34</v>
      </c>
      <c r="E856">
        <v>2.2000000000000002</v>
      </c>
      <c r="F856">
        <v>2.34</v>
      </c>
      <c r="G856">
        <v>0.7</v>
      </c>
      <c r="H856">
        <v>2.52</v>
      </c>
      <c r="I856">
        <v>2.3047</v>
      </c>
      <c r="J856">
        <v>72.900000000000006</v>
      </c>
      <c r="K856" t="s">
        <v>142</v>
      </c>
      <c r="L856" t="s">
        <v>51</v>
      </c>
      <c r="M856">
        <v>4</v>
      </c>
      <c r="N856">
        <v>52.350999999999999</v>
      </c>
      <c r="O856">
        <v>6.4</v>
      </c>
      <c r="P856">
        <v>1.85</v>
      </c>
      <c r="Q856" t="s">
        <v>52</v>
      </c>
      <c r="R856">
        <v>60</v>
      </c>
      <c r="S856">
        <v>24</v>
      </c>
      <c r="T856" t="s">
        <v>164</v>
      </c>
      <c r="U856" t="s">
        <v>164</v>
      </c>
      <c r="V856" s="7">
        <v>0.75318980568751348</v>
      </c>
      <c r="W856">
        <v>0.4</v>
      </c>
      <c r="X856">
        <v>0.09</v>
      </c>
      <c r="Y856">
        <v>28.4</v>
      </c>
      <c r="Z856">
        <v>7.5</v>
      </c>
      <c r="AA856">
        <v>11</v>
      </c>
      <c r="AB856">
        <v>25</v>
      </c>
      <c r="AC856" s="19">
        <f t="shared" si="21"/>
        <v>8.3333333333333329E-2</v>
      </c>
      <c r="AD856">
        <v>0.125</v>
      </c>
      <c r="AE856">
        <v>1</v>
      </c>
      <c r="AF856" s="11">
        <v>0.19</v>
      </c>
    </row>
    <row r="857" spans="1:32" x14ac:dyDescent="0.3">
      <c r="A857" t="s">
        <v>143</v>
      </c>
      <c r="B857" t="s">
        <v>15</v>
      </c>
      <c r="C857">
        <v>0.28000000000000003</v>
      </c>
      <c r="D857">
        <v>331.34</v>
      </c>
      <c r="E857">
        <v>2.2000000000000002</v>
      </c>
      <c r="F857">
        <v>2.34</v>
      </c>
      <c r="G857">
        <v>0.7</v>
      </c>
      <c r="H857">
        <v>2.52</v>
      </c>
      <c r="I857">
        <v>2.3047</v>
      </c>
      <c r="J857">
        <v>72.900000000000006</v>
      </c>
      <c r="K857" t="s">
        <v>142</v>
      </c>
      <c r="L857" t="s">
        <v>51</v>
      </c>
      <c r="M857">
        <v>4</v>
      </c>
      <c r="N857">
        <v>52.350999999999999</v>
      </c>
      <c r="O857">
        <v>6.4</v>
      </c>
      <c r="P857">
        <v>1.85</v>
      </c>
      <c r="Q857" t="s">
        <v>52</v>
      </c>
      <c r="R857">
        <v>60</v>
      </c>
      <c r="S857">
        <v>24</v>
      </c>
      <c r="T857" t="s">
        <v>164</v>
      </c>
      <c r="U857" t="s">
        <v>164</v>
      </c>
      <c r="V857" s="7">
        <v>0.75318980568751348</v>
      </c>
      <c r="W857">
        <v>0.4</v>
      </c>
      <c r="X857">
        <v>0.09</v>
      </c>
      <c r="Y857">
        <v>28.4</v>
      </c>
      <c r="Z857">
        <v>7.5</v>
      </c>
      <c r="AA857">
        <v>11</v>
      </c>
      <c r="AB857">
        <v>25</v>
      </c>
      <c r="AC857" s="19">
        <f t="shared" si="21"/>
        <v>8.3333333333333329E-2</v>
      </c>
      <c r="AD857">
        <v>0.125</v>
      </c>
      <c r="AE857">
        <v>3</v>
      </c>
      <c r="AF857" s="11">
        <v>0.25</v>
      </c>
    </row>
    <row r="858" spans="1:32" x14ac:dyDescent="0.3">
      <c r="A858" t="s">
        <v>143</v>
      </c>
      <c r="B858" t="s">
        <v>15</v>
      </c>
      <c r="C858">
        <v>0.28000000000000003</v>
      </c>
      <c r="D858">
        <v>331.34</v>
      </c>
      <c r="E858">
        <v>2.2000000000000002</v>
      </c>
      <c r="F858">
        <v>2.34</v>
      </c>
      <c r="G858">
        <v>0.7</v>
      </c>
      <c r="H858">
        <v>2.52</v>
      </c>
      <c r="I858">
        <v>2.3047</v>
      </c>
      <c r="J858">
        <v>72.900000000000006</v>
      </c>
      <c r="K858" t="s">
        <v>142</v>
      </c>
      <c r="L858" t="s">
        <v>51</v>
      </c>
      <c r="M858">
        <v>4</v>
      </c>
      <c r="N858">
        <v>52.350999999999999</v>
      </c>
      <c r="O858">
        <v>6.4</v>
      </c>
      <c r="P858">
        <v>1.85</v>
      </c>
      <c r="Q858" t="s">
        <v>52</v>
      </c>
      <c r="R858">
        <v>60</v>
      </c>
      <c r="S858">
        <v>24</v>
      </c>
      <c r="T858" t="s">
        <v>164</v>
      </c>
      <c r="U858" t="s">
        <v>164</v>
      </c>
      <c r="V858" s="7">
        <v>0.75318980568751348</v>
      </c>
      <c r="W858">
        <v>0.4</v>
      </c>
      <c r="X858">
        <v>0.09</v>
      </c>
      <c r="Y858">
        <v>28.4</v>
      </c>
      <c r="Z858">
        <v>7.5</v>
      </c>
      <c r="AA858">
        <v>11</v>
      </c>
      <c r="AB858">
        <v>25</v>
      </c>
      <c r="AC858" s="19">
        <f t="shared" si="21"/>
        <v>8.3333333333333329E-2</v>
      </c>
      <c r="AD858">
        <v>0.125</v>
      </c>
      <c r="AE858">
        <v>5</v>
      </c>
      <c r="AF858" s="11">
        <v>0.4</v>
      </c>
    </row>
    <row r="859" spans="1:32" x14ac:dyDescent="0.3">
      <c r="A859" t="s">
        <v>143</v>
      </c>
      <c r="B859" t="s">
        <v>15</v>
      </c>
      <c r="C859">
        <v>0.28000000000000003</v>
      </c>
      <c r="D859">
        <v>331.34</v>
      </c>
      <c r="E859">
        <v>2.2000000000000002</v>
      </c>
      <c r="F859">
        <v>2.34</v>
      </c>
      <c r="G859">
        <v>0.7</v>
      </c>
      <c r="H859">
        <v>2.52</v>
      </c>
      <c r="I859">
        <v>2.3047</v>
      </c>
      <c r="J859">
        <v>72.900000000000006</v>
      </c>
      <c r="K859" t="s">
        <v>142</v>
      </c>
      <c r="L859" t="s">
        <v>51</v>
      </c>
      <c r="M859">
        <v>4</v>
      </c>
      <c r="N859">
        <v>52.350999999999999</v>
      </c>
      <c r="O859">
        <v>6.4</v>
      </c>
      <c r="P859">
        <v>1.85</v>
      </c>
      <c r="Q859" t="s">
        <v>52</v>
      </c>
      <c r="R859">
        <v>60</v>
      </c>
      <c r="S859">
        <v>24</v>
      </c>
      <c r="T859" t="s">
        <v>164</v>
      </c>
      <c r="U859" t="s">
        <v>164</v>
      </c>
      <c r="V859" s="7">
        <v>0.75318980568751348</v>
      </c>
      <c r="W859">
        <v>0.4</v>
      </c>
      <c r="X859">
        <v>0.09</v>
      </c>
      <c r="Y859">
        <v>28.4</v>
      </c>
      <c r="Z859">
        <v>7.5</v>
      </c>
      <c r="AA859">
        <v>11</v>
      </c>
      <c r="AB859">
        <v>25</v>
      </c>
      <c r="AC859" s="19">
        <f t="shared" si="21"/>
        <v>8.3333333333333329E-2</v>
      </c>
      <c r="AD859">
        <v>0.125</v>
      </c>
      <c r="AE859">
        <v>10</v>
      </c>
      <c r="AF859" s="11">
        <v>0.55000000000000004</v>
      </c>
    </row>
    <row r="860" spans="1:32" x14ac:dyDescent="0.3">
      <c r="A860" t="s">
        <v>143</v>
      </c>
      <c r="B860" t="s">
        <v>15</v>
      </c>
      <c r="C860">
        <v>0.28000000000000003</v>
      </c>
      <c r="D860">
        <v>331.34</v>
      </c>
      <c r="E860">
        <v>2.2000000000000002</v>
      </c>
      <c r="F860">
        <v>2.34</v>
      </c>
      <c r="G860">
        <v>0.7</v>
      </c>
      <c r="H860">
        <v>2.52</v>
      </c>
      <c r="I860">
        <v>2.3047</v>
      </c>
      <c r="J860">
        <v>72.900000000000006</v>
      </c>
      <c r="K860" t="s">
        <v>142</v>
      </c>
      <c r="L860" t="s">
        <v>51</v>
      </c>
      <c r="M860">
        <v>4</v>
      </c>
      <c r="N860">
        <v>52.350999999999999</v>
      </c>
      <c r="O860">
        <v>6.4</v>
      </c>
      <c r="P860">
        <v>1.85</v>
      </c>
      <c r="Q860" t="s">
        <v>52</v>
      </c>
      <c r="R860">
        <v>60</v>
      </c>
      <c r="S860">
        <v>24</v>
      </c>
      <c r="T860" t="s">
        <v>164</v>
      </c>
      <c r="U860" t="s">
        <v>164</v>
      </c>
      <c r="V860" s="7">
        <v>0.75318980568751348</v>
      </c>
      <c r="W860">
        <v>0.4</v>
      </c>
      <c r="X860">
        <v>0.09</v>
      </c>
      <c r="Y860">
        <v>28.4</v>
      </c>
      <c r="Z860">
        <v>7.5</v>
      </c>
      <c r="AA860">
        <v>11</v>
      </c>
      <c r="AB860">
        <v>25</v>
      </c>
      <c r="AC860" s="19">
        <f t="shared" si="21"/>
        <v>8.3333333333333329E-2</v>
      </c>
      <c r="AD860">
        <v>0.125</v>
      </c>
      <c r="AE860">
        <v>15</v>
      </c>
      <c r="AF860" s="11">
        <v>0.5</v>
      </c>
    </row>
    <row r="861" spans="1:32" x14ac:dyDescent="0.3">
      <c r="A861" t="s">
        <v>143</v>
      </c>
      <c r="B861" t="s">
        <v>15</v>
      </c>
      <c r="C861">
        <v>0.28000000000000003</v>
      </c>
      <c r="D861">
        <v>331.34</v>
      </c>
      <c r="E861">
        <v>2.2000000000000002</v>
      </c>
      <c r="F861">
        <v>2.34</v>
      </c>
      <c r="G861">
        <v>0.7</v>
      </c>
      <c r="H861">
        <v>2.52</v>
      </c>
      <c r="I861">
        <v>2.3047</v>
      </c>
      <c r="J861">
        <v>72.900000000000006</v>
      </c>
      <c r="K861" t="s">
        <v>142</v>
      </c>
      <c r="L861" t="s">
        <v>51</v>
      </c>
      <c r="M861">
        <v>4</v>
      </c>
      <c r="N861">
        <v>52.350999999999999</v>
      </c>
      <c r="O861">
        <v>6.4</v>
      </c>
      <c r="P861">
        <v>1.85</v>
      </c>
      <c r="Q861" t="s">
        <v>52</v>
      </c>
      <c r="R861">
        <v>60</v>
      </c>
      <c r="S861">
        <v>24</v>
      </c>
      <c r="T861" t="s">
        <v>164</v>
      </c>
      <c r="U861" t="s">
        <v>164</v>
      </c>
      <c r="V861" s="7">
        <v>0.75318980568751348</v>
      </c>
      <c r="W861">
        <v>0.4</v>
      </c>
      <c r="X861">
        <v>0.09</v>
      </c>
      <c r="Y861">
        <v>28.4</v>
      </c>
      <c r="Z861">
        <v>7.5</v>
      </c>
      <c r="AA861">
        <v>11</v>
      </c>
      <c r="AB861">
        <v>25</v>
      </c>
      <c r="AC861" s="19">
        <f t="shared" si="21"/>
        <v>8.3333333333333329E-2</v>
      </c>
      <c r="AD861">
        <v>0.125</v>
      </c>
      <c r="AE861">
        <v>20</v>
      </c>
      <c r="AF861" s="11">
        <v>0.8</v>
      </c>
    </row>
    <row r="862" spans="1:32" x14ac:dyDescent="0.3">
      <c r="A862" t="s">
        <v>143</v>
      </c>
      <c r="B862" t="s">
        <v>15</v>
      </c>
      <c r="C862">
        <v>0.28000000000000003</v>
      </c>
      <c r="D862">
        <v>331.34</v>
      </c>
      <c r="E862">
        <v>2.2000000000000002</v>
      </c>
      <c r="F862">
        <v>2.34</v>
      </c>
      <c r="G862">
        <v>0.7</v>
      </c>
      <c r="H862">
        <v>2.52</v>
      </c>
      <c r="I862">
        <v>2.3047</v>
      </c>
      <c r="J862">
        <v>72.900000000000006</v>
      </c>
      <c r="K862" t="s">
        <v>142</v>
      </c>
      <c r="L862" t="s">
        <v>51</v>
      </c>
      <c r="M862">
        <v>4</v>
      </c>
      <c r="N862">
        <v>52.350999999999999</v>
      </c>
      <c r="O862">
        <v>6.4</v>
      </c>
      <c r="P862">
        <v>1.85</v>
      </c>
      <c r="Q862" t="s">
        <v>52</v>
      </c>
      <c r="R862">
        <v>60</v>
      </c>
      <c r="S862">
        <v>24</v>
      </c>
      <c r="T862" t="s">
        <v>164</v>
      </c>
      <c r="U862" t="s">
        <v>164</v>
      </c>
      <c r="V862" s="7">
        <v>0.75318980568751348</v>
      </c>
      <c r="W862">
        <v>0.4</v>
      </c>
      <c r="X862">
        <v>0.09</v>
      </c>
      <c r="Y862">
        <v>28.4</v>
      </c>
      <c r="Z862">
        <v>7.5</v>
      </c>
      <c r="AA862">
        <v>11</v>
      </c>
      <c r="AB862">
        <v>25</v>
      </c>
      <c r="AC862" s="19">
        <f t="shared" si="21"/>
        <v>8.3333333333333329E-2</v>
      </c>
      <c r="AD862">
        <v>0.125</v>
      </c>
      <c r="AE862">
        <v>25</v>
      </c>
      <c r="AF862" s="11">
        <v>0.46</v>
      </c>
    </row>
    <row r="863" spans="1:32" x14ac:dyDescent="0.3">
      <c r="A863" t="s">
        <v>143</v>
      </c>
      <c r="B863" t="s">
        <v>15</v>
      </c>
      <c r="C863">
        <v>0.28000000000000003</v>
      </c>
      <c r="D863">
        <v>331.34</v>
      </c>
      <c r="E863">
        <v>2.2000000000000002</v>
      </c>
      <c r="F863">
        <v>2.34</v>
      </c>
      <c r="G863">
        <v>0.7</v>
      </c>
      <c r="H863">
        <v>2.52</v>
      </c>
      <c r="I863">
        <v>2.3047</v>
      </c>
      <c r="J863">
        <v>72.900000000000006</v>
      </c>
      <c r="K863" t="s">
        <v>142</v>
      </c>
      <c r="L863" t="s">
        <v>51</v>
      </c>
      <c r="M863">
        <v>4</v>
      </c>
      <c r="N863">
        <v>52.350999999999999</v>
      </c>
      <c r="O863">
        <v>6.4</v>
      </c>
      <c r="P863">
        <v>1.85</v>
      </c>
      <c r="Q863" t="s">
        <v>52</v>
      </c>
      <c r="R863">
        <v>60</v>
      </c>
      <c r="S863">
        <v>24</v>
      </c>
      <c r="T863" t="s">
        <v>164</v>
      </c>
      <c r="U863" t="s">
        <v>164</v>
      </c>
      <c r="V863" s="7">
        <v>0.75318980568751348</v>
      </c>
      <c r="W863">
        <v>0.4</v>
      </c>
      <c r="X863">
        <v>0.09</v>
      </c>
      <c r="Y863">
        <v>28.4</v>
      </c>
      <c r="Z863">
        <v>7.5</v>
      </c>
      <c r="AA863">
        <v>11</v>
      </c>
      <c r="AB863">
        <v>25</v>
      </c>
      <c r="AC863" s="19">
        <f t="shared" si="21"/>
        <v>8.3333333333333329E-2</v>
      </c>
      <c r="AD863">
        <v>0.125</v>
      </c>
      <c r="AE863">
        <v>40</v>
      </c>
      <c r="AF863" s="11">
        <v>0.4</v>
      </c>
    </row>
    <row r="864" spans="1:32" x14ac:dyDescent="0.3">
      <c r="A864" t="s">
        <v>143</v>
      </c>
      <c r="B864" t="s">
        <v>15</v>
      </c>
      <c r="C864">
        <v>0.28000000000000003</v>
      </c>
      <c r="D864">
        <v>331.34</v>
      </c>
      <c r="E864">
        <v>2.2000000000000002</v>
      </c>
      <c r="F864">
        <v>2.34</v>
      </c>
      <c r="G864">
        <v>0.7</v>
      </c>
      <c r="H864">
        <v>2.52</v>
      </c>
      <c r="I864">
        <v>2.3047</v>
      </c>
      <c r="J864">
        <v>72.900000000000006</v>
      </c>
      <c r="K864" t="s">
        <v>142</v>
      </c>
      <c r="L864" t="s">
        <v>51</v>
      </c>
      <c r="M864">
        <v>4</v>
      </c>
      <c r="N864">
        <v>52.350999999999999</v>
      </c>
      <c r="O864">
        <v>6.4</v>
      </c>
      <c r="P864">
        <v>1.85</v>
      </c>
      <c r="Q864" t="s">
        <v>52</v>
      </c>
      <c r="R864">
        <v>60</v>
      </c>
      <c r="S864">
        <v>24</v>
      </c>
      <c r="T864" t="s">
        <v>164</v>
      </c>
      <c r="U864" t="s">
        <v>164</v>
      </c>
      <c r="V864" s="7">
        <v>0.75318980568751348</v>
      </c>
      <c r="W864">
        <v>0.4</v>
      </c>
      <c r="X864">
        <v>0.09</v>
      </c>
      <c r="Y864">
        <v>28.4</v>
      </c>
      <c r="Z864">
        <v>7.5</v>
      </c>
      <c r="AA864">
        <v>11</v>
      </c>
      <c r="AB864">
        <v>25</v>
      </c>
      <c r="AC864" s="19">
        <f t="shared" si="21"/>
        <v>8.3333333333333329E-2</v>
      </c>
      <c r="AD864">
        <v>0.125</v>
      </c>
      <c r="AE864">
        <v>50</v>
      </c>
      <c r="AF864" s="11">
        <v>0.69</v>
      </c>
    </row>
    <row r="865" spans="1:32" x14ac:dyDescent="0.3">
      <c r="A865" t="s">
        <v>143</v>
      </c>
      <c r="B865" t="s">
        <v>15</v>
      </c>
      <c r="C865">
        <v>0.28000000000000003</v>
      </c>
      <c r="D865">
        <v>331.34</v>
      </c>
      <c r="E865">
        <v>2.2000000000000002</v>
      </c>
      <c r="F865">
        <v>2.34</v>
      </c>
      <c r="G865">
        <v>0.7</v>
      </c>
      <c r="H865">
        <v>2.52</v>
      </c>
      <c r="I865">
        <v>2.3047</v>
      </c>
      <c r="J865">
        <v>72.900000000000006</v>
      </c>
      <c r="K865" t="s">
        <v>142</v>
      </c>
      <c r="L865" t="s">
        <v>51</v>
      </c>
      <c r="M865">
        <v>4</v>
      </c>
      <c r="N865">
        <v>52.350999999999999</v>
      </c>
      <c r="O865">
        <v>6.4</v>
      </c>
      <c r="P865">
        <v>1.85</v>
      </c>
      <c r="Q865" t="s">
        <v>52</v>
      </c>
      <c r="R865">
        <v>60</v>
      </c>
      <c r="S865">
        <v>24</v>
      </c>
      <c r="T865" t="s">
        <v>164</v>
      </c>
      <c r="U865" t="s">
        <v>164</v>
      </c>
      <c r="V865" s="7">
        <v>0.75318980568751348</v>
      </c>
      <c r="W865">
        <v>0.4</v>
      </c>
      <c r="X865">
        <v>0.09</v>
      </c>
      <c r="Y865">
        <v>28.4</v>
      </c>
      <c r="Z865">
        <v>7.5</v>
      </c>
      <c r="AA865">
        <v>11</v>
      </c>
      <c r="AB865">
        <v>25</v>
      </c>
      <c r="AC865" s="19">
        <v>8.3333333333333301E-2</v>
      </c>
      <c r="AD865">
        <v>0.125</v>
      </c>
      <c r="AE865">
        <v>20</v>
      </c>
      <c r="AF865" s="11">
        <v>0.33499999999999996</v>
      </c>
    </row>
    <row r="866" spans="1:32" x14ac:dyDescent="0.3">
      <c r="A866" t="s">
        <v>143</v>
      </c>
      <c r="B866" t="s">
        <v>15</v>
      </c>
      <c r="C866">
        <v>0.28000000000000003</v>
      </c>
      <c r="D866">
        <v>331.34</v>
      </c>
      <c r="E866">
        <v>2.2000000000000002</v>
      </c>
      <c r="F866">
        <v>2.34</v>
      </c>
      <c r="G866">
        <v>0.7</v>
      </c>
      <c r="H866">
        <v>2.52</v>
      </c>
      <c r="I866">
        <v>2.3047</v>
      </c>
      <c r="J866">
        <v>72.900000000000006</v>
      </c>
      <c r="K866" t="s">
        <v>142</v>
      </c>
      <c r="L866" t="s">
        <v>51</v>
      </c>
      <c r="M866">
        <v>4</v>
      </c>
      <c r="N866">
        <v>52.350999999999999</v>
      </c>
      <c r="O866">
        <v>6.4</v>
      </c>
      <c r="P866">
        <v>1.85</v>
      </c>
      <c r="Q866" t="s">
        <v>52</v>
      </c>
      <c r="R866">
        <v>60</v>
      </c>
      <c r="S866">
        <v>24</v>
      </c>
      <c r="T866" t="s">
        <v>164</v>
      </c>
      <c r="U866" t="s">
        <v>164</v>
      </c>
      <c r="V866" s="7">
        <v>0.75318980568751348</v>
      </c>
      <c r="W866">
        <v>0.4</v>
      </c>
      <c r="X866">
        <v>0.09</v>
      </c>
      <c r="Y866">
        <v>28.4</v>
      </c>
      <c r="Z866">
        <v>7.5</v>
      </c>
      <c r="AA866">
        <v>11</v>
      </c>
      <c r="AB866">
        <v>25</v>
      </c>
      <c r="AC866" s="17">
        <v>0.25</v>
      </c>
      <c r="AD866">
        <v>0.125</v>
      </c>
      <c r="AE866">
        <v>20</v>
      </c>
      <c r="AF866" s="11">
        <v>0.30625000000000002</v>
      </c>
    </row>
    <row r="867" spans="1:32" x14ac:dyDescent="0.3">
      <c r="A867" t="s">
        <v>143</v>
      </c>
      <c r="B867" t="s">
        <v>15</v>
      </c>
      <c r="C867">
        <v>0.28000000000000003</v>
      </c>
      <c r="D867">
        <v>331.34</v>
      </c>
      <c r="E867">
        <v>2.2000000000000002</v>
      </c>
      <c r="F867">
        <v>2.34</v>
      </c>
      <c r="G867">
        <v>0.7</v>
      </c>
      <c r="H867">
        <v>2.52</v>
      </c>
      <c r="I867">
        <v>2.3047</v>
      </c>
      <c r="J867">
        <v>72.900000000000006</v>
      </c>
      <c r="K867" t="s">
        <v>142</v>
      </c>
      <c r="L867" t="s">
        <v>51</v>
      </c>
      <c r="M867">
        <v>4</v>
      </c>
      <c r="N867">
        <v>52.350999999999999</v>
      </c>
      <c r="O867">
        <v>6.4</v>
      </c>
      <c r="P867">
        <v>1.85</v>
      </c>
      <c r="Q867" t="s">
        <v>52</v>
      </c>
      <c r="R867">
        <v>60</v>
      </c>
      <c r="S867">
        <v>24</v>
      </c>
      <c r="T867" t="s">
        <v>164</v>
      </c>
      <c r="U867" t="s">
        <v>164</v>
      </c>
      <c r="V867" s="7">
        <v>0.75318980568751348</v>
      </c>
      <c r="W867">
        <v>0.4</v>
      </c>
      <c r="X867">
        <v>0.09</v>
      </c>
      <c r="Y867">
        <v>28.4</v>
      </c>
      <c r="Z867">
        <v>7.5</v>
      </c>
      <c r="AA867">
        <v>11</v>
      </c>
      <c r="AB867">
        <v>25</v>
      </c>
      <c r="AC867" s="17">
        <v>0.5</v>
      </c>
      <c r="AD867">
        <v>0.125</v>
      </c>
      <c r="AE867">
        <v>20</v>
      </c>
      <c r="AF867" s="11">
        <v>0.3125</v>
      </c>
    </row>
    <row r="868" spans="1:32" x14ac:dyDescent="0.3">
      <c r="A868" t="s">
        <v>143</v>
      </c>
      <c r="B868" t="s">
        <v>15</v>
      </c>
      <c r="C868">
        <v>0.28000000000000003</v>
      </c>
      <c r="D868">
        <v>331.34</v>
      </c>
      <c r="E868">
        <v>2.2000000000000002</v>
      </c>
      <c r="F868">
        <v>2.34</v>
      </c>
      <c r="G868">
        <v>0.7</v>
      </c>
      <c r="H868">
        <v>2.52</v>
      </c>
      <c r="I868">
        <v>2.3047</v>
      </c>
      <c r="J868">
        <v>72.900000000000006</v>
      </c>
      <c r="K868" t="s">
        <v>142</v>
      </c>
      <c r="L868" t="s">
        <v>51</v>
      </c>
      <c r="M868">
        <v>4</v>
      </c>
      <c r="N868">
        <v>52.350999999999999</v>
      </c>
      <c r="O868">
        <v>6.4</v>
      </c>
      <c r="P868">
        <v>1.85</v>
      </c>
      <c r="Q868" t="s">
        <v>52</v>
      </c>
      <c r="R868">
        <v>60</v>
      </c>
      <c r="S868">
        <v>24</v>
      </c>
      <c r="T868" t="s">
        <v>164</v>
      </c>
      <c r="U868" t="s">
        <v>164</v>
      </c>
      <c r="V868" s="7">
        <v>0.75318980568751348</v>
      </c>
      <c r="W868">
        <v>0.4</v>
      </c>
      <c r="X868">
        <v>0.09</v>
      </c>
      <c r="Y868">
        <v>28.4</v>
      </c>
      <c r="Z868">
        <v>7.5</v>
      </c>
      <c r="AA868">
        <v>11</v>
      </c>
      <c r="AB868">
        <v>25</v>
      </c>
      <c r="AC868" s="17">
        <v>1</v>
      </c>
      <c r="AD868">
        <v>0.125</v>
      </c>
      <c r="AE868">
        <v>20</v>
      </c>
      <c r="AF868" s="11">
        <v>0.29375000000000001</v>
      </c>
    </row>
    <row r="869" spans="1:32" x14ac:dyDescent="0.3">
      <c r="A869" t="s">
        <v>143</v>
      </c>
      <c r="B869" t="s">
        <v>15</v>
      </c>
      <c r="C869">
        <v>0.28000000000000003</v>
      </c>
      <c r="D869">
        <v>331.34</v>
      </c>
      <c r="E869">
        <v>2.2000000000000002</v>
      </c>
      <c r="F869">
        <v>2.34</v>
      </c>
      <c r="G869">
        <v>0.7</v>
      </c>
      <c r="H869">
        <v>2.52</v>
      </c>
      <c r="I869">
        <v>2.3047</v>
      </c>
      <c r="J869">
        <v>72.900000000000006</v>
      </c>
      <c r="K869" t="s">
        <v>142</v>
      </c>
      <c r="L869" t="s">
        <v>51</v>
      </c>
      <c r="M869">
        <v>4</v>
      </c>
      <c r="N869">
        <v>52.350999999999999</v>
      </c>
      <c r="O869">
        <v>6.4</v>
      </c>
      <c r="P869">
        <v>1.85</v>
      </c>
      <c r="Q869" t="s">
        <v>52</v>
      </c>
      <c r="R869">
        <v>60</v>
      </c>
      <c r="S869">
        <v>24</v>
      </c>
      <c r="T869" t="s">
        <v>164</v>
      </c>
      <c r="U869" t="s">
        <v>164</v>
      </c>
      <c r="V869" s="7">
        <v>0.75318980568751348</v>
      </c>
      <c r="W869">
        <v>0.4</v>
      </c>
      <c r="X869">
        <v>0.09</v>
      </c>
      <c r="Y869">
        <v>28.4</v>
      </c>
      <c r="Z869">
        <v>7.5</v>
      </c>
      <c r="AA869">
        <v>11</v>
      </c>
      <c r="AB869">
        <v>25</v>
      </c>
      <c r="AC869" s="17">
        <v>3</v>
      </c>
      <c r="AD869">
        <v>0.125</v>
      </c>
      <c r="AE869">
        <v>20</v>
      </c>
      <c r="AF869" s="11">
        <v>0.26500000000000001</v>
      </c>
    </row>
    <row r="870" spans="1:32" x14ac:dyDescent="0.3">
      <c r="A870" t="s">
        <v>143</v>
      </c>
      <c r="B870" t="s">
        <v>15</v>
      </c>
      <c r="C870">
        <v>0.28000000000000003</v>
      </c>
      <c r="D870">
        <v>331.34</v>
      </c>
      <c r="E870">
        <v>2.2000000000000002</v>
      </c>
      <c r="F870">
        <v>2.34</v>
      </c>
      <c r="G870">
        <v>0.7</v>
      </c>
      <c r="H870">
        <v>2.52</v>
      </c>
      <c r="I870">
        <v>2.3047</v>
      </c>
      <c r="J870">
        <v>72.900000000000006</v>
      </c>
      <c r="K870" t="s">
        <v>142</v>
      </c>
      <c r="L870" t="s">
        <v>51</v>
      </c>
      <c r="M870">
        <v>4</v>
      </c>
      <c r="N870">
        <v>52.350999999999999</v>
      </c>
      <c r="O870">
        <v>6.4</v>
      </c>
      <c r="P870">
        <v>1.85</v>
      </c>
      <c r="Q870" t="s">
        <v>52</v>
      </c>
      <c r="R870">
        <v>60</v>
      </c>
      <c r="S870">
        <v>24</v>
      </c>
      <c r="T870" t="s">
        <v>164</v>
      </c>
      <c r="U870" t="s">
        <v>164</v>
      </c>
      <c r="V870" s="7">
        <v>0.75318980568751348</v>
      </c>
      <c r="W870">
        <v>0.4</v>
      </c>
      <c r="X870">
        <v>0.09</v>
      </c>
      <c r="Y870">
        <v>28.4</v>
      </c>
      <c r="Z870">
        <v>7.5</v>
      </c>
      <c r="AA870">
        <v>11</v>
      </c>
      <c r="AB870">
        <v>25</v>
      </c>
      <c r="AC870" s="17">
        <v>5</v>
      </c>
      <c r="AD870">
        <v>0.125</v>
      </c>
      <c r="AE870">
        <v>20</v>
      </c>
      <c r="AF870" s="11">
        <v>0.29375000000000001</v>
      </c>
    </row>
    <row r="871" spans="1:32" x14ac:dyDescent="0.3">
      <c r="A871" t="s">
        <v>143</v>
      </c>
      <c r="B871" t="s">
        <v>15</v>
      </c>
      <c r="C871">
        <v>0.28000000000000003</v>
      </c>
      <c r="D871">
        <v>331.34</v>
      </c>
      <c r="E871">
        <v>2.2000000000000002</v>
      </c>
      <c r="F871">
        <v>2.34</v>
      </c>
      <c r="G871">
        <v>0.7</v>
      </c>
      <c r="H871">
        <v>2.52</v>
      </c>
      <c r="I871">
        <v>2.3047</v>
      </c>
      <c r="J871">
        <v>72.900000000000006</v>
      </c>
      <c r="K871" t="s">
        <v>142</v>
      </c>
      <c r="L871" t="s">
        <v>51</v>
      </c>
      <c r="M871">
        <v>4</v>
      </c>
      <c r="N871">
        <v>52.350999999999999</v>
      </c>
      <c r="O871">
        <v>6.4</v>
      </c>
      <c r="P871">
        <v>1.85</v>
      </c>
      <c r="Q871" t="s">
        <v>52</v>
      </c>
      <c r="R871">
        <v>60</v>
      </c>
      <c r="S871">
        <v>24</v>
      </c>
      <c r="T871" t="s">
        <v>164</v>
      </c>
      <c r="U871" t="s">
        <v>164</v>
      </c>
      <c r="V871" s="7">
        <v>0.75318980568751348</v>
      </c>
      <c r="W871">
        <v>0.4</v>
      </c>
      <c r="X871">
        <v>0.09</v>
      </c>
      <c r="Y871">
        <v>28.4</v>
      </c>
      <c r="Z871">
        <v>7.5</v>
      </c>
      <c r="AA871">
        <v>11</v>
      </c>
      <c r="AB871">
        <v>25</v>
      </c>
      <c r="AC871" s="19">
        <v>8.3333333333333301E-2</v>
      </c>
      <c r="AD871">
        <v>0.125</v>
      </c>
      <c r="AE871">
        <v>40</v>
      </c>
      <c r="AF871" s="11">
        <v>0.05</v>
      </c>
    </row>
    <row r="872" spans="1:32" x14ac:dyDescent="0.3">
      <c r="A872" t="s">
        <v>143</v>
      </c>
      <c r="B872" t="s">
        <v>15</v>
      </c>
      <c r="C872">
        <v>0.28000000000000003</v>
      </c>
      <c r="D872">
        <v>331.34</v>
      </c>
      <c r="E872">
        <v>2.2000000000000002</v>
      </c>
      <c r="F872">
        <v>2.34</v>
      </c>
      <c r="G872">
        <v>0.7</v>
      </c>
      <c r="H872">
        <v>2.52</v>
      </c>
      <c r="I872">
        <v>2.3047</v>
      </c>
      <c r="J872">
        <v>72.900000000000006</v>
      </c>
      <c r="K872" t="s">
        <v>142</v>
      </c>
      <c r="L872" t="s">
        <v>51</v>
      </c>
      <c r="M872">
        <v>4</v>
      </c>
      <c r="N872">
        <v>52.350999999999999</v>
      </c>
      <c r="O872">
        <v>6.4</v>
      </c>
      <c r="P872">
        <v>1.85</v>
      </c>
      <c r="Q872" t="s">
        <v>52</v>
      </c>
      <c r="R872">
        <v>60</v>
      </c>
      <c r="S872">
        <v>24</v>
      </c>
      <c r="T872" t="s">
        <v>164</v>
      </c>
      <c r="U872" t="s">
        <v>164</v>
      </c>
      <c r="V872" s="7">
        <v>0.75318980568751348</v>
      </c>
      <c r="W872">
        <v>0.4</v>
      </c>
      <c r="X872">
        <v>0.09</v>
      </c>
      <c r="Y872">
        <v>28.4</v>
      </c>
      <c r="Z872">
        <v>7.5</v>
      </c>
      <c r="AA872">
        <v>11</v>
      </c>
      <c r="AB872">
        <v>25</v>
      </c>
      <c r="AC872" s="17">
        <v>0.25</v>
      </c>
      <c r="AD872">
        <v>0.125</v>
      </c>
      <c r="AE872">
        <v>40</v>
      </c>
      <c r="AF872" s="11">
        <v>1.5625E-2</v>
      </c>
    </row>
    <row r="873" spans="1:32" x14ac:dyDescent="0.3">
      <c r="A873" t="s">
        <v>143</v>
      </c>
      <c r="B873" t="s">
        <v>15</v>
      </c>
      <c r="C873">
        <v>0.28000000000000003</v>
      </c>
      <c r="D873">
        <v>331.34</v>
      </c>
      <c r="E873">
        <v>2.2000000000000002</v>
      </c>
      <c r="F873">
        <v>2.34</v>
      </c>
      <c r="G873">
        <v>0.7</v>
      </c>
      <c r="H873">
        <v>2.52</v>
      </c>
      <c r="I873">
        <v>2.3047</v>
      </c>
      <c r="J873">
        <v>72.900000000000006</v>
      </c>
      <c r="K873" t="s">
        <v>142</v>
      </c>
      <c r="L873" t="s">
        <v>51</v>
      </c>
      <c r="M873">
        <v>4</v>
      </c>
      <c r="N873">
        <v>52.350999999999999</v>
      </c>
      <c r="O873">
        <v>6.4</v>
      </c>
      <c r="P873">
        <v>1.85</v>
      </c>
      <c r="Q873" t="s">
        <v>52</v>
      </c>
      <c r="R873">
        <v>60</v>
      </c>
      <c r="S873">
        <v>24</v>
      </c>
      <c r="T873" t="s">
        <v>164</v>
      </c>
      <c r="U873" t="s">
        <v>164</v>
      </c>
      <c r="V873" s="7">
        <v>0.75318980568751348</v>
      </c>
      <c r="W873">
        <v>0.4</v>
      </c>
      <c r="X873">
        <v>0.09</v>
      </c>
      <c r="Y873">
        <v>28.4</v>
      </c>
      <c r="Z873">
        <v>7.5</v>
      </c>
      <c r="AA873">
        <v>11</v>
      </c>
      <c r="AB873">
        <v>25</v>
      </c>
      <c r="AC873" s="17">
        <v>0.5</v>
      </c>
      <c r="AD873">
        <v>0.125</v>
      </c>
      <c r="AE873">
        <v>40</v>
      </c>
      <c r="AF873" s="11">
        <v>6.5625000000000003E-2</v>
      </c>
    </row>
    <row r="874" spans="1:32" x14ac:dyDescent="0.3">
      <c r="A874" t="s">
        <v>143</v>
      </c>
      <c r="B874" t="s">
        <v>15</v>
      </c>
      <c r="C874">
        <v>0.28000000000000003</v>
      </c>
      <c r="D874">
        <v>331.34</v>
      </c>
      <c r="E874">
        <v>2.2000000000000002</v>
      </c>
      <c r="F874">
        <v>2.34</v>
      </c>
      <c r="G874">
        <v>0.7</v>
      </c>
      <c r="H874">
        <v>2.52</v>
      </c>
      <c r="I874">
        <v>2.3047</v>
      </c>
      <c r="J874">
        <v>72.900000000000006</v>
      </c>
      <c r="K874" t="s">
        <v>142</v>
      </c>
      <c r="L874" t="s">
        <v>51</v>
      </c>
      <c r="M874">
        <v>4</v>
      </c>
      <c r="N874">
        <v>52.350999999999999</v>
      </c>
      <c r="O874">
        <v>6.4</v>
      </c>
      <c r="P874">
        <v>1.85</v>
      </c>
      <c r="Q874" t="s">
        <v>52</v>
      </c>
      <c r="R874">
        <v>60</v>
      </c>
      <c r="S874">
        <v>24</v>
      </c>
      <c r="T874" t="s">
        <v>164</v>
      </c>
      <c r="U874" t="s">
        <v>164</v>
      </c>
      <c r="V874" s="7">
        <v>0.75318980568751348</v>
      </c>
      <c r="W874">
        <v>0.4</v>
      </c>
      <c r="X874">
        <v>0.09</v>
      </c>
      <c r="Y874">
        <v>28.4</v>
      </c>
      <c r="Z874">
        <v>7.5</v>
      </c>
      <c r="AA874">
        <v>11</v>
      </c>
      <c r="AB874">
        <v>25</v>
      </c>
      <c r="AC874" s="17">
        <v>1</v>
      </c>
      <c r="AD874">
        <v>0.125</v>
      </c>
      <c r="AE874">
        <v>40</v>
      </c>
      <c r="AF874" s="11">
        <v>6.5625000000000003E-2</v>
      </c>
    </row>
    <row r="875" spans="1:32" x14ac:dyDescent="0.3">
      <c r="A875" t="s">
        <v>143</v>
      </c>
      <c r="B875" t="s">
        <v>15</v>
      </c>
      <c r="C875">
        <v>0.28000000000000003</v>
      </c>
      <c r="D875">
        <v>331.34</v>
      </c>
      <c r="E875">
        <v>2.2000000000000002</v>
      </c>
      <c r="F875">
        <v>2.34</v>
      </c>
      <c r="G875">
        <v>0.7</v>
      </c>
      <c r="H875">
        <v>2.52</v>
      </c>
      <c r="I875">
        <v>2.3047</v>
      </c>
      <c r="J875">
        <v>72.900000000000006</v>
      </c>
      <c r="K875" t="s">
        <v>142</v>
      </c>
      <c r="L875" t="s">
        <v>51</v>
      </c>
      <c r="M875">
        <v>4</v>
      </c>
      <c r="N875">
        <v>52.350999999999999</v>
      </c>
      <c r="O875">
        <v>6.4</v>
      </c>
      <c r="P875">
        <v>1.85</v>
      </c>
      <c r="Q875" t="s">
        <v>52</v>
      </c>
      <c r="R875">
        <v>60</v>
      </c>
      <c r="S875">
        <v>24</v>
      </c>
      <c r="T875" t="s">
        <v>164</v>
      </c>
      <c r="U875" t="s">
        <v>164</v>
      </c>
      <c r="V875" s="7">
        <v>0.75318980568751348</v>
      </c>
      <c r="W875">
        <v>0.4</v>
      </c>
      <c r="X875">
        <v>0.09</v>
      </c>
      <c r="Y875">
        <v>28.4</v>
      </c>
      <c r="Z875">
        <v>7.5</v>
      </c>
      <c r="AA875">
        <v>11</v>
      </c>
      <c r="AB875">
        <v>25</v>
      </c>
      <c r="AC875" s="17">
        <v>3</v>
      </c>
      <c r="AD875">
        <v>0.125</v>
      </c>
      <c r="AE875">
        <v>40</v>
      </c>
      <c r="AF875" s="11">
        <v>5.3124999999999999E-2</v>
      </c>
    </row>
    <row r="876" spans="1:32" x14ac:dyDescent="0.3">
      <c r="A876" t="s">
        <v>143</v>
      </c>
      <c r="B876" t="s">
        <v>15</v>
      </c>
      <c r="C876">
        <v>0.28000000000000003</v>
      </c>
      <c r="D876">
        <v>331.34</v>
      </c>
      <c r="E876">
        <v>2.2000000000000002</v>
      </c>
      <c r="F876">
        <v>2.34</v>
      </c>
      <c r="G876">
        <v>0.7</v>
      </c>
      <c r="H876">
        <v>2.52</v>
      </c>
      <c r="I876">
        <v>2.3047</v>
      </c>
      <c r="J876">
        <v>72.900000000000006</v>
      </c>
      <c r="K876" t="s">
        <v>142</v>
      </c>
      <c r="L876" t="s">
        <v>51</v>
      </c>
      <c r="M876">
        <v>4</v>
      </c>
      <c r="N876">
        <v>52.350999999999999</v>
      </c>
      <c r="O876">
        <v>6.4</v>
      </c>
      <c r="P876">
        <v>1.85</v>
      </c>
      <c r="Q876" t="s">
        <v>52</v>
      </c>
      <c r="R876">
        <v>60</v>
      </c>
      <c r="S876">
        <v>24</v>
      </c>
      <c r="T876" t="s">
        <v>164</v>
      </c>
      <c r="U876" t="s">
        <v>164</v>
      </c>
      <c r="V876" s="7">
        <v>0.75318980568751348</v>
      </c>
      <c r="W876">
        <v>0.4</v>
      </c>
      <c r="X876">
        <v>0.09</v>
      </c>
      <c r="Y876">
        <v>28.4</v>
      </c>
      <c r="Z876">
        <v>7.5</v>
      </c>
      <c r="AA876">
        <v>11</v>
      </c>
      <c r="AB876">
        <v>25</v>
      </c>
      <c r="AC876" s="17">
        <v>5</v>
      </c>
      <c r="AD876">
        <v>0.125</v>
      </c>
      <c r="AE876">
        <v>40</v>
      </c>
      <c r="AF876" s="11">
        <v>0.2</v>
      </c>
    </row>
    <row r="877" spans="1:32" x14ac:dyDescent="0.3">
      <c r="A877" t="s">
        <v>144</v>
      </c>
      <c r="B877" t="s">
        <v>14</v>
      </c>
      <c r="C877">
        <v>-1.3</v>
      </c>
      <c r="D877">
        <v>444.44</v>
      </c>
      <c r="E877">
        <v>3.5</v>
      </c>
      <c r="F877">
        <v>3.6</v>
      </c>
      <c r="G877">
        <v>1.35</v>
      </c>
      <c r="H877">
        <v>3.29</v>
      </c>
      <c r="I877">
        <v>3.0992000000000002</v>
      </c>
      <c r="J877">
        <v>182</v>
      </c>
      <c r="K877" t="s">
        <v>142</v>
      </c>
      <c r="L877" t="s">
        <v>46</v>
      </c>
      <c r="M877">
        <v>3</v>
      </c>
      <c r="N877">
        <v>57.981000000000002</v>
      </c>
      <c r="O877">
        <v>7.25</v>
      </c>
      <c r="P877" s="13">
        <v>1.89</v>
      </c>
      <c r="Q877" t="s">
        <v>52</v>
      </c>
      <c r="R877">
        <v>60</v>
      </c>
      <c r="S877">
        <v>18</v>
      </c>
      <c r="T877">
        <v>500</v>
      </c>
      <c r="U877">
        <v>2</v>
      </c>
      <c r="V877" s="7">
        <v>0.775575856753842</v>
      </c>
      <c r="W877">
        <v>104.8</v>
      </c>
      <c r="X877">
        <v>0.81</v>
      </c>
      <c r="Y877">
        <v>31</v>
      </c>
      <c r="AA877">
        <v>5</v>
      </c>
      <c r="AB877">
        <v>34.85</v>
      </c>
      <c r="AC877" s="17">
        <v>84</v>
      </c>
      <c r="AD877">
        <f>1/0.02</f>
        <v>50</v>
      </c>
      <c r="AE877" s="9">
        <v>24.75</v>
      </c>
      <c r="AF877" s="11">
        <v>0.19191919191919191</v>
      </c>
    </row>
    <row r="878" spans="1:32" x14ac:dyDescent="0.3">
      <c r="A878" t="s">
        <v>144</v>
      </c>
      <c r="B878" t="s">
        <v>14</v>
      </c>
      <c r="C878">
        <v>-1.3</v>
      </c>
      <c r="D878">
        <v>444.44</v>
      </c>
      <c r="E878">
        <v>3.5</v>
      </c>
      <c r="F878">
        <v>3.6</v>
      </c>
      <c r="G878">
        <v>1.35</v>
      </c>
      <c r="H878">
        <v>3.29</v>
      </c>
      <c r="I878">
        <v>3.0992000000000002</v>
      </c>
      <c r="J878">
        <v>182</v>
      </c>
      <c r="K878" t="s">
        <v>142</v>
      </c>
      <c r="L878" t="s">
        <v>46</v>
      </c>
      <c r="M878">
        <v>3</v>
      </c>
      <c r="N878">
        <v>57.981000000000002</v>
      </c>
      <c r="O878">
        <v>7.25</v>
      </c>
      <c r="P878">
        <v>1.89</v>
      </c>
      <c r="Q878" t="s">
        <v>52</v>
      </c>
      <c r="R878">
        <v>60</v>
      </c>
      <c r="S878">
        <v>18</v>
      </c>
      <c r="T878">
        <v>500</v>
      </c>
      <c r="U878">
        <v>2</v>
      </c>
      <c r="V878" s="7">
        <v>0.775575856753842</v>
      </c>
      <c r="W878">
        <v>104.8</v>
      </c>
      <c r="X878">
        <v>0.81</v>
      </c>
      <c r="Y878">
        <v>31</v>
      </c>
      <c r="AA878">
        <v>5</v>
      </c>
      <c r="AB878">
        <v>34.85</v>
      </c>
      <c r="AC878" s="17">
        <v>84</v>
      </c>
      <c r="AD878">
        <f t="shared" ref="AD878:AD893" si="22">1/0.02</f>
        <v>50</v>
      </c>
      <c r="AE878" s="9">
        <v>50</v>
      </c>
      <c r="AF878" s="11">
        <v>0.26</v>
      </c>
    </row>
    <row r="879" spans="1:32" x14ac:dyDescent="0.3">
      <c r="A879" t="s">
        <v>144</v>
      </c>
      <c r="B879" t="s">
        <v>14</v>
      </c>
      <c r="C879">
        <v>-1.3</v>
      </c>
      <c r="D879">
        <v>444.44</v>
      </c>
      <c r="E879">
        <v>3.5</v>
      </c>
      <c r="F879">
        <v>3.6</v>
      </c>
      <c r="G879">
        <v>1.35</v>
      </c>
      <c r="H879">
        <v>3.29</v>
      </c>
      <c r="I879">
        <v>3.0992000000000002</v>
      </c>
      <c r="J879">
        <v>182</v>
      </c>
      <c r="K879" t="s">
        <v>142</v>
      </c>
      <c r="L879" t="s">
        <v>46</v>
      </c>
      <c r="M879">
        <v>3</v>
      </c>
      <c r="N879">
        <v>57.981000000000002</v>
      </c>
      <c r="O879">
        <v>7.25</v>
      </c>
      <c r="P879">
        <v>1.89</v>
      </c>
      <c r="Q879" t="s">
        <v>52</v>
      </c>
      <c r="R879">
        <v>60</v>
      </c>
      <c r="S879">
        <v>18</v>
      </c>
      <c r="T879">
        <v>500</v>
      </c>
      <c r="U879">
        <v>2</v>
      </c>
      <c r="V879" s="7">
        <v>0.775575856753842</v>
      </c>
      <c r="W879">
        <v>104.8</v>
      </c>
      <c r="X879">
        <v>0.81</v>
      </c>
      <c r="Y879">
        <v>31</v>
      </c>
      <c r="AA879">
        <v>5</v>
      </c>
      <c r="AB879">
        <v>34.85</v>
      </c>
      <c r="AC879" s="17">
        <v>84</v>
      </c>
      <c r="AD879">
        <f t="shared" si="22"/>
        <v>50</v>
      </c>
      <c r="AE879" s="9">
        <v>75</v>
      </c>
      <c r="AF879" s="11">
        <v>0.24</v>
      </c>
    </row>
    <row r="880" spans="1:32" x14ac:dyDescent="0.3">
      <c r="A880" t="s">
        <v>144</v>
      </c>
      <c r="B880" t="s">
        <v>14</v>
      </c>
      <c r="C880">
        <v>-1.3</v>
      </c>
      <c r="D880">
        <v>444.44</v>
      </c>
      <c r="E880">
        <v>3.5</v>
      </c>
      <c r="F880">
        <v>3.6</v>
      </c>
      <c r="G880">
        <v>1.35</v>
      </c>
      <c r="H880">
        <v>3.29</v>
      </c>
      <c r="I880">
        <v>3.0992000000000002</v>
      </c>
      <c r="J880">
        <v>182</v>
      </c>
      <c r="K880" t="s">
        <v>142</v>
      </c>
      <c r="L880" t="s">
        <v>46</v>
      </c>
      <c r="M880">
        <v>3</v>
      </c>
      <c r="N880">
        <v>57.981000000000002</v>
      </c>
      <c r="O880">
        <v>7.25</v>
      </c>
      <c r="P880">
        <v>1.89</v>
      </c>
      <c r="Q880" t="s">
        <v>52</v>
      </c>
      <c r="R880">
        <v>60</v>
      </c>
      <c r="S880">
        <v>18</v>
      </c>
      <c r="T880">
        <v>500</v>
      </c>
      <c r="U880">
        <v>2</v>
      </c>
      <c r="V880" s="7">
        <v>0.775575856753842</v>
      </c>
      <c r="W880">
        <v>104.8</v>
      </c>
      <c r="X880">
        <v>0.81</v>
      </c>
      <c r="Y880">
        <v>31</v>
      </c>
      <c r="AA880">
        <v>5</v>
      </c>
      <c r="AB880">
        <v>34.85</v>
      </c>
      <c r="AC880" s="17">
        <v>84</v>
      </c>
      <c r="AD880">
        <f t="shared" si="22"/>
        <v>50</v>
      </c>
      <c r="AE880" s="9">
        <v>100.25</v>
      </c>
      <c r="AF880" s="11">
        <v>0.22194513715710723</v>
      </c>
    </row>
    <row r="881" spans="1:32" x14ac:dyDescent="0.3">
      <c r="A881" t="s">
        <v>144</v>
      </c>
      <c r="B881" t="s">
        <v>14</v>
      </c>
      <c r="C881">
        <v>-1.3</v>
      </c>
      <c r="D881">
        <v>444.44</v>
      </c>
      <c r="E881">
        <v>3.5</v>
      </c>
      <c r="F881">
        <v>3.6</v>
      </c>
      <c r="G881">
        <v>1.35</v>
      </c>
      <c r="H881">
        <v>3.29</v>
      </c>
      <c r="I881">
        <v>3.0992000000000002</v>
      </c>
      <c r="J881">
        <v>182</v>
      </c>
      <c r="K881" t="s">
        <v>142</v>
      </c>
      <c r="L881" t="s">
        <v>46</v>
      </c>
      <c r="M881">
        <v>3</v>
      </c>
      <c r="N881">
        <v>57.981000000000002</v>
      </c>
      <c r="O881">
        <v>7.25</v>
      </c>
      <c r="P881">
        <v>1.89</v>
      </c>
      <c r="Q881" t="s">
        <v>52</v>
      </c>
      <c r="R881">
        <v>60</v>
      </c>
      <c r="S881">
        <v>18</v>
      </c>
      <c r="T881">
        <v>500</v>
      </c>
      <c r="U881">
        <v>2</v>
      </c>
      <c r="V881" s="7">
        <v>0.775575856753842</v>
      </c>
      <c r="W881">
        <v>104.8</v>
      </c>
      <c r="X881">
        <v>0.81</v>
      </c>
      <c r="Y881">
        <v>31</v>
      </c>
      <c r="AA881">
        <v>5</v>
      </c>
      <c r="AB881">
        <v>34.85</v>
      </c>
      <c r="AC881" s="17">
        <v>84</v>
      </c>
      <c r="AD881">
        <f t="shared" si="22"/>
        <v>50</v>
      </c>
      <c r="AE881" s="9">
        <v>125.75</v>
      </c>
      <c r="AF881" s="11">
        <v>0.2047713717693837</v>
      </c>
    </row>
    <row r="882" spans="1:32" x14ac:dyDescent="0.3">
      <c r="A882" t="s">
        <v>144</v>
      </c>
      <c r="B882" t="s">
        <v>14</v>
      </c>
      <c r="C882">
        <v>-1.3</v>
      </c>
      <c r="D882">
        <v>444.44</v>
      </c>
      <c r="E882">
        <v>3.5</v>
      </c>
      <c r="F882">
        <v>3.6</v>
      </c>
      <c r="G882">
        <v>1.35</v>
      </c>
      <c r="H882">
        <v>3.29</v>
      </c>
      <c r="I882">
        <v>3.0992000000000002</v>
      </c>
      <c r="J882">
        <v>182</v>
      </c>
      <c r="K882" t="s">
        <v>142</v>
      </c>
      <c r="L882" t="s">
        <v>46</v>
      </c>
      <c r="M882">
        <v>3</v>
      </c>
      <c r="N882">
        <v>57.981000000000002</v>
      </c>
      <c r="O882">
        <v>7.25</v>
      </c>
      <c r="P882">
        <v>1.89</v>
      </c>
      <c r="Q882" t="s">
        <v>52</v>
      </c>
      <c r="R882">
        <v>60</v>
      </c>
      <c r="S882">
        <v>18</v>
      </c>
      <c r="T882">
        <v>500</v>
      </c>
      <c r="U882">
        <v>2</v>
      </c>
      <c r="V882" s="7">
        <v>0.775575856753842</v>
      </c>
      <c r="W882">
        <v>104.8</v>
      </c>
      <c r="X882">
        <v>0.81</v>
      </c>
      <c r="Y882">
        <v>31</v>
      </c>
      <c r="AA882">
        <v>5</v>
      </c>
      <c r="AB882">
        <v>34.85</v>
      </c>
      <c r="AC882" s="17">
        <v>84</v>
      </c>
      <c r="AD882">
        <f t="shared" si="22"/>
        <v>50</v>
      </c>
      <c r="AE882" s="9">
        <v>149.75</v>
      </c>
      <c r="AF882" s="11">
        <v>0.17863105175292154</v>
      </c>
    </row>
    <row r="883" spans="1:32" x14ac:dyDescent="0.3">
      <c r="A883" t="s">
        <v>144</v>
      </c>
      <c r="B883" t="s">
        <v>14</v>
      </c>
      <c r="C883">
        <v>-1.3</v>
      </c>
      <c r="D883">
        <v>444.44</v>
      </c>
      <c r="E883">
        <v>3.5</v>
      </c>
      <c r="F883">
        <v>3.6</v>
      </c>
      <c r="G883">
        <v>1.35</v>
      </c>
      <c r="H883">
        <v>3.29</v>
      </c>
      <c r="I883">
        <v>3.0992000000000002</v>
      </c>
      <c r="J883">
        <v>182</v>
      </c>
      <c r="K883" t="s">
        <v>142</v>
      </c>
      <c r="L883" t="s">
        <v>46</v>
      </c>
      <c r="M883">
        <v>3</v>
      </c>
      <c r="N883">
        <v>57.981000000000002</v>
      </c>
      <c r="O883">
        <v>7.25</v>
      </c>
      <c r="P883">
        <v>1.89</v>
      </c>
      <c r="Q883" t="s">
        <v>52</v>
      </c>
      <c r="R883">
        <v>60</v>
      </c>
      <c r="S883">
        <v>18</v>
      </c>
      <c r="T883">
        <v>500</v>
      </c>
      <c r="U883">
        <v>2</v>
      </c>
      <c r="V883" s="7">
        <v>0.775575856753842</v>
      </c>
      <c r="W883">
        <v>104.8</v>
      </c>
      <c r="X883">
        <v>0.81</v>
      </c>
      <c r="Y883">
        <v>31</v>
      </c>
      <c r="AA883">
        <v>7</v>
      </c>
      <c r="AB883">
        <v>34.85</v>
      </c>
      <c r="AC883" s="17">
        <v>84</v>
      </c>
      <c r="AD883">
        <f t="shared" si="22"/>
        <v>50</v>
      </c>
      <c r="AE883" s="9">
        <v>25.5</v>
      </c>
      <c r="AF883" s="11">
        <v>0.72549019607843135</v>
      </c>
    </row>
    <row r="884" spans="1:32" x14ac:dyDescent="0.3">
      <c r="A884" t="s">
        <v>144</v>
      </c>
      <c r="B884" t="s">
        <v>14</v>
      </c>
      <c r="C884">
        <v>-1.3</v>
      </c>
      <c r="D884">
        <v>444.44</v>
      </c>
      <c r="E884">
        <v>3.5</v>
      </c>
      <c r="F884">
        <v>3.6</v>
      </c>
      <c r="G884">
        <v>1.35</v>
      </c>
      <c r="H884">
        <v>3.29</v>
      </c>
      <c r="I884">
        <v>3.0992000000000002</v>
      </c>
      <c r="J884">
        <v>182</v>
      </c>
      <c r="K884" t="s">
        <v>142</v>
      </c>
      <c r="L884" t="s">
        <v>46</v>
      </c>
      <c r="M884">
        <v>3</v>
      </c>
      <c r="N884">
        <v>57.981000000000002</v>
      </c>
      <c r="O884">
        <v>7.25</v>
      </c>
      <c r="P884">
        <v>1.89</v>
      </c>
      <c r="Q884" t="s">
        <v>52</v>
      </c>
      <c r="R884">
        <v>60</v>
      </c>
      <c r="S884">
        <v>18</v>
      </c>
      <c r="T884">
        <v>500</v>
      </c>
      <c r="U884">
        <v>2</v>
      </c>
      <c r="V884" s="7">
        <v>0.775575856753842</v>
      </c>
      <c r="W884">
        <v>104.8</v>
      </c>
      <c r="X884">
        <v>0.81</v>
      </c>
      <c r="Y884">
        <v>31</v>
      </c>
      <c r="AA884">
        <v>7</v>
      </c>
      <c r="AB884">
        <v>34.85</v>
      </c>
      <c r="AC884" s="17">
        <v>84</v>
      </c>
      <c r="AD884">
        <f t="shared" si="22"/>
        <v>50</v>
      </c>
      <c r="AE884" s="9">
        <v>50</v>
      </c>
      <c r="AF884" s="11">
        <v>0.66</v>
      </c>
    </row>
    <row r="885" spans="1:32" x14ac:dyDescent="0.3">
      <c r="A885" t="s">
        <v>144</v>
      </c>
      <c r="B885" t="s">
        <v>14</v>
      </c>
      <c r="C885">
        <v>-1.3</v>
      </c>
      <c r="D885">
        <v>444.44</v>
      </c>
      <c r="E885">
        <v>3.5</v>
      </c>
      <c r="F885">
        <v>3.6</v>
      </c>
      <c r="G885">
        <v>1.35</v>
      </c>
      <c r="H885">
        <v>3.29</v>
      </c>
      <c r="I885">
        <v>3.0992000000000002</v>
      </c>
      <c r="J885">
        <v>182</v>
      </c>
      <c r="K885" t="s">
        <v>142</v>
      </c>
      <c r="L885" t="s">
        <v>46</v>
      </c>
      <c r="M885">
        <v>3</v>
      </c>
      <c r="N885">
        <v>57.981000000000002</v>
      </c>
      <c r="O885">
        <v>7.25</v>
      </c>
      <c r="P885">
        <v>1.89</v>
      </c>
      <c r="Q885" t="s">
        <v>52</v>
      </c>
      <c r="R885">
        <v>60</v>
      </c>
      <c r="S885">
        <v>18</v>
      </c>
      <c r="T885">
        <v>500</v>
      </c>
      <c r="U885">
        <v>2</v>
      </c>
      <c r="V885" s="7">
        <v>0.775575856753842</v>
      </c>
      <c r="W885">
        <v>104.8</v>
      </c>
      <c r="X885">
        <v>0.81</v>
      </c>
      <c r="Y885">
        <v>31</v>
      </c>
      <c r="AA885">
        <v>7</v>
      </c>
      <c r="AB885">
        <v>34.85</v>
      </c>
      <c r="AC885" s="17">
        <v>84</v>
      </c>
      <c r="AD885">
        <f t="shared" si="22"/>
        <v>50</v>
      </c>
      <c r="AE885" s="9">
        <v>74.5</v>
      </c>
      <c r="AF885" s="11">
        <v>0.61073825503355705</v>
      </c>
    </row>
    <row r="886" spans="1:32" x14ac:dyDescent="0.3">
      <c r="A886" t="s">
        <v>144</v>
      </c>
      <c r="B886" t="s">
        <v>14</v>
      </c>
      <c r="C886">
        <v>-1.3</v>
      </c>
      <c r="D886">
        <v>444.44</v>
      </c>
      <c r="E886">
        <v>3.5</v>
      </c>
      <c r="F886">
        <v>3.6</v>
      </c>
      <c r="G886">
        <v>1.35</v>
      </c>
      <c r="H886">
        <v>3.29</v>
      </c>
      <c r="I886">
        <v>3.0992000000000002</v>
      </c>
      <c r="J886">
        <v>182</v>
      </c>
      <c r="K886" t="s">
        <v>142</v>
      </c>
      <c r="L886" t="s">
        <v>46</v>
      </c>
      <c r="M886">
        <v>3</v>
      </c>
      <c r="N886">
        <v>57.981000000000002</v>
      </c>
      <c r="O886">
        <v>7.25</v>
      </c>
      <c r="P886">
        <v>1.89</v>
      </c>
      <c r="Q886" t="s">
        <v>52</v>
      </c>
      <c r="R886">
        <v>60</v>
      </c>
      <c r="S886">
        <v>18</v>
      </c>
      <c r="T886">
        <v>500</v>
      </c>
      <c r="U886">
        <v>2</v>
      </c>
      <c r="V886" s="7">
        <v>0.775575856753842</v>
      </c>
      <c r="W886">
        <v>104.8</v>
      </c>
      <c r="X886">
        <v>0.81</v>
      </c>
      <c r="Y886">
        <v>31</v>
      </c>
      <c r="AA886">
        <v>7</v>
      </c>
      <c r="AB886">
        <v>34.85</v>
      </c>
      <c r="AC886" s="17">
        <v>84</v>
      </c>
      <c r="AD886">
        <f t="shared" si="22"/>
        <v>50</v>
      </c>
      <c r="AE886" s="9">
        <v>100</v>
      </c>
      <c r="AF886" s="11">
        <v>0.56999999999999995</v>
      </c>
    </row>
    <row r="887" spans="1:32" x14ac:dyDescent="0.3">
      <c r="A887" t="s">
        <v>144</v>
      </c>
      <c r="B887" t="s">
        <v>14</v>
      </c>
      <c r="C887">
        <v>-1.3</v>
      </c>
      <c r="D887">
        <v>444.44</v>
      </c>
      <c r="E887">
        <v>3.5</v>
      </c>
      <c r="F887">
        <v>3.6</v>
      </c>
      <c r="G887">
        <v>1.35</v>
      </c>
      <c r="H887">
        <v>3.29</v>
      </c>
      <c r="I887">
        <v>3.0992000000000002</v>
      </c>
      <c r="J887">
        <v>182</v>
      </c>
      <c r="K887" t="s">
        <v>142</v>
      </c>
      <c r="L887" t="s">
        <v>46</v>
      </c>
      <c r="M887">
        <v>3</v>
      </c>
      <c r="N887">
        <v>57.981000000000002</v>
      </c>
      <c r="O887">
        <v>7.25</v>
      </c>
      <c r="P887">
        <v>1.89</v>
      </c>
      <c r="Q887" t="s">
        <v>52</v>
      </c>
      <c r="R887">
        <v>60</v>
      </c>
      <c r="S887">
        <v>18</v>
      </c>
      <c r="T887">
        <v>500</v>
      </c>
      <c r="U887">
        <v>2</v>
      </c>
      <c r="V887" s="7">
        <v>0.775575856753842</v>
      </c>
      <c r="W887">
        <v>104.8</v>
      </c>
      <c r="X887">
        <v>0.81</v>
      </c>
      <c r="Y887">
        <v>31</v>
      </c>
      <c r="AA887">
        <v>7</v>
      </c>
      <c r="AB887">
        <v>34.85</v>
      </c>
      <c r="AC887" s="17">
        <v>84</v>
      </c>
      <c r="AD887">
        <f t="shared" si="22"/>
        <v>50</v>
      </c>
      <c r="AE887" s="9">
        <v>125.5</v>
      </c>
      <c r="AF887" s="11">
        <v>0.51394422310756971</v>
      </c>
    </row>
    <row r="888" spans="1:32" x14ac:dyDescent="0.3">
      <c r="A888" t="s">
        <v>144</v>
      </c>
      <c r="B888" t="s">
        <v>14</v>
      </c>
      <c r="C888">
        <v>-1.3</v>
      </c>
      <c r="D888">
        <v>444.44</v>
      </c>
      <c r="E888">
        <v>3.5</v>
      </c>
      <c r="F888">
        <v>3.6</v>
      </c>
      <c r="G888">
        <v>1.35</v>
      </c>
      <c r="H888">
        <v>3.29</v>
      </c>
      <c r="I888">
        <v>3.0992000000000002</v>
      </c>
      <c r="J888">
        <v>182</v>
      </c>
      <c r="K888" t="s">
        <v>142</v>
      </c>
      <c r="L888" t="s">
        <v>46</v>
      </c>
      <c r="M888">
        <v>3</v>
      </c>
      <c r="N888">
        <v>57.981000000000002</v>
      </c>
      <c r="O888">
        <v>7.25</v>
      </c>
      <c r="P888">
        <v>1.89</v>
      </c>
      <c r="Q888" t="s">
        <v>52</v>
      </c>
      <c r="R888">
        <v>60</v>
      </c>
      <c r="S888">
        <v>18</v>
      </c>
      <c r="T888">
        <v>500</v>
      </c>
      <c r="U888">
        <v>2</v>
      </c>
      <c r="V888" s="7">
        <v>0.775575856753842</v>
      </c>
      <c r="W888">
        <v>104.8</v>
      </c>
      <c r="X888">
        <v>0.81</v>
      </c>
      <c r="Y888">
        <v>31</v>
      </c>
      <c r="AA888">
        <v>7</v>
      </c>
      <c r="AB888">
        <v>34.85</v>
      </c>
      <c r="AC888" s="17">
        <v>84</v>
      </c>
      <c r="AD888">
        <f t="shared" si="22"/>
        <v>50</v>
      </c>
      <c r="AE888" s="9">
        <v>150</v>
      </c>
      <c r="AF888" s="11">
        <v>0.44666666666666666</v>
      </c>
    </row>
    <row r="889" spans="1:32" x14ac:dyDescent="0.3">
      <c r="A889" t="s">
        <v>144</v>
      </c>
      <c r="B889" t="s">
        <v>14</v>
      </c>
      <c r="C889">
        <v>-1.3</v>
      </c>
      <c r="D889">
        <v>444.44</v>
      </c>
      <c r="E889">
        <v>3.5</v>
      </c>
      <c r="F889">
        <v>3.6</v>
      </c>
      <c r="G889">
        <v>1.35</v>
      </c>
      <c r="H889">
        <v>3.29</v>
      </c>
      <c r="I889">
        <v>3.0992000000000002</v>
      </c>
      <c r="J889">
        <v>182</v>
      </c>
      <c r="K889" t="s">
        <v>142</v>
      </c>
      <c r="L889" t="s">
        <v>46</v>
      </c>
      <c r="M889">
        <v>3</v>
      </c>
      <c r="N889">
        <v>57.981000000000002</v>
      </c>
      <c r="O889">
        <v>7.25</v>
      </c>
      <c r="P889">
        <v>1.89</v>
      </c>
      <c r="Q889" t="s">
        <v>52</v>
      </c>
      <c r="R889">
        <v>60</v>
      </c>
      <c r="S889">
        <v>18</v>
      </c>
      <c r="T889">
        <v>500</v>
      </c>
      <c r="U889">
        <v>2</v>
      </c>
      <c r="V889" s="7">
        <v>0.775575856753842</v>
      </c>
      <c r="W889">
        <v>104.8</v>
      </c>
      <c r="X889">
        <v>0.81</v>
      </c>
      <c r="Y889">
        <v>31</v>
      </c>
      <c r="AA889">
        <v>9</v>
      </c>
      <c r="AB889">
        <v>34.85</v>
      </c>
      <c r="AC889" s="17">
        <v>84</v>
      </c>
      <c r="AD889">
        <f t="shared" si="22"/>
        <v>50</v>
      </c>
      <c r="AE889" s="9">
        <v>25</v>
      </c>
      <c r="AF889" s="11">
        <v>0.68</v>
      </c>
    </row>
    <row r="890" spans="1:32" x14ac:dyDescent="0.3">
      <c r="A890" t="s">
        <v>144</v>
      </c>
      <c r="B890" t="s">
        <v>14</v>
      </c>
      <c r="C890">
        <v>-1.3</v>
      </c>
      <c r="D890">
        <v>444.44</v>
      </c>
      <c r="E890">
        <v>3.5</v>
      </c>
      <c r="F890">
        <v>3.6</v>
      </c>
      <c r="G890">
        <v>1.35</v>
      </c>
      <c r="H890">
        <v>3.29</v>
      </c>
      <c r="I890">
        <v>3.0992000000000002</v>
      </c>
      <c r="J890">
        <v>182</v>
      </c>
      <c r="K890" t="s">
        <v>142</v>
      </c>
      <c r="L890" t="s">
        <v>46</v>
      </c>
      <c r="M890">
        <v>3</v>
      </c>
      <c r="N890">
        <v>57.981000000000002</v>
      </c>
      <c r="O890">
        <v>7.25</v>
      </c>
      <c r="P890">
        <v>1.89</v>
      </c>
      <c r="Q890" t="s">
        <v>52</v>
      </c>
      <c r="R890">
        <v>60</v>
      </c>
      <c r="S890">
        <v>18</v>
      </c>
      <c r="T890">
        <v>500</v>
      </c>
      <c r="U890">
        <v>2</v>
      </c>
      <c r="V890" s="7">
        <v>0.775575856753842</v>
      </c>
      <c r="W890">
        <v>104.8</v>
      </c>
      <c r="X890">
        <v>0.81</v>
      </c>
      <c r="Y890">
        <v>31</v>
      </c>
      <c r="AA890">
        <v>9</v>
      </c>
      <c r="AB890">
        <v>34.85</v>
      </c>
      <c r="AC890" s="17">
        <v>84</v>
      </c>
      <c r="AD890">
        <f t="shared" si="22"/>
        <v>50</v>
      </c>
      <c r="AE890" s="9">
        <v>50</v>
      </c>
      <c r="AF890" s="11">
        <v>0.72</v>
      </c>
    </row>
    <row r="891" spans="1:32" x14ac:dyDescent="0.3">
      <c r="A891" t="s">
        <v>144</v>
      </c>
      <c r="B891" t="s">
        <v>14</v>
      </c>
      <c r="C891">
        <v>-1.3</v>
      </c>
      <c r="D891">
        <v>444.44</v>
      </c>
      <c r="E891">
        <v>3.5</v>
      </c>
      <c r="F891">
        <v>3.6</v>
      </c>
      <c r="G891">
        <v>1.35</v>
      </c>
      <c r="H891">
        <v>3.29</v>
      </c>
      <c r="I891">
        <v>3.0992000000000002</v>
      </c>
      <c r="J891">
        <v>182</v>
      </c>
      <c r="K891" t="s">
        <v>142</v>
      </c>
      <c r="L891" t="s">
        <v>46</v>
      </c>
      <c r="M891">
        <v>3</v>
      </c>
      <c r="N891">
        <v>57.981000000000002</v>
      </c>
      <c r="O891">
        <v>7.25</v>
      </c>
      <c r="P891">
        <v>1.89</v>
      </c>
      <c r="Q891" t="s">
        <v>52</v>
      </c>
      <c r="R891">
        <v>60</v>
      </c>
      <c r="S891">
        <v>18</v>
      </c>
      <c r="T891">
        <v>500</v>
      </c>
      <c r="U891">
        <v>2</v>
      </c>
      <c r="V891" s="7">
        <v>0.775575856753842</v>
      </c>
      <c r="W891">
        <v>104.8</v>
      </c>
      <c r="X891">
        <v>0.81</v>
      </c>
      <c r="Y891">
        <v>31</v>
      </c>
      <c r="AA891">
        <v>9</v>
      </c>
      <c r="AB891">
        <v>34.85</v>
      </c>
      <c r="AC891" s="17">
        <v>84</v>
      </c>
      <c r="AD891">
        <f t="shared" si="22"/>
        <v>50</v>
      </c>
      <c r="AE891" s="9">
        <v>75.5</v>
      </c>
      <c r="AF891" s="11">
        <v>0.69536423841059603</v>
      </c>
    </row>
    <row r="892" spans="1:32" x14ac:dyDescent="0.3">
      <c r="A892" t="s">
        <v>144</v>
      </c>
      <c r="B892" t="s">
        <v>14</v>
      </c>
      <c r="C892">
        <v>-1.3</v>
      </c>
      <c r="D892">
        <v>444.44</v>
      </c>
      <c r="E892">
        <v>3.5</v>
      </c>
      <c r="F892">
        <v>3.6</v>
      </c>
      <c r="G892">
        <v>1.35</v>
      </c>
      <c r="H892">
        <v>3.29</v>
      </c>
      <c r="I892">
        <v>3.0992000000000002</v>
      </c>
      <c r="J892">
        <v>182</v>
      </c>
      <c r="K892" t="s">
        <v>142</v>
      </c>
      <c r="L892" t="s">
        <v>46</v>
      </c>
      <c r="M892">
        <v>3</v>
      </c>
      <c r="N892">
        <v>57.981000000000002</v>
      </c>
      <c r="O892">
        <v>7.25</v>
      </c>
      <c r="P892">
        <v>1.89</v>
      </c>
      <c r="Q892" t="s">
        <v>52</v>
      </c>
      <c r="R892">
        <v>60</v>
      </c>
      <c r="S892">
        <v>18</v>
      </c>
      <c r="T892">
        <v>500</v>
      </c>
      <c r="U892">
        <v>2</v>
      </c>
      <c r="V892" s="7">
        <v>0.775575856753842</v>
      </c>
      <c r="W892">
        <v>104.8</v>
      </c>
      <c r="X892">
        <v>0.81</v>
      </c>
      <c r="Y892">
        <v>31</v>
      </c>
      <c r="AA892">
        <v>9</v>
      </c>
      <c r="AB892">
        <v>34.85</v>
      </c>
      <c r="AC892" s="17">
        <v>84</v>
      </c>
      <c r="AD892">
        <f t="shared" si="22"/>
        <v>50</v>
      </c>
      <c r="AE892" s="9">
        <v>125.5</v>
      </c>
      <c r="AF892" s="11">
        <v>0.64143426294820716</v>
      </c>
    </row>
    <row r="893" spans="1:32" x14ac:dyDescent="0.3">
      <c r="A893" t="s">
        <v>144</v>
      </c>
      <c r="B893" t="s">
        <v>14</v>
      </c>
      <c r="C893">
        <v>-1.3</v>
      </c>
      <c r="D893">
        <v>444.44</v>
      </c>
      <c r="E893">
        <v>3.5</v>
      </c>
      <c r="F893">
        <v>3.6</v>
      </c>
      <c r="G893">
        <v>1.35</v>
      </c>
      <c r="H893">
        <v>3.29</v>
      </c>
      <c r="I893">
        <v>3.0992000000000002</v>
      </c>
      <c r="J893">
        <v>182</v>
      </c>
      <c r="K893" t="s">
        <v>142</v>
      </c>
      <c r="L893" t="s">
        <v>46</v>
      </c>
      <c r="M893">
        <v>3</v>
      </c>
      <c r="N893">
        <v>57.981000000000002</v>
      </c>
      <c r="O893">
        <v>7.25</v>
      </c>
      <c r="P893">
        <v>1.89</v>
      </c>
      <c r="Q893" t="s">
        <v>52</v>
      </c>
      <c r="R893">
        <v>60</v>
      </c>
      <c r="S893">
        <v>18</v>
      </c>
      <c r="T893">
        <v>500</v>
      </c>
      <c r="U893">
        <v>2</v>
      </c>
      <c r="V893" s="7">
        <v>0.775575856753842</v>
      </c>
      <c r="W893">
        <v>104.8</v>
      </c>
      <c r="X893">
        <v>0.81</v>
      </c>
      <c r="Y893">
        <v>31</v>
      </c>
      <c r="AA893">
        <v>9</v>
      </c>
      <c r="AB893">
        <v>34.85</v>
      </c>
      <c r="AC893" s="17">
        <v>84</v>
      </c>
      <c r="AD893">
        <f t="shared" si="22"/>
        <v>50</v>
      </c>
      <c r="AE893" s="9">
        <v>150</v>
      </c>
      <c r="AF893" s="11">
        <v>0.56000000000000005</v>
      </c>
    </row>
    <row r="894" spans="1:32" x14ac:dyDescent="0.3">
      <c r="A894" s="25" t="s">
        <v>145</v>
      </c>
      <c r="B894" t="s">
        <v>49</v>
      </c>
      <c r="C894">
        <v>-2.67</v>
      </c>
      <c r="D894">
        <v>365.41</v>
      </c>
      <c r="E894">
        <v>2.2000000000000002</v>
      </c>
      <c r="F894">
        <v>2.6</v>
      </c>
      <c r="G894">
        <v>0.9</v>
      </c>
      <c r="H894">
        <v>1.7</v>
      </c>
      <c r="I894">
        <v>2.5385</v>
      </c>
      <c r="J894">
        <v>158</v>
      </c>
      <c r="K894" t="s">
        <v>55</v>
      </c>
      <c r="L894" t="s">
        <v>51</v>
      </c>
      <c r="M894">
        <v>3</v>
      </c>
      <c r="N894">
        <v>27.222000000000001</v>
      </c>
      <c r="O894">
        <v>0</v>
      </c>
      <c r="P894" s="13">
        <v>1.5189999999999999</v>
      </c>
      <c r="Q894" t="s">
        <v>52</v>
      </c>
      <c r="R894">
        <v>80</v>
      </c>
      <c r="S894">
        <v>24</v>
      </c>
      <c r="T894" t="s">
        <v>164</v>
      </c>
      <c r="U894" t="s">
        <v>164</v>
      </c>
      <c r="V894" s="7">
        <v>0.76028887437069659</v>
      </c>
      <c r="W894">
        <v>5.7046000000000001</v>
      </c>
      <c r="X894">
        <v>0.132215</v>
      </c>
      <c r="Y894">
        <v>10.545299999999999</v>
      </c>
      <c r="AA894">
        <v>3</v>
      </c>
      <c r="AB894">
        <v>25</v>
      </c>
      <c r="AC894" s="17">
        <f>120/60</f>
        <v>2</v>
      </c>
      <c r="AD894">
        <v>0.05</v>
      </c>
      <c r="AE894">
        <v>100</v>
      </c>
      <c r="AF894" s="11">
        <v>0.06</v>
      </c>
    </row>
    <row r="895" spans="1:32" x14ac:dyDescent="0.3">
      <c r="A895" s="25" t="s">
        <v>145</v>
      </c>
      <c r="B895" t="s">
        <v>49</v>
      </c>
      <c r="C895">
        <v>-2.67</v>
      </c>
      <c r="D895">
        <v>365.41</v>
      </c>
      <c r="E895">
        <v>2.2000000000000002</v>
      </c>
      <c r="F895">
        <v>2.6</v>
      </c>
      <c r="G895">
        <v>0.9</v>
      </c>
      <c r="H895">
        <v>1.7</v>
      </c>
      <c r="I895">
        <v>2.5385</v>
      </c>
      <c r="J895">
        <v>158</v>
      </c>
      <c r="K895" t="s">
        <v>55</v>
      </c>
      <c r="L895" t="s">
        <v>51</v>
      </c>
      <c r="M895">
        <v>3</v>
      </c>
      <c r="N895">
        <v>27.222000000000001</v>
      </c>
      <c r="O895">
        <v>0</v>
      </c>
      <c r="P895" s="13">
        <v>1.5189999999999999</v>
      </c>
      <c r="Q895" t="s">
        <v>52</v>
      </c>
      <c r="R895">
        <v>80</v>
      </c>
      <c r="S895">
        <v>24</v>
      </c>
      <c r="T895" t="s">
        <v>164</v>
      </c>
      <c r="U895" t="s">
        <v>164</v>
      </c>
      <c r="V895" s="7">
        <v>0.76028887437069659</v>
      </c>
      <c r="W895">
        <v>5.7046000000000001</v>
      </c>
      <c r="X895">
        <v>0.132215</v>
      </c>
      <c r="Y895">
        <v>10.545299999999999</v>
      </c>
      <c r="AA895">
        <v>5</v>
      </c>
      <c r="AB895">
        <v>25</v>
      </c>
      <c r="AC895" s="17">
        <f t="shared" ref="AC895:AC898" si="23">120/60</f>
        <v>2</v>
      </c>
      <c r="AD895">
        <v>0.05</v>
      </c>
      <c r="AE895">
        <v>100</v>
      </c>
      <c r="AF895" s="11">
        <v>0.17</v>
      </c>
    </row>
    <row r="896" spans="1:32" x14ac:dyDescent="0.3">
      <c r="A896" s="25" t="s">
        <v>145</v>
      </c>
      <c r="B896" t="s">
        <v>49</v>
      </c>
      <c r="C896">
        <v>-2.67</v>
      </c>
      <c r="D896">
        <v>365.41</v>
      </c>
      <c r="E896">
        <v>2.2000000000000002</v>
      </c>
      <c r="F896">
        <v>2.6</v>
      </c>
      <c r="G896">
        <v>0.9</v>
      </c>
      <c r="H896">
        <v>1.7</v>
      </c>
      <c r="I896">
        <v>2.5385</v>
      </c>
      <c r="J896">
        <v>158</v>
      </c>
      <c r="K896" t="s">
        <v>55</v>
      </c>
      <c r="L896" t="s">
        <v>51</v>
      </c>
      <c r="M896">
        <v>3</v>
      </c>
      <c r="N896">
        <v>27.222000000000001</v>
      </c>
      <c r="O896">
        <v>0</v>
      </c>
      <c r="P896" s="13">
        <v>1.5189999999999999</v>
      </c>
      <c r="Q896" t="s">
        <v>52</v>
      </c>
      <c r="R896">
        <v>80</v>
      </c>
      <c r="S896">
        <v>24</v>
      </c>
      <c r="T896" t="s">
        <v>164</v>
      </c>
      <c r="U896" t="s">
        <v>164</v>
      </c>
      <c r="V896" s="7">
        <v>0.76028887437069659</v>
      </c>
      <c r="W896">
        <v>5.7046000000000001</v>
      </c>
      <c r="X896">
        <v>0.132215</v>
      </c>
      <c r="Y896">
        <v>10.545299999999999</v>
      </c>
      <c r="AA896">
        <v>7</v>
      </c>
      <c r="AB896">
        <v>25</v>
      </c>
      <c r="AC896" s="17">
        <f t="shared" si="23"/>
        <v>2</v>
      </c>
      <c r="AD896">
        <v>0.05</v>
      </c>
      <c r="AE896">
        <v>100</v>
      </c>
      <c r="AF896" s="11">
        <v>0.5</v>
      </c>
    </row>
    <row r="897" spans="1:32" x14ac:dyDescent="0.3">
      <c r="A897" s="25" t="s">
        <v>145</v>
      </c>
      <c r="B897" t="s">
        <v>49</v>
      </c>
      <c r="C897">
        <v>-2.67</v>
      </c>
      <c r="D897">
        <v>365.41</v>
      </c>
      <c r="E897">
        <v>2.2000000000000002</v>
      </c>
      <c r="F897">
        <v>2.6</v>
      </c>
      <c r="G897">
        <v>0.9</v>
      </c>
      <c r="H897">
        <v>1.7</v>
      </c>
      <c r="I897">
        <v>2.5385</v>
      </c>
      <c r="J897">
        <v>158</v>
      </c>
      <c r="K897" t="s">
        <v>55</v>
      </c>
      <c r="L897" t="s">
        <v>51</v>
      </c>
      <c r="M897">
        <v>3</v>
      </c>
      <c r="N897">
        <v>27.222000000000001</v>
      </c>
      <c r="O897">
        <v>0</v>
      </c>
      <c r="P897" s="13">
        <v>1.5189999999999999</v>
      </c>
      <c r="Q897" t="s">
        <v>52</v>
      </c>
      <c r="R897">
        <v>80</v>
      </c>
      <c r="S897">
        <v>24</v>
      </c>
      <c r="T897" t="s">
        <v>164</v>
      </c>
      <c r="U897" t="s">
        <v>164</v>
      </c>
      <c r="V897" s="7">
        <v>0.76028887437069659</v>
      </c>
      <c r="W897">
        <v>5.7046000000000001</v>
      </c>
      <c r="X897">
        <v>0.132215</v>
      </c>
      <c r="Y897">
        <v>10.545299999999999</v>
      </c>
      <c r="AA897">
        <v>9</v>
      </c>
      <c r="AB897">
        <v>25</v>
      </c>
      <c r="AC897" s="17">
        <f t="shared" si="23"/>
        <v>2</v>
      </c>
      <c r="AD897">
        <v>0.05</v>
      </c>
      <c r="AE897">
        <v>100</v>
      </c>
      <c r="AF897" s="11">
        <v>0.36</v>
      </c>
    </row>
    <row r="898" spans="1:32" x14ac:dyDescent="0.3">
      <c r="A898" s="25" t="s">
        <v>145</v>
      </c>
      <c r="B898" t="s">
        <v>49</v>
      </c>
      <c r="C898">
        <v>-2.67</v>
      </c>
      <c r="D898">
        <v>365.41</v>
      </c>
      <c r="E898">
        <v>2.2000000000000002</v>
      </c>
      <c r="F898">
        <v>2.6</v>
      </c>
      <c r="G898">
        <v>0.9</v>
      </c>
      <c r="H898">
        <v>1.7</v>
      </c>
      <c r="I898">
        <v>2.5385</v>
      </c>
      <c r="J898">
        <v>158</v>
      </c>
      <c r="K898" t="s">
        <v>55</v>
      </c>
      <c r="L898" t="s">
        <v>51</v>
      </c>
      <c r="M898">
        <v>3</v>
      </c>
      <c r="N898">
        <v>27.222000000000001</v>
      </c>
      <c r="O898">
        <v>0</v>
      </c>
      <c r="P898" s="13">
        <v>1.5189999999999999</v>
      </c>
      <c r="Q898" t="s">
        <v>52</v>
      </c>
      <c r="R898">
        <v>80</v>
      </c>
      <c r="S898">
        <v>24</v>
      </c>
      <c r="T898" t="s">
        <v>164</v>
      </c>
      <c r="U898" t="s">
        <v>164</v>
      </c>
      <c r="V898" s="7">
        <v>0.76028887437069659</v>
      </c>
      <c r="W898">
        <v>5.7046000000000001</v>
      </c>
      <c r="X898">
        <v>0.132215</v>
      </c>
      <c r="Y898">
        <v>10.545299999999999</v>
      </c>
      <c r="AA898">
        <v>11</v>
      </c>
      <c r="AB898">
        <v>25</v>
      </c>
      <c r="AC898" s="17">
        <f t="shared" si="23"/>
        <v>2</v>
      </c>
      <c r="AD898">
        <v>0.05</v>
      </c>
      <c r="AE898">
        <v>100</v>
      </c>
      <c r="AF898" s="11">
        <v>0.38</v>
      </c>
    </row>
    <row r="899" spans="1:32" x14ac:dyDescent="0.3">
      <c r="A899" s="25" t="s">
        <v>145</v>
      </c>
      <c r="B899" t="s">
        <v>49</v>
      </c>
      <c r="C899">
        <v>-2.67</v>
      </c>
      <c r="D899">
        <v>365.41</v>
      </c>
      <c r="E899">
        <v>2.2000000000000002</v>
      </c>
      <c r="F899">
        <v>2.6</v>
      </c>
      <c r="G899">
        <v>0.9</v>
      </c>
      <c r="H899">
        <v>1.7</v>
      </c>
      <c r="I899">
        <v>2.5385</v>
      </c>
      <c r="J899">
        <v>158</v>
      </c>
      <c r="K899" t="s">
        <v>55</v>
      </c>
      <c r="L899" t="s">
        <v>51</v>
      </c>
      <c r="M899">
        <v>3</v>
      </c>
      <c r="N899">
        <v>27.222000000000001</v>
      </c>
      <c r="O899">
        <v>0</v>
      </c>
      <c r="P899" s="13">
        <v>1.5189999999999999</v>
      </c>
      <c r="Q899" t="s">
        <v>52</v>
      </c>
      <c r="R899">
        <v>80</v>
      </c>
      <c r="S899">
        <v>24</v>
      </c>
      <c r="T899" t="s">
        <v>164</v>
      </c>
      <c r="U899" t="s">
        <v>164</v>
      </c>
      <c r="V899" s="7">
        <v>0.76028887437069659</v>
      </c>
      <c r="W899">
        <v>5.7046000000000001</v>
      </c>
      <c r="X899">
        <v>0.132215</v>
      </c>
      <c r="Y899">
        <v>10.545299999999999</v>
      </c>
      <c r="AA899">
        <v>7</v>
      </c>
      <c r="AB899">
        <v>25</v>
      </c>
      <c r="AC899" s="17">
        <f>30/60</f>
        <v>0.5</v>
      </c>
      <c r="AD899">
        <v>0.05</v>
      </c>
      <c r="AE899">
        <v>100</v>
      </c>
      <c r="AF899" s="11">
        <v>0.19</v>
      </c>
    </row>
    <row r="900" spans="1:32" x14ac:dyDescent="0.3">
      <c r="A900" s="25" t="s">
        <v>145</v>
      </c>
      <c r="B900" t="s">
        <v>49</v>
      </c>
      <c r="C900">
        <v>-2.67</v>
      </c>
      <c r="D900">
        <v>365.41</v>
      </c>
      <c r="E900">
        <v>2.2000000000000002</v>
      </c>
      <c r="F900">
        <v>2.6</v>
      </c>
      <c r="G900">
        <v>0.9</v>
      </c>
      <c r="H900">
        <v>1.7</v>
      </c>
      <c r="I900">
        <v>2.5385</v>
      </c>
      <c r="J900">
        <v>158</v>
      </c>
      <c r="K900" t="s">
        <v>55</v>
      </c>
      <c r="L900" t="s">
        <v>51</v>
      </c>
      <c r="M900">
        <v>3</v>
      </c>
      <c r="N900">
        <v>27.222000000000001</v>
      </c>
      <c r="O900">
        <v>0</v>
      </c>
      <c r="P900" s="13">
        <v>1.5189999999999999</v>
      </c>
      <c r="Q900" t="s">
        <v>52</v>
      </c>
      <c r="R900">
        <v>80</v>
      </c>
      <c r="S900">
        <v>24</v>
      </c>
      <c r="T900" t="s">
        <v>164</v>
      </c>
      <c r="U900" t="s">
        <v>164</v>
      </c>
      <c r="V900" s="7">
        <v>0.76028887437069659</v>
      </c>
      <c r="W900">
        <v>5.7046000000000001</v>
      </c>
      <c r="X900">
        <v>0.132215</v>
      </c>
      <c r="Y900">
        <v>10.545299999999999</v>
      </c>
      <c r="AA900">
        <v>7</v>
      </c>
      <c r="AB900">
        <v>25</v>
      </c>
      <c r="AC900" s="17">
        <v>1</v>
      </c>
      <c r="AD900">
        <v>0.05</v>
      </c>
      <c r="AE900">
        <v>100</v>
      </c>
      <c r="AF900" s="11">
        <v>0.4</v>
      </c>
    </row>
    <row r="901" spans="1:32" x14ac:dyDescent="0.3">
      <c r="A901" s="25" t="s">
        <v>145</v>
      </c>
      <c r="B901" t="s">
        <v>49</v>
      </c>
      <c r="C901">
        <v>-2.67</v>
      </c>
      <c r="D901">
        <v>365.41</v>
      </c>
      <c r="E901">
        <v>2.2000000000000002</v>
      </c>
      <c r="F901">
        <v>2.6</v>
      </c>
      <c r="G901">
        <v>0.9</v>
      </c>
      <c r="H901">
        <v>1.7</v>
      </c>
      <c r="I901">
        <v>2.5385</v>
      </c>
      <c r="J901">
        <v>158</v>
      </c>
      <c r="K901" t="s">
        <v>55</v>
      </c>
      <c r="L901" t="s">
        <v>51</v>
      </c>
      <c r="M901">
        <v>3</v>
      </c>
      <c r="N901">
        <v>27.222000000000001</v>
      </c>
      <c r="O901">
        <v>0</v>
      </c>
      <c r="P901" s="13">
        <v>1.5189999999999999</v>
      </c>
      <c r="Q901" t="s">
        <v>52</v>
      </c>
      <c r="R901">
        <v>80</v>
      </c>
      <c r="S901">
        <v>24</v>
      </c>
      <c r="T901" t="s">
        <v>164</v>
      </c>
      <c r="U901" t="s">
        <v>164</v>
      </c>
      <c r="V901" s="7">
        <v>0.76028887437069659</v>
      </c>
      <c r="W901">
        <v>5.7046000000000001</v>
      </c>
      <c r="X901">
        <v>0.132215</v>
      </c>
      <c r="Y901">
        <v>10.545299999999999</v>
      </c>
      <c r="AA901">
        <v>7</v>
      </c>
      <c r="AB901">
        <v>25</v>
      </c>
      <c r="AC901" s="17">
        <v>1.5</v>
      </c>
      <c r="AD901">
        <v>0.05</v>
      </c>
      <c r="AE901">
        <v>100</v>
      </c>
      <c r="AF901" s="11">
        <v>0.45</v>
      </c>
    </row>
    <row r="902" spans="1:32" x14ac:dyDescent="0.3">
      <c r="A902" s="25" t="s">
        <v>145</v>
      </c>
      <c r="B902" t="s">
        <v>49</v>
      </c>
      <c r="C902">
        <v>-2.67</v>
      </c>
      <c r="D902">
        <v>365.41</v>
      </c>
      <c r="E902">
        <v>2.2000000000000002</v>
      </c>
      <c r="F902">
        <v>2.6</v>
      </c>
      <c r="G902">
        <v>0.9</v>
      </c>
      <c r="H902">
        <v>1.7</v>
      </c>
      <c r="I902">
        <v>2.5385</v>
      </c>
      <c r="J902">
        <v>158</v>
      </c>
      <c r="K902" t="s">
        <v>55</v>
      </c>
      <c r="L902" t="s">
        <v>51</v>
      </c>
      <c r="M902">
        <v>3</v>
      </c>
      <c r="N902">
        <v>27.222000000000001</v>
      </c>
      <c r="O902">
        <v>0</v>
      </c>
      <c r="P902" s="13">
        <v>1.5189999999999999</v>
      </c>
      <c r="Q902" t="s">
        <v>52</v>
      </c>
      <c r="R902">
        <v>80</v>
      </c>
      <c r="S902">
        <v>24</v>
      </c>
      <c r="T902" t="s">
        <v>164</v>
      </c>
      <c r="U902" t="s">
        <v>164</v>
      </c>
      <c r="V902" s="7">
        <v>0.76028887437069659</v>
      </c>
      <c r="W902">
        <v>5.7046000000000001</v>
      </c>
      <c r="X902">
        <v>0.132215</v>
      </c>
      <c r="Y902">
        <v>10.545299999999999</v>
      </c>
      <c r="AA902">
        <v>7</v>
      </c>
      <c r="AB902">
        <v>25</v>
      </c>
      <c r="AC902" s="17">
        <v>2</v>
      </c>
      <c r="AD902">
        <v>0.05</v>
      </c>
      <c r="AE902">
        <v>100</v>
      </c>
      <c r="AF902" s="11">
        <v>0.5</v>
      </c>
    </row>
    <row r="903" spans="1:32" x14ac:dyDescent="0.3">
      <c r="A903" s="25" t="s">
        <v>145</v>
      </c>
      <c r="B903" t="s">
        <v>49</v>
      </c>
      <c r="C903">
        <v>-2.67</v>
      </c>
      <c r="D903">
        <v>365.41</v>
      </c>
      <c r="E903">
        <v>2.2000000000000002</v>
      </c>
      <c r="F903">
        <v>2.6</v>
      </c>
      <c r="G903">
        <v>0.9</v>
      </c>
      <c r="H903">
        <v>1.7</v>
      </c>
      <c r="I903">
        <v>2.5385</v>
      </c>
      <c r="J903">
        <v>158</v>
      </c>
      <c r="K903" t="s">
        <v>55</v>
      </c>
      <c r="L903" t="s">
        <v>51</v>
      </c>
      <c r="M903">
        <v>3</v>
      </c>
      <c r="N903">
        <v>27.222000000000001</v>
      </c>
      <c r="O903">
        <v>0</v>
      </c>
      <c r="P903" s="13">
        <v>1.5189999999999999</v>
      </c>
      <c r="Q903" t="s">
        <v>52</v>
      </c>
      <c r="R903">
        <v>80</v>
      </c>
      <c r="S903">
        <v>24</v>
      </c>
      <c r="T903" t="s">
        <v>164</v>
      </c>
      <c r="U903" t="s">
        <v>164</v>
      </c>
      <c r="V903" s="7">
        <v>0.76028887437069659</v>
      </c>
      <c r="W903">
        <v>5.7046000000000001</v>
      </c>
      <c r="X903">
        <v>0.132215</v>
      </c>
      <c r="Y903">
        <v>10.545299999999999</v>
      </c>
      <c r="AA903">
        <v>7</v>
      </c>
      <c r="AB903">
        <v>25</v>
      </c>
      <c r="AC903" s="17">
        <f>150/60</f>
        <v>2.5</v>
      </c>
      <c r="AD903">
        <v>0.05</v>
      </c>
      <c r="AE903">
        <v>100</v>
      </c>
      <c r="AF903" s="11">
        <v>0.47</v>
      </c>
    </row>
    <row r="904" spans="1:32" x14ac:dyDescent="0.3">
      <c r="A904" s="25" t="s">
        <v>145</v>
      </c>
      <c r="B904" t="s">
        <v>49</v>
      </c>
      <c r="C904">
        <v>-2.67</v>
      </c>
      <c r="D904">
        <v>365.41</v>
      </c>
      <c r="E904">
        <v>2.2000000000000002</v>
      </c>
      <c r="F904">
        <v>2.6</v>
      </c>
      <c r="G904">
        <v>0.9</v>
      </c>
      <c r="H904">
        <v>1.7</v>
      </c>
      <c r="I904">
        <v>2.5385</v>
      </c>
      <c r="J904">
        <v>158</v>
      </c>
      <c r="K904" t="s">
        <v>55</v>
      </c>
      <c r="L904" t="s">
        <v>51</v>
      </c>
      <c r="M904">
        <v>3</v>
      </c>
      <c r="N904">
        <v>27.222000000000001</v>
      </c>
      <c r="O904">
        <v>0</v>
      </c>
      <c r="P904" s="13">
        <v>1.5189999999999999</v>
      </c>
      <c r="Q904" t="s">
        <v>52</v>
      </c>
      <c r="R904">
        <v>80</v>
      </c>
      <c r="S904">
        <v>24</v>
      </c>
      <c r="T904" t="s">
        <v>164</v>
      </c>
      <c r="U904" t="s">
        <v>164</v>
      </c>
      <c r="V904" s="7">
        <v>0.76028887437069659</v>
      </c>
      <c r="W904">
        <v>5.7046000000000001</v>
      </c>
      <c r="X904">
        <v>0.132215</v>
      </c>
      <c r="Y904">
        <v>10.545299999999999</v>
      </c>
      <c r="AA904">
        <v>7</v>
      </c>
      <c r="AB904">
        <v>25</v>
      </c>
      <c r="AC904" s="17">
        <f t="shared" ref="AC904:AC913" si="24">150/60</f>
        <v>2.5</v>
      </c>
      <c r="AD904">
        <v>0.05</v>
      </c>
      <c r="AE904">
        <v>100</v>
      </c>
      <c r="AF904" s="11">
        <v>0.5</v>
      </c>
    </row>
    <row r="905" spans="1:32" x14ac:dyDescent="0.3">
      <c r="A905" s="25" t="s">
        <v>145</v>
      </c>
      <c r="B905" t="s">
        <v>49</v>
      </c>
      <c r="C905">
        <v>-2.67</v>
      </c>
      <c r="D905">
        <v>365.41</v>
      </c>
      <c r="E905">
        <v>2.2000000000000002</v>
      </c>
      <c r="F905">
        <v>2.6</v>
      </c>
      <c r="G905">
        <v>0.9</v>
      </c>
      <c r="H905">
        <v>1.7</v>
      </c>
      <c r="I905">
        <v>2.5385</v>
      </c>
      <c r="J905">
        <v>158</v>
      </c>
      <c r="K905" t="s">
        <v>55</v>
      </c>
      <c r="L905" t="s">
        <v>51</v>
      </c>
      <c r="M905">
        <v>3</v>
      </c>
      <c r="N905">
        <v>27.222000000000001</v>
      </c>
      <c r="O905">
        <v>0</v>
      </c>
      <c r="P905" s="13">
        <v>1.5189999999999999</v>
      </c>
      <c r="Q905" t="s">
        <v>52</v>
      </c>
      <c r="R905">
        <v>80</v>
      </c>
      <c r="S905">
        <v>24</v>
      </c>
      <c r="T905" t="s">
        <v>164</v>
      </c>
      <c r="U905" t="s">
        <v>164</v>
      </c>
      <c r="V905" s="7">
        <v>0.76028887437069659</v>
      </c>
      <c r="W905">
        <v>5.7046000000000001</v>
      </c>
      <c r="X905">
        <v>0.132215</v>
      </c>
      <c r="Y905">
        <v>10.545299999999999</v>
      </c>
      <c r="AA905">
        <v>7</v>
      </c>
      <c r="AB905">
        <v>25</v>
      </c>
      <c r="AC905" s="17">
        <f t="shared" si="24"/>
        <v>2.5</v>
      </c>
      <c r="AD905">
        <v>0.05</v>
      </c>
      <c r="AE905">
        <v>200</v>
      </c>
      <c r="AF905" s="11">
        <v>0.18</v>
      </c>
    </row>
    <row r="906" spans="1:32" x14ac:dyDescent="0.3">
      <c r="A906" s="25" t="s">
        <v>145</v>
      </c>
      <c r="B906" t="s">
        <v>49</v>
      </c>
      <c r="C906">
        <v>-2.67</v>
      </c>
      <c r="D906">
        <v>365.41</v>
      </c>
      <c r="E906">
        <v>2.2000000000000002</v>
      </c>
      <c r="F906">
        <v>2.6</v>
      </c>
      <c r="G906">
        <v>0.9</v>
      </c>
      <c r="H906">
        <v>1.7</v>
      </c>
      <c r="I906">
        <v>2.5385</v>
      </c>
      <c r="J906">
        <v>158</v>
      </c>
      <c r="K906" t="s">
        <v>55</v>
      </c>
      <c r="L906" t="s">
        <v>51</v>
      </c>
      <c r="M906">
        <v>3</v>
      </c>
      <c r="N906">
        <v>27.222000000000001</v>
      </c>
      <c r="O906">
        <v>0</v>
      </c>
      <c r="P906" s="13">
        <v>1.5189999999999999</v>
      </c>
      <c r="Q906" t="s">
        <v>52</v>
      </c>
      <c r="R906">
        <v>80</v>
      </c>
      <c r="S906">
        <v>24</v>
      </c>
      <c r="T906" t="s">
        <v>164</v>
      </c>
      <c r="U906" t="s">
        <v>164</v>
      </c>
      <c r="V906" s="7">
        <v>0.76028887437069659</v>
      </c>
      <c r="W906">
        <v>5.7046000000000001</v>
      </c>
      <c r="X906">
        <v>0.132215</v>
      </c>
      <c r="Y906">
        <v>10.545299999999999</v>
      </c>
      <c r="AA906">
        <v>7</v>
      </c>
      <c r="AB906">
        <v>25</v>
      </c>
      <c r="AC906" s="17">
        <f t="shared" si="24"/>
        <v>2.5</v>
      </c>
      <c r="AD906">
        <v>0.05</v>
      </c>
      <c r="AE906">
        <v>300</v>
      </c>
      <c r="AF906" s="11">
        <v>0.13</v>
      </c>
    </row>
    <row r="907" spans="1:32" x14ac:dyDescent="0.3">
      <c r="A907" s="25" t="s">
        <v>145</v>
      </c>
      <c r="B907" t="s">
        <v>49</v>
      </c>
      <c r="C907">
        <v>-2.67</v>
      </c>
      <c r="D907">
        <v>365.41</v>
      </c>
      <c r="E907">
        <v>2.2000000000000002</v>
      </c>
      <c r="F907">
        <v>2.6</v>
      </c>
      <c r="G907">
        <v>0.9</v>
      </c>
      <c r="H907">
        <v>1.7</v>
      </c>
      <c r="I907">
        <v>2.5385</v>
      </c>
      <c r="J907">
        <v>158</v>
      </c>
      <c r="K907" t="s">
        <v>55</v>
      </c>
      <c r="L907" t="s">
        <v>51</v>
      </c>
      <c r="M907">
        <v>3</v>
      </c>
      <c r="N907">
        <v>27.222000000000001</v>
      </c>
      <c r="O907">
        <v>0</v>
      </c>
      <c r="P907" s="13">
        <v>1.5189999999999999</v>
      </c>
      <c r="Q907" t="s">
        <v>52</v>
      </c>
      <c r="R907">
        <v>80</v>
      </c>
      <c r="S907">
        <v>24</v>
      </c>
      <c r="T907" t="s">
        <v>164</v>
      </c>
      <c r="U907" t="s">
        <v>164</v>
      </c>
      <c r="V907" s="7">
        <v>0.76028887437069659</v>
      </c>
      <c r="W907">
        <v>5.7046000000000001</v>
      </c>
      <c r="X907">
        <v>0.132215</v>
      </c>
      <c r="Y907">
        <v>10.545299999999999</v>
      </c>
      <c r="AA907">
        <v>7</v>
      </c>
      <c r="AB907">
        <v>25</v>
      </c>
      <c r="AC907" s="17">
        <f t="shared" si="24"/>
        <v>2.5</v>
      </c>
      <c r="AD907">
        <v>0.05</v>
      </c>
      <c r="AE907">
        <v>400</v>
      </c>
      <c r="AF907" s="11">
        <v>0.11</v>
      </c>
    </row>
    <row r="908" spans="1:32" x14ac:dyDescent="0.3">
      <c r="A908" s="25" t="s">
        <v>145</v>
      </c>
      <c r="B908" t="s">
        <v>49</v>
      </c>
      <c r="C908">
        <v>-2.67</v>
      </c>
      <c r="D908">
        <v>365.41</v>
      </c>
      <c r="E908">
        <v>2.2000000000000002</v>
      </c>
      <c r="F908">
        <v>2.6</v>
      </c>
      <c r="G908">
        <v>0.9</v>
      </c>
      <c r="H908">
        <v>1.7</v>
      </c>
      <c r="I908">
        <v>2.5385</v>
      </c>
      <c r="J908">
        <v>158</v>
      </c>
      <c r="K908" t="s">
        <v>55</v>
      </c>
      <c r="L908" t="s">
        <v>51</v>
      </c>
      <c r="M908">
        <v>3</v>
      </c>
      <c r="N908">
        <v>27.222000000000001</v>
      </c>
      <c r="O908">
        <v>0</v>
      </c>
      <c r="P908" s="13">
        <v>1.5189999999999999</v>
      </c>
      <c r="Q908" t="s">
        <v>52</v>
      </c>
      <c r="R908">
        <v>80</v>
      </c>
      <c r="S908">
        <v>24</v>
      </c>
      <c r="T908" t="s">
        <v>164</v>
      </c>
      <c r="U908" t="s">
        <v>164</v>
      </c>
      <c r="V908" s="7">
        <v>0.76028887437069659</v>
      </c>
      <c r="W908">
        <v>5.7046000000000001</v>
      </c>
      <c r="X908">
        <v>0.132215</v>
      </c>
      <c r="Y908">
        <v>10.545299999999999</v>
      </c>
      <c r="AA908">
        <v>7</v>
      </c>
      <c r="AB908">
        <v>25</v>
      </c>
      <c r="AC908" s="17">
        <f t="shared" si="24"/>
        <v>2.5</v>
      </c>
      <c r="AD908">
        <v>0.05</v>
      </c>
      <c r="AE908">
        <v>500</v>
      </c>
      <c r="AF908" s="11">
        <v>0.09</v>
      </c>
    </row>
    <row r="909" spans="1:32" x14ac:dyDescent="0.3">
      <c r="A909" s="25" t="s">
        <v>145</v>
      </c>
      <c r="B909" t="s">
        <v>49</v>
      </c>
      <c r="C909">
        <v>-2.67</v>
      </c>
      <c r="D909">
        <v>365.41</v>
      </c>
      <c r="E909">
        <v>2.2000000000000002</v>
      </c>
      <c r="F909">
        <v>2.6</v>
      </c>
      <c r="G909">
        <v>0.9</v>
      </c>
      <c r="H909">
        <v>1.7</v>
      </c>
      <c r="I909">
        <v>2.5385</v>
      </c>
      <c r="J909">
        <v>158</v>
      </c>
      <c r="K909" t="s">
        <v>55</v>
      </c>
      <c r="L909" t="s">
        <v>51</v>
      </c>
      <c r="M909">
        <v>3</v>
      </c>
      <c r="N909">
        <v>27.222000000000001</v>
      </c>
      <c r="O909">
        <v>0</v>
      </c>
      <c r="P909" s="13">
        <v>1.5189999999999999</v>
      </c>
      <c r="Q909" t="s">
        <v>52</v>
      </c>
      <c r="R909">
        <v>80</v>
      </c>
      <c r="S909">
        <v>24</v>
      </c>
      <c r="T909" t="s">
        <v>164</v>
      </c>
      <c r="U909" t="s">
        <v>164</v>
      </c>
      <c r="V909" s="7">
        <v>0.76028887437069659</v>
      </c>
      <c r="W909">
        <v>5.7046000000000001</v>
      </c>
      <c r="X909">
        <v>0.132215</v>
      </c>
      <c r="Y909">
        <v>10.545299999999999</v>
      </c>
      <c r="AA909">
        <v>7</v>
      </c>
      <c r="AB909">
        <v>25</v>
      </c>
      <c r="AC909" s="17">
        <f t="shared" si="24"/>
        <v>2.5</v>
      </c>
      <c r="AD909">
        <v>0.01</v>
      </c>
      <c r="AE909">
        <v>100</v>
      </c>
      <c r="AF909" s="11">
        <v>0.1</v>
      </c>
    </row>
    <row r="910" spans="1:32" x14ac:dyDescent="0.3">
      <c r="A910" s="25" t="s">
        <v>145</v>
      </c>
      <c r="B910" t="s">
        <v>49</v>
      </c>
      <c r="C910">
        <v>-2.67</v>
      </c>
      <c r="D910">
        <v>365.41</v>
      </c>
      <c r="E910">
        <v>2.2000000000000002</v>
      </c>
      <c r="F910">
        <v>2.6</v>
      </c>
      <c r="G910">
        <v>0.9</v>
      </c>
      <c r="H910">
        <v>1.7</v>
      </c>
      <c r="I910">
        <v>2.5385</v>
      </c>
      <c r="J910">
        <v>158</v>
      </c>
      <c r="K910" t="s">
        <v>55</v>
      </c>
      <c r="L910" t="s">
        <v>51</v>
      </c>
      <c r="M910">
        <v>3</v>
      </c>
      <c r="N910">
        <v>27.222000000000001</v>
      </c>
      <c r="O910">
        <v>0</v>
      </c>
      <c r="P910" s="13">
        <v>1.5189999999999999</v>
      </c>
      <c r="Q910" t="s">
        <v>52</v>
      </c>
      <c r="R910">
        <v>80</v>
      </c>
      <c r="S910">
        <v>24</v>
      </c>
      <c r="T910" t="s">
        <v>164</v>
      </c>
      <c r="U910" t="s">
        <v>164</v>
      </c>
      <c r="V910" s="7">
        <v>0.76028887437069659</v>
      </c>
      <c r="W910">
        <v>5.7046000000000001</v>
      </c>
      <c r="X910">
        <v>0.132215</v>
      </c>
      <c r="Y910">
        <v>10.545299999999999</v>
      </c>
      <c r="AA910">
        <v>7</v>
      </c>
      <c r="AB910">
        <v>25</v>
      </c>
      <c r="AC910" s="17">
        <f t="shared" si="24"/>
        <v>2.5</v>
      </c>
      <c r="AD910">
        <v>0.02</v>
      </c>
      <c r="AE910">
        <v>100</v>
      </c>
      <c r="AF910" s="11">
        <v>0.28000000000000003</v>
      </c>
    </row>
    <row r="911" spans="1:32" x14ac:dyDescent="0.3">
      <c r="A911" s="25" t="s">
        <v>145</v>
      </c>
      <c r="B911" t="s">
        <v>49</v>
      </c>
      <c r="C911">
        <v>-2.67</v>
      </c>
      <c r="D911">
        <v>365.41</v>
      </c>
      <c r="E911">
        <v>2.2000000000000002</v>
      </c>
      <c r="F911">
        <v>2.6</v>
      </c>
      <c r="G911">
        <v>0.9</v>
      </c>
      <c r="H911">
        <v>1.7</v>
      </c>
      <c r="I911">
        <v>2.5385</v>
      </c>
      <c r="J911">
        <v>158</v>
      </c>
      <c r="K911" t="s">
        <v>55</v>
      </c>
      <c r="L911" t="s">
        <v>51</v>
      </c>
      <c r="M911">
        <v>3</v>
      </c>
      <c r="N911">
        <v>27.222000000000001</v>
      </c>
      <c r="O911">
        <v>0</v>
      </c>
      <c r="P911" s="13">
        <v>1.5189999999999999</v>
      </c>
      <c r="Q911" t="s">
        <v>52</v>
      </c>
      <c r="R911">
        <v>80</v>
      </c>
      <c r="S911">
        <v>24</v>
      </c>
      <c r="T911" t="s">
        <v>164</v>
      </c>
      <c r="U911" t="s">
        <v>164</v>
      </c>
      <c r="V911" s="7">
        <v>0.76028887437069659</v>
      </c>
      <c r="W911">
        <v>5.7046000000000001</v>
      </c>
      <c r="X911">
        <v>0.132215</v>
      </c>
      <c r="Y911">
        <v>10.545299999999999</v>
      </c>
      <c r="AA911">
        <v>7</v>
      </c>
      <c r="AB911">
        <v>25</v>
      </c>
      <c r="AC911" s="17">
        <f t="shared" si="24"/>
        <v>2.5</v>
      </c>
      <c r="AD911">
        <v>0.03</v>
      </c>
      <c r="AE911">
        <v>100</v>
      </c>
      <c r="AF911" s="11">
        <v>0.47</v>
      </c>
    </row>
    <row r="912" spans="1:32" x14ac:dyDescent="0.3">
      <c r="A912" s="25" t="s">
        <v>145</v>
      </c>
      <c r="B912" t="s">
        <v>49</v>
      </c>
      <c r="C912">
        <v>-2.67</v>
      </c>
      <c r="D912">
        <v>365.41</v>
      </c>
      <c r="E912">
        <v>2.2000000000000002</v>
      </c>
      <c r="F912">
        <v>2.6</v>
      </c>
      <c r="G912">
        <v>0.9</v>
      </c>
      <c r="H912">
        <v>1.7</v>
      </c>
      <c r="I912">
        <v>2.5385</v>
      </c>
      <c r="J912">
        <v>158</v>
      </c>
      <c r="K912" t="s">
        <v>55</v>
      </c>
      <c r="L912" t="s">
        <v>51</v>
      </c>
      <c r="M912">
        <v>3</v>
      </c>
      <c r="N912">
        <v>27.222000000000001</v>
      </c>
      <c r="O912">
        <v>0</v>
      </c>
      <c r="P912" s="13">
        <v>1.5189999999999999</v>
      </c>
      <c r="Q912" t="s">
        <v>52</v>
      </c>
      <c r="R912">
        <v>80</v>
      </c>
      <c r="S912">
        <v>24</v>
      </c>
      <c r="T912" t="s">
        <v>164</v>
      </c>
      <c r="U912" t="s">
        <v>164</v>
      </c>
      <c r="V912" s="7">
        <v>0.76028887437069659</v>
      </c>
      <c r="W912">
        <v>5.7046000000000001</v>
      </c>
      <c r="X912">
        <v>0.132215</v>
      </c>
      <c r="Y912">
        <v>10.545299999999999</v>
      </c>
      <c r="AA912">
        <v>7</v>
      </c>
      <c r="AB912">
        <v>25</v>
      </c>
      <c r="AC912" s="17">
        <f t="shared" si="24"/>
        <v>2.5</v>
      </c>
      <c r="AD912">
        <v>0.04</v>
      </c>
      <c r="AE912">
        <v>100</v>
      </c>
      <c r="AF912" s="11">
        <v>0.5</v>
      </c>
    </row>
    <row r="913" spans="1:32" x14ac:dyDescent="0.3">
      <c r="A913" s="25" t="s">
        <v>145</v>
      </c>
      <c r="B913" t="s">
        <v>49</v>
      </c>
      <c r="C913">
        <v>-2.67</v>
      </c>
      <c r="D913">
        <v>365.41</v>
      </c>
      <c r="E913">
        <v>2.2000000000000002</v>
      </c>
      <c r="F913">
        <v>2.6</v>
      </c>
      <c r="G913">
        <v>0.9</v>
      </c>
      <c r="H913">
        <v>1.7</v>
      </c>
      <c r="I913">
        <v>2.5385</v>
      </c>
      <c r="J913">
        <v>158</v>
      </c>
      <c r="K913" t="s">
        <v>55</v>
      </c>
      <c r="L913" t="s">
        <v>51</v>
      </c>
      <c r="M913">
        <v>3</v>
      </c>
      <c r="N913">
        <v>27.222000000000001</v>
      </c>
      <c r="O913">
        <v>0</v>
      </c>
      <c r="P913" s="13">
        <v>1.5189999999999999</v>
      </c>
      <c r="Q913" t="s">
        <v>52</v>
      </c>
      <c r="R913">
        <v>80</v>
      </c>
      <c r="S913">
        <v>24</v>
      </c>
      <c r="T913" t="s">
        <v>164</v>
      </c>
      <c r="U913" t="s">
        <v>164</v>
      </c>
      <c r="V913" s="7">
        <v>0.76028887437069659</v>
      </c>
      <c r="W913">
        <v>5.7046000000000001</v>
      </c>
      <c r="X913">
        <v>0.132215</v>
      </c>
      <c r="Y913">
        <v>10.545299999999999</v>
      </c>
      <c r="AA913">
        <v>7</v>
      </c>
      <c r="AB913">
        <v>25</v>
      </c>
      <c r="AC913" s="17">
        <f t="shared" si="24"/>
        <v>2.5</v>
      </c>
      <c r="AD913">
        <v>0.05</v>
      </c>
      <c r="AE913">
        <v>100</v>
      </c>
      <c r="AF913" s="11">
        <v>0.5</v>
      </c>
    </row>
    <row r="914" spans="1:32" x14ac:dyDescent="0.3">
      <c r="A914" t="s">
        <v>146</v>
      </c>
      <c r="B914" t="s">
        <v>14</v>
      </c>
      <c r="C914">
        <v>-1.3</v>
      </c>
      <c r="D914">
        <v>444.44</v>
      </c>
      <c r="E914">
        <v>3.5</v>
      </c>
      <c r="F914">
        <v>3.6</v>
      </c>
      <c r="G914">
        <v>1.35</v>
      </c>
      <c r="H914">
        <v>3.29</v>
      </c>
      <c r="I914">
        <v>3.0992000000000002</v>
      </c>
      <c r="J914">
        <v>182</v>
      </c>
      <c r="K914" t="s">
        <v>132</v>
      </c>
      <c r="L914" t="s">
        <v>46</v>
      </c>
      <c r="M914">
        <v>3</v>
      </c>
      <c r="N914">
        <v>57.981000000000002</v>
      </c>
      <c r="O914">
        <v>7.25</v>
      </c>
      <c r="P914">
        <v>1.89</v>
      </c>
      <c r="Q914" t="s">
        <v>63</v>
      </c>
      <c r="R914">
        <v>120</v>
      </c>
      <c r="S914">
        <v>12</v>
      </c>
      <c r="T914" t="s">
        <v>164</v>
      </c>
      <c r="U914" t="s">
        <v>164</v>
      </c>
      <c r="V914" s="7">
        <v>0.78241680204573549</v>
      </c>
      <c r="W914">
        <v>50</v>
      </c>
      <c r="X914">
        <v>0.24</v>
      </c>
      <c r="Y914">
        <v>19</v>
      </c>
      <c r="Z914">
        <v>8</v>
      </c>
      <c r="AA914">
        <v>7</v>
      </c>
      <c r="AB914">
        <v>30</v>
      </c>
      <c r="AC914" s="17">
        <v>0.25</v>
      </c>
      <c r="AD914">
        <v>0.4</v>
      </c>
      <c r="AE914">
        <v>50</v>
      </c>
      <c r="AF914" s="11">
        <v>2.7999999999999973E-2</v>
      </c>
    </row>
    <row r="915" spans="1:32" x14ac:dyDescent="0.3">
      <c r="A915" t="s">
        <v>146</v>
      </c>
      <c r="B915" t="s">
        <v>14</v>
      </c>
      <c r="C915">
        <v>-1.3</v>
      </c>
      <c r="D915">
        <v>444.44</v>
      </c>
      <c r="E915">
        <v>3.5</v>
      </c>
      <c r="F915">
        <v>3.6</v>
      </c>
      <c r="G915">
        <v>1.35</v>
      </c>
      <c r="H915">
        <v>3.29</v>
      </c>
      <c r="I915">
        <v>3.0992000000000002</v>
      </c>
      <c r="J915">
        <v>182</v>
      </c>
      <c r="K915" t="s">
        <v>132</v>
      </c>
      <c r="L915" t="s">
        <v>46</v>
      </c>
      <c r="M915">
        <v>3</v>
      </c>
      <c r="N915">
        <v>57.981000000000002</v>
      </c>
      <c r="O915">
        <v>7.25</v>
      </c>
      <c r="P915">
        <v>1.89</v>
      </c>
      <c r="Q915" t="s">
        <v>63</v>
      </c>
      <c r="R915">
        <v>120</v>
      </c>
      <c r="S915">
        <v>12</v>
      </c>
      <c r="T915" t="s">
        <v>164</v>
      </c>
      <c r="U915" t="s">
        <v>164</v>
      </c>
      <c r="V915" s="7">
        <v>0.78241680204573549</v>
      </c>
      <c r="W915">
        <v>50</v>
      </c>
      <c r="X915">
        <v>0.24</v>
      </c>
      <c r="Y915">
        <v>19</v>
      </c>
      <c r="Z915">
        <v>8</v>
      </c>
      <c r="AA915">
        <v>7</v>
      </c>
      <c r="AB915">
        <v>30</v>
      </c>
      <c r="AC915" s="17">
        <v>0.5</v>
      </c>
      <c r="AD915">
        <v>0.4</v>
      </c>
      <c r="AE915">
        <v>50</v>
      </c>
      <c r="AF915" s="11">
        <v>0.06</v>
      </c>
    </row>
    <row r="916" spans="1:32" x14ac:dyDescent="0.3">
      <c r="A916" t="s">
        <v>146</v>
      </c>
      <c r="B916" t="s">
        <v>14</v>
      </c>
      <c r="C916">
        <v>-1.3</v>
      </c>
      <c r="D916">
        <v>444.44</v>
      </c>
      <c r="E916">
        <v>3.5</v>
      </c>
      <c r="F916">
        <v>3.6</v>
      </c>
      <c r="G916">
        <v>1.35</v>
      </c>
      <c r="H916">
        <v>3.29</v>
      </c>
      <c r="I916">
        <v>3.0992000000000002</v>
      </c>
      <c r="J916">
        <v>182</v>
      </c>
      <c r="K916" t="s">
        <v>132</v>
      </c>
      <c r="L916" t="s">
        <v>46</v>
      </c>
      <c r="M916">
        <v>3</v>
      </c>
      <c r="N916">
        <v>57.981000000000002</v>
      </c>
      <c r="O916">
        <v>7.25</v>
      </c>
      <c r="P916">
        <v>1.89</v>
      </c>
      <c r="Q916" t="s">
        <v>63</v>
      </c>
      <c r="R916">
        <v>120</v>
      </c>
      <c r="S916">
        <v>12</v>
      </c>
      <c r="T916" t="s">
        <v>164</v>
      </c>
      <c r="U916" t="s">
        <v>164</v>
      </c>
      <c r="V916" s="7">
        <v>0.78241680204573549</v>
      </c>
      <c r="W916">
        <v>50</v>
      </c>
      <c r="X916">
        <v>0.24</v>
      </c>
      <c r="Y916">
        <v>19</v>
      </c>
      <c r="Z916">
        <v>8</v>
      </c>
      <c r="AA916">
        <v>7</v>
      </c>
      <c r="AB916">
        <v>30</v>
      </c>
      <c r="AC916" s="17">
        <v>0.75</v>
      </c>
      <c r="AD916">
        <v>0.4</v>
      </c>
      <c r="AE916">
        <v>50</v>
      </c>
      <c r="AF916" s="11">
        <v>0.08</v>
      </c>
    </row>
    <row r="917" spans="1:32" x14ac:dyDescent="0.3">
      <c r="A917" t="s">
        <v>146</v>
      </c>
      <c r="B917" t="s">
        <v>14</v>
      </c>
      <c r="C917">
        <v>-1.3</v>
      </c>
      <c r="D917">
        <v>444.44</v>
      </c>
      <c r="E917">
        <v>3.5</v>
      </c>
      <c r="F917">
        <v>3.6</v>
      </c>
      <c r="G917">
        <v>1.35</v>
      </c>
      <c r="H917">
        <v>3.29</v>
      </c>
      <c r="I917">
        <v>3.0992000000000002</v>
      </c>
      <c r="J917">
        <v>182</v>
      </c>
      <c r="K917" t="s">
        <v>132</v>
      </c>
      <c r="L917" t="s">
        <v>46</v>
      </c>
      <c r="M917">
        <v>3</v>
      </c>
      <c r="N917">
        <v>57.981000000000002</v>
      </c>
      <c r="O917">
        <v>7.25</v>
      </c>
      <c r="P917">
        <v>1.89</v>
      </c>
      <c r="Q917" t="s">
        <v>63</v>
      </c>
      <c r="R917">
        <v>120</v>
      </c>
      <c r="S917">
        <v>12</v>
      </c>
      <c r="T917" t="s">
        <v>164</v>
      </c>
      <c r="U917" t="s">
        <v>164</v>
      </c>
      <c r="V917" s="7">
        <v>0.78241680204573549</v>
      </c>
      <c r="W917">
        <v>50</v>
      </c>
      <c r="X917">
        <v>0.24</v>
      </c>
      <c r="Y917">
        <v>19</v>
      </c>
      <c r="Z917">
        <v>8</v>
      </c>
      <c r="AA917">
        <v>7</v>
      </c>
      <c r="AB917">
        <v>30</v>
      </c>
      <c r="AC917" s="17">
        <v>1</v>
      </c>
      <c r="AD917">
        <v>0.4</v>
      </c>
      <c r="AE917">
        <v>50</v>
      </c>
      <c r="AF917" s="11">
        <v>0.10400000000000005</v>
      </c>
    </row>
    <row r="918" spans="1:32" x14ac:dyDescent="0.3">
      <c r="A918" t="s">
        <v>146</v>
      </c>
      <c r="B918" t="s">
        <v>14</v>
      </c>
      <c r="C918">
        <v>-1.3</v>
      </c>
      <c r="D918">
        <v>444.44</v>
      </c>
      <c r="E918">
        <v>3.5</v>
      </c>
      <c r="F918">
        <v>3.6</v>
      </c>
      <c r="G918">
        <v>1.35</v>
      </c>
      <c r="H918">
        <v>3.29</v>
      </c>
      <c r="I918">
        <v>3.0992000000000002</v>
      </c>
      <c r="J918">
        <v>182</v>
      </c>
      <c r="K918" t="s">
        <v>132</v>
      </c>
      <c r="L918" t="s">
        <v>46</v>
      </c>
      <c r="M918">
        <v>3</v>
      </c>
      <c r="N918">
        <v>57.981000000000002</v>
      </c>
      <c r="O918">
        <v>7.25</v>
      </c>
      <c r="P918">
        <v>1.89</v>
      </c>
      <c r="Q918" t="s">
        <v>63</v>
      </c>
      <c r="R918">
        <v>120</v>
      </c>
      <c r="S918">
        <v>12</v>
      </c>
      <c r="T918" t="s">
        <v>164</v>
      </c>
      <c r="U918" t="s">
        <v>164</v>
      </c>
      <c r="V918" s="7">
        <v>0.78241680204573549</v>
      </c>
      <c r="W918">
        <v>50</v>
      </c>
      <c r="X918">
        <v>0.24</v>
      </c>
      <c r="Y918">
        <v>19</v>
      </c>
      <c r="Z918">
        <v>8</v>
      </c>
      <c r="AA918">
        <v>7</v>
      </c>
      <c r="AB918">
        <v>30</v>
      </c>
      <c r="AC918" s="26">
        <v>1.3</v>
      </c>
      <c r="AD918">
        <v>0.4</v>
      </c>
      <c r="AE918">
        <v>50</v>
      </c>
      <c r="AF918" s="11">
        <v>0.12799999999999997</v>
      </c>
    </row>
    <row r="919" spans="1:32" x14ac:dyDescent="0.3">
      <c r="A919" t="s">
        <v>146</v>
      </c>
      <c r="B919" t="s">
        <v>14</v>
      </c>
      <c r="C919">
        <v>-1.3</v>
      </c>
      <c r="D919">
        <v>444.44</v>
      </c>
      <c r="E919">
        <v>3.5</v>
      </c>
      <c r="F919">
        <v>3.6</v>
      </c>
      <c r="G919">
        <v>1.35</v>
      </c>
      <c r="H919">
        <v>3.29</v>
      </c>
      <c r="I919">
        <v>3.0992000000000002</v>
      </c>
      <c r="J919">
        <v>182</v>
      </c>
      <c r="K919" t="s">
        <v>132</v>
      </c>
      <c r="L919" t="s">
        <v>46</v>
      </c>
      <c r="M919">
        <v>3</v>
      </c>
      <c r="N919">
        <v>57.981000000000002</v>
      </c>
      <c r="O919">
        <v>7.25</v>
      </c>
      <c r="P919">
        <v>1.89</v>
      </c>
      <c r="Q919" t="s">
        <v>63</v>
      </c>
      <c r="R919">
        <v>120</v>
      </c>
      <c r="S919">
        <v>12</v>
      </c>
      <c r="T919" t="s">
        <v>164</v>
      </c>
      <c r="U919" t="s">
        <v>164</v>
      </c>
      <c r="V919" s="7">
        <v>0.78241680204573549</v>
      </c>
      <c r="W919">
        <v>50</v>
      </c>
      <c r="X919">
        <v>0.24</v>
      </c>
      <c r="Y919">
        <v>19</v>
      </c>
      <c r="Z919">
        <v>8</v>
      </c>
      <c r="AA919">
        <v>7</v>
      </c>
      <c r="AB919">
        <v>30</v>
      </c>
      <c r="AC919" s="26">
        <v>1.6</v>
      </c>
      <c r="AD919">
        <v>0.4</v>
      </c>
      <c r="AE919">
        <v>50</v>
      </c>
      <c r="AF919" s="11">
        <v>0.13599999999999995</v>
      </c>
    </row>
    <row r="920" spans="1:32" x14ac:dyDescent="0.3">
      <c r="A920" t="s">
        <v>146</v>
      </c>
      <c r="B920" t="s">
        <v>14</v>
      </c>
      <c r="C920">
        <v>-1.3</v>
      </c>
      <c r="D920">
        <v>444.44</v>
      </c>
      <c r="E920">
        <v>3.5</v>
      </c>
      <c r="F920">
        <v>3.6</v>
      </c>
      <c r="G920">
        <v>1.35</v>
      </c>
      <c r="H920">
        <v>3.29</v>
      </c>
      <c r="I920">
        <v>3.0992000000000002</v>
      </c>
      <c r="J920">
        <v>182</v>
      </c>
      <c r="K920" t="s">
        <v>132</v>
      </c>
      <c r="L920" t="s">
        <v>46</v>
      </c>
      <c r="M920">
        <v>3</v>
      </c>
      <c r="N920">
        <v>57.981000000000002</v>
      </c>
      <c r="O920">
        <v>7.25</v>
      </c>
      <c r="P920">
        <v>1.89</v>
      </c>
      <c r="Q920" t="s">
        <v>63</v>
      </c>
      <c r="R920">
        <v>120</v>
      </c>
      <c r="S920">
        <v>12</v>
      </c>
      <c r="T920" t="s">
        <v>164</v>
      </c>
      <c r="U920" t="s">
        <v>164</v>
      </c>
      <c r="V920" s="7">
        <v>0.78241680204573549</v>
      </c>
      <c r="W920">
        <v>50</v>
      </c>
      <c r="X920">
        <v>0.24</v>
      </c>
      <c r="Y920">
        <v>19</v>
      </c>
      <c r="Z920">
        <v>8</v>
      </c>
      <c r="AA920">
        <v>7</v>
      </c>
      <c r="AB920">
        <v>30</v>
      </c>
      <c r="AC920" s="17">
        <v>2</v>
      </c>
      <c r="AD920">
        <v>0.4</v>
      </c>
      <c r="AE920">
        <v>50</v>
      </c>
      <c r="AF920" s="11">
        <v>0.14400000000000004</v>
      </c>
    </row>
    <row r="921" spans="1:32" x14ac:dyDescent="0.3">
      <c r="A921" t="s">
        <v>146</v>
      </c>
      <c r="B921" t="s">
        <v>14</v>
      </c>
      <c r="C921">
        <v>-1.3</v>
      </c>
      <c r="D921">
        <v>444.44</v>
      </c>
      <c r="E921">
        <v>3.5</v>
      </c>
      <c r="F921">
        <v>3.6</v>
      </c>
      <c r="G921">
        <v>1.35</v>
      </c>
      <c r="H921">
        <v>3.29</v>
      </c>
      <c r="I921">
        <v>3.0992000000000002</v>
      </c>
      <c r="J921">
        <v>182</v>
      </c>
      <c r="K921" t="s">
        <v>132</v>
      </c>
      <c r="L921" t="s">
        <v>46</v>
      </c>
      <c r="M921">
        <v>3</v>
      </c>
      <c r="N921">
        <v>57.981000000000002</v>
      </c>
      <c r="O921">
        <v>7.25</v>
      </c>
      <c r="P921">
        <v>1.89</v>
      </c>
      <c r="Q921" t="s">
        <v>63</v>
      </c>
      <c r="R921">
        <v>120</v>
      </c>
      <c r="S921">
        <v>12</v>
      </c>
      <c r="T921" t="s">
        <v>164</v>
      </c>
      <c r="U921" t="s">
        <v>164</v>
      </c>
      <c r="V921" s="7">
        <v>0.78241680204573549</v>
      </c>
      <c r="W921">
        <v>50</v>
      </c>
      <c r="X921">
        <v>0.24</v>
      </c>
      <c r="Y921">
        <v>19</v>
      </c>
      <c r="Z921">
        <v>8</v>
      </c>
      <c r="AA921">
        <v>7</v>
      </c>
      <c r="AB921">
        <v>30</v>
      </c>
      <c r="AC921" s="17">
        <v>2.5</v>
      </c>
      <c r="AD921">
        <v>0.4</v>
      </c>
      <c r="AE921">
        <v>50</v>
      </c>
      <c r="AF921" s="11">
        <v>0.14799999999999996</v>
      </c>
    </row>
    <row r="922" spans="1:32" x14ac:dyDescent="0.3">
      <c r="A922" t="s">
        <v>146</v>
      </c>
      <c r="B922" t="s">
        <v>14</v>
      </c>
      <c r="C922">
        <v>-1.3</v>
      </c>
      <c r="D922">
        <v>444.44</v>
      </c>
      <c r="E922">
        <v>3.5</v>
      </c>
      <c r="F922">
        <v>3.6</v>
      </c>
      <c r="G922">
        <v>1.35</v>
      </c>
      <c r="H922">
        <v>3.29</v>
      </c>
      <c r="I922">
        <v>3.0992000000000002</v>
      </c>
      <c r="J922">
        <v>182</v>
      </c>
      <c r="K922" t="s">
        <v>132</v>
      </c>
      <c r="L922" t="s">
        <v>46</v>
      </c>
      <c r="M922">
        <v>3</v>
      </c>
      <c r="N922">
        <v>57.981000000000002</v>
      </c>
      <c r="O922">
        <v>7.25</v>
      </c>
      <c r="P922">
        <v>1.89</v>
      </c>
      <c r="Q922" t="s">
        <v>63</v>
      </c>
      <c r="R922">
        <v>120</v>
      </c>
      <c r="S922">
        <v>12</v>
      </c>
      <c r="T922" t="s">
        <v>164</v>
      </c>
      <c r="U922" t="s">
        <v>164</v>
      </c>
      <c r="V922" s="7">
        <v>0.78241680204573549</v>
      </c>
      <c r="W922">
        <v>50</v>
      </c>
      <c r="X922">
        <v>0.24</v>
      </c>
      <c r="Y922">
        <v>19</v>
      </c>
      <c r="Z922">
        <v>8</v>
      </c>
      <c r="AA922">
        <v>7</v>
      </c>
      <c r="AB922">
        <v>30</v>
      </c>
      <c r="AC922" s="17">
        <v>3</v>
      </c>
      <c r="AD922">
        <v>0.4</v>
      </c>
      <c r="AE922">
        <v>50</v>
      </c>
      <c r="AF922" s="11">
        <v>0.14799999999999996</v>
      </c>
    </row>
    <row r="923" spans="1:32" x14ac:dyDescent="0.3">
      <c r="A923" t="s">
        <v>146</v>
      </c>
      <c r="B923" t="s">
        <v>14</v>
      </c>
      <c r="C923">
        <v>-1.3</v>
      </c>
      <c r="D923">
        <v>444.44</v>
      </c>
      <c r="E923">
        <v>3.5</v>
      </c>
      <c r="F923">
        <v>3.6</v>
      </c>
      <c r="G923">
        <v>1.35</v>
      </c>
      <c r="H923">
        <v>3.29</v>
      </c>
      <c r="I923">
        <v>3.0992000000000002</v>
      </c>
      <c r="J923">
        <v>182</v>
      </c>
      <c r="K923" t="s">
        <v>132</v>
      </c>
      <c r="L923" t="s">
        <v>46</v>
      </c>
      <c r="M923">
        <v>3</v>
      </c>
      <c r="N923">
        <v>57.981000000000002</v>
      </c>
      <c r="O923">
        <v>7.25</v>
      </c>
      <c r="P923">
        <v>1.89</v>
      </c>
      <c r="Q923" t="s">
        <v>63</v>
      </c>
      <c r="R923">
        <v>120</v>
      </c>
      <c r="S923">
        <v>12</v>
      </c>
      <c r="T923" t="s">
        <v>164</v>
      </c>
      <c r="U923" t="s">
        <v>164</v>
      </c>
      <c r="V923" s="7">
        <v>0.78241680204573549</v>
      </c>
      <c r="W923">
        <v>50</v>
      </c>
      <c r="X923">
        <v>0.24</v>
      </c>
      <c r="Y923">
        <v>19</v>
      </c>
      <c r="Z923">
        <v>8</v>
      </c>
      <c r="AA923">
        <v>7</v>
      </c>
      <c r="AB923">
        <v>30</v>
      </c>
      <c r="AC923" s="17">
        <v>4</v>
      </c>
      <c r="AD923">
        <v>0.4</v>
      </c>
      <c r="AE923">
        <v>50</v>
      </c>
      <c r="AF923" s="11">
        <v>0.14799999999999996</v>
      </c>
    </row>
    <row r="924" spans="1:32" x14ac:dyDescent="0.3">
      <c r="A924" t="s">
        <v>146</v>
      </c>
      <c r="B924" t="s">
        <v>14</v>
      </c>
      <c r="C924">
        <v>-1.3</v>
      </c>
      <c r="D924">
        <v>444.44</v>
      </c>
      <c r="E924">
        <v>3.5</v>
      </c>
      <c r="F924">
        <v>3.6</v>
      </c>
      <c r="G924">
        <v>1.35</v>
      </c>
      <c r="H924">
        <v>3.29</v>
      </c>
      <c r="I924">
        <v>3.0992000000000002</v>
      </c>
      <c r="J924">
        <v>182</v>
      </c>
      <c r="K924" t="s">
        <v>132</v>
      </c>
      <c r="L924" t="s">
        <v>46</v>
      </c>
      <c r="M924">
        <v>3</v>
      </c>
      <c r="N924">
        <v>57.981000000000002</v>
      </c>
      <c r="O924">
        <v>7.25</v>
      </c>
      <c r="P924">
        <v>1.89</v>
      </c>
      <c r="Q924" t="s">
        <v>63</v>
      </c>
      <c r="R924">
        <v>120</v>
      </c>
      <c r="S924">
        <v>12</v>
      </c>
      <c r="T924" t="s">
        <v>164</v>
      </c>
      <c r="U924" t="s">
        <v>164</v>
      </c>
      <c r="V924" s="7">
        <v>0.78241680204573549</v>
      </c>
      <c r="W924">
        <v>50</v>
      </c>
      <c r="X924">
        <v>0.24</v>
      </c>
      <c r="Y924">
        <v>19</v>
      </c>
      <c r="Z924">
        <v>8</v>
      </c>
      <c r="AA924">
        <v>7</v>
      </c>
      <c r="AB924">
        <v>30</v>
      </c>
      <c r="AC924" s="17">
        <v>5</v>
      </c>
      <c r="AD924">
        <v>0.4</v>
      </c>
      <c r="AE924">
        <v>50</v>
      </c>
      <c r="AF924" s="11">
        <v>0.14799999999999996</v>
      </c>
    </row>
    <row r="925" spans="1:32" x14ac:dyDescent="0.3">
      <c r="A925" t="s">
        <v>146</v>
      </c>
      <c r="B925" t="s">
        <v>14</v>
      </c>
      <c r="C925">
        <v>-1.3</v>
      </c>
      <c r="D925">
        <v>444.44</v>
      </c>
      <c r="E925">
        <v>3.5</v>
      </c>
      <c r="F925">
        <v>3.6</v>
      </c>
      <c r="G925">
        <v>1.35</v>
      </c>
      <c r="H925">
        <v>3.29</v>
      </c>
      <c r="I925">
        <v>3.0992000000000002</v>
      </c>
      <c r="J925">
        <v>182</v>
      </c>
      <c r="K925" t="s">
        <v>132</v>
      </c>
      <c r="L925" t="s">
        <v>46</v>
      </c>
      <c r="M925">
        <v>3</v>
      </c>
      <c r="N925">
        <v>57.981000000000002</v>
      </c>
      <c r="O925">
        <v>7.25</v>
      </c>
      <c r="P925">
        <v>1.89</v>
      </c>
      <c r="Q925" t="s">
        <v>63</v>
      </c>
      <c r="R925">
        <v>120</v>
      </c>
      <c r="S925">
        <v>12</v>
      </c>
      <c r="T925" t="s">
        <v>164</v>
      </c>
      <c r="U925" t="s">
        <v>164</v>
      </c>
      <c r="V925" s="7">
        <v>0.78241680204573549</v>
      </c>
      <c r="W925">
        <v>50</v>
      </c>
      <c r="X925">
        <v>0.24</v>
      </c>
      <c r="Y925">
        <v>19</v>
      </c>
      <c r="Z925">
        <v>8</v>
      </c>
      <c r="AA925">
        <v>7</v>
      </c>
      <c r="AB925">
        <v>30</v>
      </c>
      <c r="AC925" s="17">
        <v>12</v>
      </c>
      <c r="AD925">
        <f>10/25</f>
        <v>0.4</v>
      </c>
      <c r="AE925" s="9">
        <v>20.02</v>
      </c>
      <c r="AF925" s="11">
        <v>0.37562437562437562</v>
      </c>
    </row>
    <row r="926" spans="1:32" x14ac:dyDescent="0.3">
      <c r="A926" t="s">
        <v>146</v>
      </c>
      <c r="B926" t="s">
        <v>14</v>
      </c>
      <c r="C926">
        <v>-1.3</v>
      </c>
      <c r="D926">
        <v>444.44</v>
      </c>
      <c r="E926">
        <v>3.5</v>
      </c>
      <c r="F926">
        <v>3.6</v>
      </c>
      <c r="G926">
        <v>1.35</v>
      </c>
      <c r="H926">
        <v>3.29</v>
      </c>
      <c r="I926">
        <v>3.0992000000000002</v>
      </c>
      <c r="J926">
        <v>182</v>
      </c>
      <c r="K926" t="s">
        <v>132</v>
      </c>
      <c r="L926" t="s">
        <v>46</v>
      </c>
      <c r="M926">
        <v>3</v>
      </c>
      <c r="N926">
        <v>57.981000000000002</v>
      </c>
      <c r="O926">
        <v>7.25</v>
      </c>
      <c r="P926">
        <v>1.89</v>
      </c>
      <c r="Q926" t="s">
        <v>63</v>
      </c>
      <c r="R926">
        <v>120</v>
      </c>
      <c r="S926">
        <v>12</v>
      </c>
      <c r="T926" t="s">
        <v>164</v>
      </c>
      <c r="U926" t="s">
        <v>164</v>
      </c>
      <c r="V926" s="7">
        <v>0.78241680204573549</v>
      </c>
      <c r="W926">
        <v>50</v>
      </c>
      <c r="X926">
        <v>0.24</v>
      </c>
      <c r="Y926">
        <v>19</v>
      </c>
      <c r="Z926">
        <v>8</v>
      </c>
      <c r="AA926">
        <v>7</v>
      </c>
      <c r="AB926">
        <v>30</v>
      </c>
      <c r="AC926" s="17">
        <v>12</v>
      </c>
      <c r="AD926">
        <f t="shared" ref="AD926:AD933" si="25">10/25</f>
        <v>0.4</v>
      </c>
      <c r="AE926" s="9">
        <v>30.020000000000003</v>
      </c>
      <c r="AF926" s="11">
        <v>0.35709526982011996</v>
      </c>
    </row>
    <row r="927" spans="1:32" x14ac:dyDescent="0.3">
      <c r="A927" t="s">
        <v>146</v>
      </c>
      <c r="B927" t="s">
        <v>14</v>
      </c>
      <c r="C927">
        <v>-1.3</v>
      </c>
      <c r="D927">
        <v>444.44</v>
      </c>
      <c r="E927">
        <v>3.5</v>
      </c>
      <c r="F927">
        <v>3.6</v>
      </c>
      <c r="G927">
        <v>1.35</v>
      </c>
      <c r="H927">
        <v>3.29</v>
      </c>
      <c r="I927">
        <v>3.0992000000000002</v>
      </c>
      <c r="J927">
        <v>182</v>
      </c>
      <c r="K927" t="s">
        <v>132</v>
      </c>
      <c r="L927" t="s">
        <v>46</v>
      </c>
      <c r="M927">
        <v>3</v>
      </c>
      <c r="N927">
        <v>57.981000000000002</v>
      </c>
      <c r="O927">
        <v>7.25</v>
      </c>
      <c r="P927">
        <v>1.89</v>
      </c>
      <c r="Q927" t="s">
        <v>63</v>
      </c>
      <c r="R927">
        <v>120</v>
      </c>
      <c r="S927">
        <v>12</v>
      </c>
      <c r="T927" t="s">
        <v>164</v>
      </c>
      <c r="U927" t="s">
        <v>164</v>
      </c>
      <c r="V927" s="7">
        <v>0.78241680204573549</v>
      </c>
      <c r="W927">
        <v>50</v>
      </c>
      <c r="X927">
        <v>0.24</v>
      </c>
      <c r="Y927">
        <v>19</v>
      </c>
      <c r="Z927">
        <v>8</v>
      </c>
      <c r="AA927">
        <v>7</v>
      </c>
      <c r="AB927">
        <v>30</v>
      </c>
      <c r="AC927" s="17">
        <v>12</v>
      </c>
      <c r="AD927">
        <f t="shared" si="25"/>
        <v>0.4</v>
      </c>
      <c r="AE927" s="9">
        <v>40.019999999999996</v>
      </c>
      <c r="AF927" s="11">
        <v>0.31284357821089448</v>
      </c>
    </row>
    <row r="928" spans="1:32" x14ac:dyDescent="0.3">
      <c r="A928" t="s">
        <v>146</v>
      </c>
      <c r="B928" t="s">
        <v>14</v>
      </c>
      <c r="C928">
        <v>-1.3</v>
      </c>
      <c r="D928">
        <v>444.44</v>
      </c>
      <c r="E928">
        <v>3.5</v>
      </c>
      <c r="F928">
        <v>3.6</v>
      </c>
      <c r="G928">
        <v>1.35</v>
      </c>
      <c r="H928">
        <v>3.29</v>
      </c>
      <c r="I928">
        <v>3.0992000000000002</v>
      </c>
      <c r="J928">
        <v>182</v>
      </c>
      <c r="K928" t="s">
        <v>132</v>
      </c>
      <c r="L928" t="s">
        <v>46</v>
      </c>
      <c r="M928">
        <v>3</v>
      </c>
      <c r="N928">
        <v>57.981000000000002</v>
      </c>
      <c r="O928">
        <v>7.25</v>
      </c>
      <c r="P928">
        <v>1.89</v>
      </c>
      <c r="Q928" t="s">
        <v>63</v>
      </c>
      <c r="R928">
        <v>120</v>
      </c>
      <c r="S928">
        <v>12</v>
      </c>
      <c r="T928" t="s">
        <v>164</v>
      </c>
      <c r="U928" t="s">
        <v>164</v>
      </c>
      <c r="V928" s="7">
        <v>0.78241680204573549</v>
      </c>
      <c r="W928">
        <v>50</v>
      </c>
      <c r="X928">
        <v>0.24</v>
      </c>
      <c r="Y928">
        <v>19</v>
      </c>
      <c r="Z928">
        <v>8</v>
      </c>
      <c r="AA928">
        <v>7</v>
      </c>
      <c r="AB928">
        <v>30</v>
      </c>
      <c r="AC928" s="17">
        <v>12</v>
      </c>
      <c r="AD928">
        <f t="shared" si="25"/>
        <v>0.4</v>
      </c>
      <c r="AE928" s="9">
        <v>50</v>
      </c>
      <c r="AF928" s="11">
        <v>0.28400000000000003</v>
      </c>
    </row>
    <row r="929" spans="1:32" x14ac:dyDescent="0.3">
      <c r="A929" t="s">
        <v>146</v>
      </c>
      <c r="B929" t="s">
        <v>14</v>
      </c>
      <c r="C929">
        <v>-1.3</v>
      </c>
      <c r="D929">
        <v>444.44</v>
      </c>
      <c r="E929">
        <v>3.5</v>
      </c>
      <c r="F929">
        <v>3.6</v>
      </c>
      <c r="G929">
        <v>1.35</v>
      </c>
      <c r="H929">
        <v>3.29</v>
      </c>
      <c r="I929">
        <v>3.0992000000000002</v>
      </c>
      <c r="J929">
        <v>182</v>
      </c>
      <c r="K929" t="s">
        <v>132</v>
      </c>
      <c r="L929" t="s">
        <v>46</v>
      </c>
      <c r="M929">
        <v>3</v>
      </c>
      <c r="N929">
        <v>57.981000000000002</v>
      </c>
      <c r="O929">
        <v>7.25</v>
      </c>
      <c r="P929">
        <v>1.89</v>
      </c>
      <c r="Q929" t="s">
        <v>63</v>
      </c>
      <c r="R929">
        <v>120</v>
      </c>
      <c r="S929">
        <v>12</v>
      </c>
      <c r="T929" t="s">
        <v>164</v>
      </c>
      <c r="U929" t="s">
        <v>164</v>
      </c>
      <c r="V929" s="7">
        <v>0.78241680204573549</v>
      </c>
      <c r="W929">
        <v>50</v>
      </c>
      <c r="X929">
        <v>0.24</v>
      </c>
      <c r="Y929">
        <v>19</v>
      </c>
      <c r="Z929">
        <v>8</v>
      </c>
      <c r="AA929">
        <v>7</v>
      </c>
      <c r="AB929">
        <v>30</v>
      </c>
      <c r="AC929" s="17">
        <v>12</v>
      </c>
      <c r="AD929">
        <f t="shared" si="25"/>
        <v>0.4</v>
      </c>
      <c r="AE929" s="9">
        <v>60</v>
      </c>
      <c r="AF929" s="11">
        <v>0.25333333333333335</v>
      </c>
    </row>
    <row r="930" spans="1:32" x14ac:dyDescent="0.3">
      <c r="A930" t="s">
        <v>146</v>
      </c>
      <c r="B930" t="s">
        <v>14</v>
      </c>
      <c r="C930">
        <v>-1.3</v>
      </c>
      <c r="D930">
        <v>444.44</v>
      </c>
      <c r="E930">
        <v>3.5</v>
      </c>
      <c r="F930">
        <v>3.6</v>
      </c>
      <c r="G930">
        <v>1.35</v>
      </c>
      <c r="H930">
        <v>3.29</v>
      </c>
      <c r="I930">
        <v>3.0992000000000002</v>
      </c>
      <c r="J930">
        <v>182</v>
      </c>
      <c r="K930" t="s">
        <v>132</v>
      </c>
      <c r="L930" t="s">
        <v>46</v>
      </c>
      <c r="M930">
        <v>3</v>
      </c>
      <c r="N930">
        <v>57.981000000000002</v>
      </c>
      <c r="O930">
        <v>7.25</v>
      </c>
      <c r="P930">
        <v>1.89</v>
      </c>
      <c r="Q930" t="s">
        <v>63</v>
      </c>
      <c r="R930">
        <v>120</v>
      </c>
      <c r="S930">
        <v>12</v>
      </c>
      <c r="T930" t="s">
        <v>164</v>
      </c>
      <c r="U930" t="s">
        <v>164</v>
      </c>
      <c r="V930" s="7">
        <v>0.78241680204573549</v>
      </c>
      <c r="W930">
        <v>50</v>
      </c>
      <c r="X930">
        <v>0.24</v>
      </c>
      <c r="Y930">
        <v>19</v>
      </c>
      <c r="Z930">
        <v>8</v>
      </c>
      <c r="AA930">
        <v>7</v>
      </c>
      <c r="AB930">
        <v>30</v>
      </c>
      <c r="AC930" s="17">
        <v>12</v>
      </c>
      <c r="AD930">
        <f t="shared" si="25"/>
        <v>0.4</v>
      </c>
      <c r="AE930" s="9">
        <v>70</v>
      </c>
      <c r="AF930" s="11">
        <v>0.22285714285714286</v>
      </c>
    </row>
    <row r="931" spans="1:32" x14ac:dyDescent="0.3">
      <c r="A931" t="s">
        <v>146</v>
      </c>
      <c r="B931" t="s">
        <v>14</v>
      </c>
      <c r="C931">
        <v>-1.3</v>
      </c>
      <c r="D931">
        <v>444.44</v>
      </c>
      <c r="E931">
        <v>3.5</v>
      </c>
      <c r="F931">
        <v>3.6</v>
      </c>
      <c r="G931">
        <v>1.35</v>
      </c>
      <c r="H931">
        <v>3.29</v>
      </c>
      <c r="I931">
        <v>3.0992000000000002</v>
      </c>
      <c r="J931">
        <v>182</v>
      </c>
      <c r="K931" t="s">
        <v>132</v>
      </c>
      <c r="L931" t="s">
        <v>46</v>
      </c>
      <c r="M931">
        <v>3</v>
      </c>
      <c r="N931">
        <v>57.981000000000002</v>
      </c>
      <c r="O931">
        <v>7.25</v>
      </c>
      <c r="P931">
        <v>1.89</v>
      </c>
      <c r="Q931" t="s">
        <v>63</v>
      </c>
      <c r="R931">
        <v>120</v>
      </c>
      <c r="S931">
        <v>12</v>
      </c>
      <c r="T931" t="s">
        <v>164</v>
      </c>
      <c r="U931" t="s">
        <v>164</v>
      </c>
      <c r="V931" s="7">
        <v>0.78241680204573549</v>
      </c>
      <c r="W931">
        <v>50</v>
      </c>
      <c r="X931">
        <v>0.24</v>
      </c>
      <c r="Y931">
        <v>19</v>
      </c>
      <c r="Z931">
        <v>8</v>
      </c>
      <c r="AA931">
        <v>7</v>
      </c>
      <c r="AB931">
        <v>30</v>
      </c>
      <c r="AC931" s="17">
        <v>12</v>
      </c>
      <c r="AD931">
        <f t="shared" si="25"/>
        <v>0.4</v>
      </c>
      <c r="AE931" s="9">
        <v>80</v>
      </c>
      <c r="AF931" s="11">
        <v>0.19749999999999995</v>
      </c>
    </row>
    <row r="932" spans="1:32" x14ac:dyDescent="0.3">
      <c r="A932" t="s">
        <v>146</v>
      </c>
      <c r="B932" t="s">
        <v>14</v>
      </c>
      <c r="C932">
        <v>-1.3</v>
      </c>
      <c r="D932">
        <v>444.44</v>
      </c>
      <c r="E932">
        <v>3.5</v>
      </c>
      <c r="F932">
        <v>3.6</v>
      </c>
      <c r="G932">
        <v>1.35</v>
      </c>
      <c r="H932">
        <v>3.29</v>
      </c>
      <c r="I932">
        <v>3.0992000000000002</v>
      </c>
      <c r="J932">
        <v>182</v>
      </c>
      <c r="K932" t="s">
        <v>132</v>
      </c>
      <c r="L932" t="s">
        <v>46</v>
      </c>
      <c r="M932">
        <v>3</v>
      </c>
      <c r="N932">
        <v>57.981000000000002</v>
      </c>
      <c r="O932">
        <v>7.25</v>
      </c>
      <c r="P932">
        <v>1.89</v>
      </c>
      <c r="Q932" t="s">
        <v>63</v>
      </c>
      <c r="R932">
        <v>120</v>
      </c>
      <c r="S932">
        <v>12</v>
      </c>
      <c r="T932" t="s">
        <v>164</v>
      </c>
      <c r="U932" t="s">
        <v>164</v>
      </c>
      <c r="V932" s="7">
        <v>0.78241680204573549</v>
      </c>
      <c r="W932">
        <v>50</v>
      </c>
      <c r="X932">
        <v>0.24</v>
      </c>
      <c r="Y932">
        <v>19</v>
      </c>
      <c r="Z932">
        <v>8</v>
      </c>
      <c r="AA932">
        <v>7</v>
      </c>
      <c r="AB932">
        <v>30</v>
      </c>
      <c r="AC932" s="17">
        <v>12</v>
      </c>
      <c r="AD932">
        <f t="shared" si="25"/>
        <v>0.4</v>
      </c>
      <c r="AE932" s="9">
        <v>90.04</v>
      </c>
      <c r="AF932" s="11">
        <v>0.17592181252776545</v>
      </c>
    </row>
    <row r="933" spans="1:32" x14ac:dyDescent="0.3">
      <c r="A933" t="s">
        <v>146</v>
      </c>
      <c r="B933" t="s">
        <v>14</v>
      </c>
      <c r="C933">
        <v>-1.3</v>
      </c>
      <c r="D933">
        <v>444.44</v>
      </c>
      <c r="E933">
        <v>3.5</v>
      </c>
      <c r="F933">
        <v>3.6</v>
      </c>
      <c r="G933">
        <v>1.35</v>
      </c>
      <c r="H933">
        <v>3.29</v>
      </c>
      <c r="I933">
        <v>3.0992000000000002</v>
      </c>
      <c r="J933">
        <v>182</v>
      </c>
      <c r="K933" t="s">
        <v>132</v>
      </c>
      <c r="L933" t="s">
        <v>46</v>
      </c>
      <c r="M933">
        <v>3</v>
      </c>
      <c r="N933">
        <v>57.981000000000002</v>
      </c>
      <c r="O933">
        <v>7.25</v>
      </c>
      <c r="P933">
        <v>1.89</v>
      </c>
      <c r="Q933" t="s">
        <v>63</v>
      </c>
      <c r="R933">
        <v>120</v>
      </c>
      <c r="S933">
        <v>12</v>
      </c>
      <c r="T933" t="s">
        <v>164</v>
      </c>
      <c r="U933" t="s">
        <v>164</v>
      </c>
      <c r="V933" s="7">
        <v>0.78241680204573549</v>
      </c>
      <c r="W933">
        <v>50</v>
      </c>
      <c r="X933">
        <v>0.24</v>
      </c>
      <c r="Y933">
        <v>19</v>
      </c>
      <c r="Z933">
        <v>8</v>
      </c>
      <c r="AA933">
        <v>7</v>
      </c>
      <c r="AB933">
        <v>30</v>
      </c>
      <c r="AC933" s="17">
        <v>12</v>
      </c>
      <c r="AD933">
        <f t="shared" si="25"/>
        <v>0.4</v>
      </c>
      <c r="AE933" s="9">
        <v>100.04</v>
      </c>
      <c r="AF933" s="11">
        <v>0.15833666533386648</v>
      </c>
    </row>
    <row r="934" spans="1:32" x14ac:dyDescent="0.3">
      <c r="A934" t="s">
        <v>147</v>
      </c>
      <c r="B934" t="s">
        <v>14</v>
      </c>
      <c r="C934">
        <v>-1.3</v>
      </c>
      <c r="D934">
        <v>444.44</v>
      </c>
      <c r="E934">
        <v>3.5</v>
      </c>
      <c r="F934">
        <v>3.6</v>
      </c>
      <c r="G934">
        <v>1.35</v>
      </c>
      <c r="H934">
        <v>3.29</v>
      </c>
      <c r="I934">
        <v>3.0992000000000002</v>
      </c>
      <c r="J934">
        <v>182</v>
      </c>
      <c r="K934" t="s">
        <v>57</v>
      </c>
      <c r="L934" t="s">
        <v>46</v>
      </c>
      <c r="M934">
        <v>5</v>
      </c>
      <c r="N934">
        <v>62.262999999999998</v>
      </c>
      <c r="O934">
        <v>8.3000000000000007</v>
      </c>
      <c r="P934">
        <v>1.88</v>
      </c>
      <c r="Q934" t="s">
        <v>52</v>
      </c>
      <c r="R934">
        <v>70</v>
      </c>
      <c r="S934">
        <v>24</v>
      </c>
      <c r="T934" t="s">
        <v>164</v>
      </c>
      <c r="U934" t="s">
        <v>164</v>
      </c>
      <c r="V934" s="7">
        <v>0.85814416123994997</v>
      </c>
      <c r="W934">
        <v>81.17</v>
      </c>
      <c r="X934">
        <v>0.21099999999999999</v>
      </c>
      <c r="Y934">
        <v>10.401</v>
      </c>
      <c r="Z934">
        <v>7.2</v>
      </c>
      <c r="AA934">
        <v>3</v>
      </c>
      <c r="AB934">
        <v>25</v>
      </c>
      <c r="AC934" s="17">
        <v>12</v>
      </c>
      <c r="AD934">
        <f>0.01/0.05</f>
        <v>0.19999999999999998</v>
      </c>
      <c r="AE934">
        <v>50</v>
      </c>
      <c r="AF934" s="11">
        <v>0.55000000000000004</v>
      </c>
    </row>
    <row r="935" spans="1:32" x14ac:dyDescent="0.3">
      <c r="A935" t="s">
        <v>147</v>
      </c>
      <c r="B935" t="s">
        <v>14</v>
      </c>
      <c r="C935">
        <v>-1.3</v>
      </c>
      <c r="D935">
        <v>444.44</v>
      </c>
      <c r="E935">
        <v>3.5</v>
      </c>
      <c r="F935">
        <v>3.6</v>
      </c>
      <c r="G935">
        <v>1.35</v>
      </c>
      <c r="H935">
        <v>3.29</v>
      </c>
      <c r="I935">
        <v>3.0992000000000002</v>
      </c>
      <c r="J935">
        <v>182</v>
      </c>
      <c r="K935" t="s">
        <v>57</v>
      </c>
      <c r="L935" t="s">
        <v>46</v>
      </c>
      <c r="M935">
        <v>5</v>
      </c>
      <c r="N935">
        <v>62.262999999999998</v>
      </c>
      <c r="O935">
        <v>8.3000000000000007</v>
      </c>
      <c r="P935">
        <v>1.88</v>
      </c>
      <c r="Q935" t="s">
        <v>52</v>
      </c>
      <c r="R935">
        <v>70</v>
      </c>
      <c r="S935">
        <v>24</v>
      </c>
      <c r="T935" t="s">
        <v>164</v>
      </c>
      <c r="U935" t="s">
        <v>164</v>
      </c>
      <c r="V935" s="7">
        <v>0.85814416123994997</v>
      </c>
      <c r="W935">
        <v>81.17</v>
      </c>
      <c r="X935">
        <v>0.21099999999999999</v>
      </c>
      <c r="Y935">
        <v>10.401</v>
      </c>
      <c r="Z935">
        <v>7.2</v>
      </c>
      <c r="AA935">
        <v>5</v>
      </c>
      <c r="AB935">
        <v>25</v>
      </c>
      <c r="AC935" s="17">
        <v>12</v>
      </c>
      <c r="AD935">
        <f t="shared" ref="AD935:AD937" si="26">0.01/0.05</f>
        <v>0.19999999999999998</v>
      </c>
      <c r="AE935">
        <v>50</v>
      </c>
      <c r="AF935" s="11">
        <v>0.55000000000000004</v>
      </c>
    </row>
    <row r="936" spans="1:32" x14ac:dyDescent="0.3">
      <c r="A936" t="s">
        <v>147</v>
      </c>
      <c r="B936" t="s">
        <v>14</v>
      </c>
      <c r="C936">
        <v>-1.3</v>
      </c>
      <c r="D936">
        <v>444.44</v>
      </c>
      <c r="E936">
        <v>3.5</v>
      </c>
      <c r="F936">
        <v>3.6</v>
      </c>
      <c r="G936">
        <v>1.35</v>
      </c>
      <c r="H936">
        <v>3.29</v>
      </c>
      <c r="I936">
        <v>3.0992000000000002</v>
      </c>
      <c r="J936">
        <v>182</v>
      </c>
      <c r="K936" t="s">
        <v>57</v>
      </c>
      <c r="L936" t="s">
        <v>46</v>
      </c>
      <c r="M936">
        <v>5</v>
      </c>
      <c r="N936">
        <v>62.262999999999998</v>
      </c>
      <c r="O936">
        <v>8.3000000000000007</v>
      </c>
      <c r="P936">
        <v>1.88</v>
      </c>
      <c r="Q936" t="s">
        <v>52</v>
      </c>
      <c r="R936">
        <v>70</v>
      </c>
      <c r="S936">
        <v>24</v>
      </c>
      <c r="T936" t="s">
        <v>164</v>
      </c>
      <c r="U936" t="s">
        <v>164</v>
      </c>
      <c r="V936" s="7">
        <v>0.85814416123994997</v>
      </c>
      <c r="W936">
        <v>81.17</v>
      </c>
      <c r="X936">
        <v>0.21099999999999999</v>
      </c>
      <c r="Y936">
        <v>10.401</v>
      </c>
      <c r="Z936">
        <v>7.2</v>
      </c>
      <c r="AA936">
        <v>7</v>
      </c>
      <c r="AB936">
        <v>25</v>
      </c>
      <c r="AC936" s="17">
        <v>12</v>
      </c>
      <c r="AD936">
        <f t="shared" si="26"/>
        <v>0.19999999999999998</v>
      </c>
      <c r="AE936">
        <v>50</v>
      </c>
      <c r="AF936" s="11">
        <v>0.6</v>
      </c>
    </row>
    <row r="937" spans="1:32" x14ac:dyDescent="0.3">
      <c r="A937" t="s">
        <v>147</v>
      </c>
      <c r="B937" t="s">
        <v>14</v>
      </c>
      <c r="C937">
        <v>-1.3</v>
      </c>
      <c r="D937">
        <v>444.44</v>
      </c>
      <c r="E937">
        <v>3.5</v>
      </c>
      <c r="F937">
        <v>3.6</v>
      </c>
      <c r="G937">
        <v>1.35</v>
      </c>
      <c r="H937">
        <v>3.29</v>
      </c>
      <c r="I937">
        <v>3.0992000000000002</v>
      </c>
      <c r="J937">
        <v>182</v>
      </c>
      <c r="K937" t="s">
        <v>57</v>
      </c>
      <c r="L937" t="s">
        <v>46</v>
      </c>
      <c r="M937">
        <v>5</v>
      </c>
      <c r="N937">
        <v>62.262999999999998</v>
      </c>
      <c r="O937">
        <v>8.3000000000000007</v>
      </c>
      <c r="P937">
        <v>1.88</v>
      </c>
      <c r="Q937" t="s">
        <v>52</v>
      </c>
      <c r="R937">
        <v>70</v>
      </c>
      <c r="S937">
        <v>24</v>
      </c>
      <c r="T937" t="s">
        <v>164</v>
      </c>
      <c r="U937" t="s">
        <v>164</v>
      </c>
      <c r="V937" s="7">
        <v>0.85814416123994997</v>
      </c>
      <c r="W937">
        <v>81.17</v>
      </c>
      <c r="X937">
        <v>0.21099999999999999</v>
      </c>
      <c r="Y937">
        <v>10.401</v>
      </c>
      <c r="Z937">
        <v>7.2</v>
      </c>
      <c r="AA937">
        <v>9</v>
      </c>
      <c r="AB937">
        <v>25</v>
      </c>
      <c r="AC937" s="17">
        <v>12</v>
      </c>
      <c r="AD937">
        <f t="shared" si="26"/>
        <v>0.19999999999999998</v>
      </c>
      <c r="AE937">
        <v>50</v>
      </c>
      <c r="AF937" s="11">
        <v>0.55000000000000004</v>
      </c>
    </row>
    <row r="938" spans="1:32" x14ac:dyDescent="0.3">
      <c r="A938" t="s">
        <v>147</v>
      </c>
      <c r="B938" t="s">
        <v>14</v>
      </c>
      <c r="C938">
        <v>-1.3</v>
      </c>
      <c r="D938">
        <v>444.44</v>
      </c>
      <c r="E938">
        <v>3.5</v>
      </c>
      <c r="F938">
        <v>3.6</v>
      </c>
      <c r="G938">
        <v>1.35</v>
      </c>
      <c r="H938">
        <v>3.29</v>
      </c>
      <c r="I938">
        <v>3.0992000000000002</v>
      </c>
      <c r="J938">
        <v>182</v>
      </c>
      <c r="K938" t="s">
        <v>57</v>
      </c>
      <c r="L938" t="s">
        <v>46</v>
      </c>
      <c r="M938">
        <v>5</v>
      </c>
      <c r="N938">
        <v>62.262999999999998</v>
      </c>
      <c r="O938">
        <v>8.3000000000000007</v>
      </c>
      <c r="P938">
        <v>1.88</v>
      </c>
      <c r="Q938" t="s">
        <v>52</v>
      </c>
      <c r="R938">
        <v>70</v>
      </c>
      <c r="S938">
        <v>24</v>
      </c>
      <c r="T938" t="s">
        <v>164</v>
      </c>
      <c r="U938" t="s">
        <v>164</v>
      </c>
      <c r="V938" s="7">
        <v>0.85814416123994997</v>
      </c>
      <c r="W938">
        <v>81.17</v>
      </c>
      <c r="X938">
        <v>0.21099999999999999</v>
      </c>
      <c r="Y938">
        <v>10.401</v>
      </c>
      <c r="Z938">
        <v>7.2</v>
      </c>
      <c r="AA938">
        <v>5</v>
      </c>
      <c r="AB938">
        <v>25</v>
      </c>
      <c r="AC938" s="17">
        <f>180/60</f>
        <v>3</v>
      </c>
      <c r="AD938">
        <f>0.01/0.02</f>
        <v>0.5</v>
      </c>
      <c r="AE938">
        <v>50</v>
      </c>
      <c r="AF938" s="11">
        <v>0.86</v>
      </c>
    </row>
    <row r="939" spans="1:32" x14ac:dyDescent="0.3">
      <c r="A939" t="s">
        <v>147</v>
      </c>
      <c r="B939" t="s">
        <v>14</v>
      </c>
      <c r="C939">
        <v>-1.3</v>
      </c>
      <c r="D939">
        <v>444.44</v>
      </c>
      <c r="E939">
        <v>3.5</v>
      </c>
      <c r="F939">
        <v>3.6</v>
      </c>
      <c r="G939">
        <v>1.35</v>
      </c>
      <c r="H939">
        <v>3.29</v>
      </c>
      <c r="I939">
        <v>3.0992000000000002</v>
      </c>
      <c r="J939">
        <v>182</v>
      </c>
      <c r="K939" t="s">
        <v>57</v>
      </c>
      <c r="L939" t="s">
        <v>46</v>
      </c>
      <c r="M939">
        <v>5</v>
      </c>
      <c r="N939">
        <v>62.262999999999998</v>
      </c>
      <c r="O939">
        <v>8.3000000000000007</v>
      </c>
      <c r="P939">
        <v>1.88</v>
      </c>
      <c r="Q939" t="s">
        <v>52</v>
      </c>
      <c r="R939">
        <v>70</v>
      </c>
      <c r="S939">
        <v>24</v>
      </c>
      <c r="T939" t="s">
        <v>164</v>
      </c>
      <c r="U939" t="s">
        <v>164</v>
      </c>
      <c r="V939" s="7">
        <v>0.85814416123994997</v>
      </c>
      <c r="W939">
        <v>81.17</v>
      </c>
      <c r="X939">
        <v>0.21099999999999999</v>
      </c>
      <c r="Y939">
        <v>10.401</v>
      </c>
      <c r="Z939">
        <v>7.2</v>
      </c>
      <c r="AA939">
        <v>5</v>
      </c>
      <c r="AB939">
        <v>25</v>
      </c>
      <c r="AC939" s="17">
        <f t="shared" ref="AC939:AC950" si="27">180/60</f>
        <v>3</v>
      </c>
      <c r="AD939">
        <f>0.03/0.02</f>
        <v>1.5</v>
      </c>
      <c r="AE939">
        <v>50</v>
      </c>
      <c r="AF939" s="11">
        <v>0.88</v>
      </c>
    </row>
    <row r="940" spans="1:32" x14ac:dyDescent="0.3">
      <c r="A940" t="s">
        <v>147</v>
      </c>
      <c r="B940" t="s">
        <v>14</v>
      </c>
      <c r="C940">
        <v>-1.3</v>
      </c>
      <c r="D940">
        <v>444.44</v>
      </c>
      <c r="E940">
        <v>3.5</v>
      </c>
      <c r="F940">
        <v>3.6</v>
      </c>
      <c r="G940">
        <v>1.35</v>
      </c>
      <c r="H940">
        <v>3.29</v>
      </c>
      <c r="I940">
        <v>3.0992000000000002</v>
      </c>
      <c r="J940">
        <v>182</v>
      </c>
      <c r="K940" t="s">
        <v>57</v>
      </c>
      <c r="L940" t="s">
        <v>46</v>
      </c>
      <c r="M940">
        <v>5</v>
      </c>
      <c r="N940">
        <v>62.262999999999998</v>
      </c>
      <c r="O940">
        <v>8.3000000000000007</v>
      </c>
      <c r="P940">
        <v>1.88</v>
      </c>
      <c r="Q940" t="s">
        <v>52</v>
      </c>
      <c r="R940">
        <v>70</v>
      </c>
      <c r="S940">
        <v>24</v>
      </c>
      <c r="T940" t="s">
        <v>164</v>
      </c>
      <c r="U940" t="s">
        <v>164</v>
      </c>
      <c r="V940" s="7">
        <v>0.85814416123994997</v>
      </c>
      <c r="W940">
        <v>81.17</v>
      </c>
      <c r="X940">
        <v>0.21099999999999999</v>
      </c>
      <c r="Y940">
        <v>10.401</v>
      </c>
      <c r="Z940">
        <v>7.2</v>
      </c>
      <c r="AA940">
        <v>5</v>
      </c>
      <c r="AB940">
        <v>25</v>
      </c>
      <c r="AC940" s="17">
        <f t="shared" si="27"/>
        <v>3</v>
      </c>
      <c r="AD940">
        <f>0.05/0.02</f>
        <v>2.5</v>
      </c>
      <c r="AE940">
        <v>50</v>
      </c>
      <c r="AF940" s="11">
        <v>0.89</v>
      </c>
    </row>
    <row r="941" spans="1:32" x14ac:dyDescent="0.3">
      <c r="A941" t="s">
        <v>147</v>
      </c>
      <c r="B941" t="s">
        <v>14</v>
      </c>
      <c r="C941">
        <v>-1.3</v>
      </c>
      <c r="D941">
        <v>444.44</v>
      </c>
      <c r="E941">
        <v>3.5</v>
      </c>
      <c r="F941">
        <v>3.6</v>
      </c>
      <c r="G941">
        <v>1.35</v>
      </c>
      <c r="H941">
        <v>3.29</v>
      </c>
      <c r="I941">
        <v>3.0992000000000002</v>
      </c>
      <c r="J941">
        <v>182</v>
      </c>
      <c r="K941" t="s">
        <v>57</v>
      </c>
      <c r="L941" t="s">
        <v>46</v>
      </c>
      <c r="M941">
        <v>5</v>
      </c>
      <c r="N941">
        <v>62.262999999999998</v>
      </c>
      <c r="O941">
        <v>8.3000000000000007</v>
      </c>
      <c r="P941">
        <v>1.88</v>
      </c>
      <c r="Q941" t="s">
        <v>52</v>
      </c>
      <c r="R941">
        <v>70</v>
      </c>
      <c r="S941">
        <v>24</v>
      </c>
      <c r="T941" t="s">
        <v>164</v>
      </c>
      <c r="U941" t="s">
        <v>164</v>
      </c>
      <c r="V941" s="7">
        <v>0.85814416123994997</v>
      </c>
      <c r="W941">
        <v>81.17</v>
      </c>
      <c r="X941">
        <v>0.21099999999999999</v>
      </c>
      <c r="Y941">
        <v>10.401</v>
      </c>
      <c r="Z941">
        <v>7.2</v>
      </c>
      <c r="AA941">
        <v>5</v>
      </c>
      <c r="AB941">
        <v>25</v>
      </c>
      <c r="AC941" s="17">
        <f t="shared" si="27"/>
        <v>3</v>
      </c>
      <c r="AD941">
        <f>0.07/0.02</f>
        <v>3.5000000000000004</v>
      </c>
      <c r="AE941">
        <v>50</v>
      </c>
      <c r="AF941" s="11">
        <v>0.89</v>
      </c>
    </row>
    <row r="942" spans="1:32" x14ac:dyDescent="0.3">
      <c r="A942" t="s">
        <v>147</v>
      </c>
      <c r="B942" t="s">
        <v>14</v>
      </c>
      <c r="C942">
        <v>-1.3</v>
      </c>
      <c r="D942">
        <v>444.44</v>
      </c>
      <c r="E942">
        <v>3.5</v>
      </c>
      <c r="F942">
        <v>3.6</v>
      </c>
      <c r="G942">
        <v>1.35</v>
      </c>
      <c r="H942">
        <v>3.29</v>
      </c>
      <c r="I942">
        <v>3.0992000000000002</v>
      </c>
      <c r="J942">
        <v>182</v>
      </c>
      <c r="K942" t="s">
        <v>57</v>
      </c>
      <c r="L942" t="s">
        <v>46</v>
      </c>
      <c r="M942">
        <v>5</v>
      </c>
      <c r="N942">
        <v>62.262999999999998</v>
      </c>
      <c r="O942">
        <v>8.3000000000000007</v>
      </c>
      <c r="P942">
        <v>1.88</v>
      </c>
      <c r="Q942" t="s">
        <v>52</v>
      </c>
      <c r="R942">
        <v>70</v>
      </c>
      <c r="S942">
        <v>24</v>
      </c>
      <c r="T942" t="s">
        <v>164</v>
      </c>
      <c r="U942" t="s">
        <v>164</v>
      </c>
      <c r="V942" s="7">
        <v>0.85814416123994997</v>
      </c>
      <c r="W942">
        <v>81.17</v>
      </c>
      <c r="X942">
        <v>0.21099999999999999</v>
      </c>
      <c r="Y942">
        <v>10.401</v>
      </c>
      <c r="Z942">
        <v>7.2</v>
      </c>
      <c r="AA942">
        <v>5</v>
      </c>
      <c r="AB942">
        <v>25</v>
      </c>
      <c r="AC942" s="17">
        <f t="shared" si="27"/>
        <v>3</v>
      </c>
      <c r="AD942">
        <f>0.09/0.02</f>
        <v>4.5</v>
      </c>
      <c r="AE942">
        <v>50</v>
      </c>
      <c r="AF942" s="11">
        <v>0.9</v>
      </c>
    </row>
    <row r="943" spans="1:32" x14ac:dyDescent="0.3">
      <c r="A943" t="s">
        <v>147</v>
      </c>
      <c r="B943" t="s">
        <v>14</v>
      </c>
      <c r="C943">
        <v>-1.3</v>
      </c>
      <c r="D943">
        <v>444.44</v>
      </c>
      <c r="E943">
        <v>3.5</v>
      </c>
      <c r="F943">
        <v>3.6</v>
      </c>
      <c r="G943">
        <v>1.35</v>
      </c>
      <c r="H943">
        <v>3.29</v>
      </c>
      <c r="I943">
        <v>3.0992000000000002</v>
      </c>
      <c r="J943">
        <v>182</v>
      </c>
      <c r="K943" t="s">
        <v>57</v>
      </c>
      <c r="L943" t="s">
        <v>46</v>
      </c>
      <c r="M943">
        <v>5</v>
      </c>
      <c r="N943">
        <v>62.262999999999998</v>
      </c>
      <c r="O943">
        <v>8.3000000000000007</v>
      </c>
      <c r="P943">
        <v>1.88</v>
      </c>
      <c r="Q943" t="s">
        <v>52</v>
      </c>
      <c r="R943">
        <v>70</v>
      </c>
      <c r="S943">
        <v>24</v>
      </c>
      <c r="T943" t="s">
        <v>164</v>
      </c>
      <c r="U943" t="s">
        <v>164</v>
      </c>
      <c r="V943" s="7">
        <v>0.85814416123994997</v>
      </c>
      <c r="W943">
        <v>81.17</v>
      </c>
      <c r="X943">
        <v>0.21099999999999999</v>
      </c>
      <c r="Y943">
        <v>10.401</v>
      </c>
      <c r="Z943">
        <v>7.2</v>
      </c>
      <c r="AA943">
        <v>5</v>
      </c>
      <c r="AB943">
        <v>25</v>
      </c>
      <c r="AC943" s="17">
        <f t="shared" si="27"/>
        <v>3</v>
      </c>
      <c r="AD943">
        <f>0.1/0.02</f>
        <v>5</v>
      </c>
      <c r="AE943">
        <v>50</v>
      </c>
      <c r="AF943" s="11">
        <v>0.91</v>
      </c>
    </row>
    <row r="944" spans="1:32" x14ac:dyDescent="0.3">
      <c r="A944" t="s">
        <v>147</v>
      </c>
      <c r="B944" t="s">
        <v>14</v>
      </c>
      <c r="C944">
        <v>-1.3</v>
      </c>
      <c r="D944">
        <v>444.44</v>
      </c>
      <c r="E944">
        <v>3.5</v>
      </c>
      <c r="F944">
        <v>3.6</v>
      </c>
      <c r="G944">
        <v>1.35</v>
      </c>
      <c r="H944">
        <v>3.29</v>
      </c>
      <c r="I944">
        <v>3.0992000000000002</v>
      </c>
      <c r="J944">
        <v>182</v>
      </c>
      <c r="K944" t="s">
        <v>57</v>
      </c>
      <c r="L944" t="s">
        <v>46</v>
      </c>
      <c r="M944">
        <v>5</v>
      </c>
      <c r="N944">
        <v>62.262999999999998</v>
      </c>
      <c r="O944">
        <v>8.3000000000000007</v>
      </c>
      <c r="P944">
        <v>1.88</v>
      </c>
      <c r="Q944" t="s">
        <v>52</v>
      </c>
      <c r="R944">
        <v>70</v>
      </c>
      <c r="S944">
        <v>24</v>
      </c>
      <c r="T944" t="s">
        <v>164</v>
      </c>
      <c r="U944" t="s">
        <v>164</v>
      </c>
      <c r="V944" s="7">
        <v>0.85814416123994997</v>
      </c>
      <c r="W944">
        <v>81.17</v>
      </c>
      <c r="X944">
        <v>0.21099999999999999</v>
      </c>
      <c r="Y944">
        <v>10.401</v>
      </c>
      <c r="Z944">
        <v>7.2</v>
      </c>
      <c r="AA944">
        <v>5</v>
      </c>
      <c r="AB944">
        <v>25</v>
      </c>
      <c r="AC944" s="17">
        <f t="shared" si="27"/>
        <v>3</v>
      </c>
      <c r="AD944">
        <f t="shared" ref="AD944:AD949" si="28">0.1/0.02</f>
        <v>5</v>
      </c>
      <c r="AE944">
        <v>85</v>
      </c>
      <c r="AF944" s="11">
        <v>0.76470588235294112</v>
      </c>
    </row>
    <row r="945" spans="1:32" x14ac:dyDescent="0.3">
      <c r="A945" t="s">
        <v>147</v>
      </c>
      <c r="B945" t="s">
        <v>14</v>
      </c>
      <c r="C945">
        <v>-1.3</v>
      </c>
      <c r="D945">
        <v>444.44</v>
      </c>
      <c r="E945">
        <v>3.5</v>
      </c>
      <c r="F945">
        <v>3.6</v>
      </c>
      <c r="G945">
        <v>1.35</v>
      </c>
      <c r="H945">
        <v>3.29</v>
      </c>
      <c r="I945">
        <v>3.0992000000000002</v>
      </c>
      <c r="J945">
        <v>182</v>
      </c>
      <c r="K945" t="s">
        <v>57</v>
      </c>
      <c r="L945" t="s">
        <v>46</v>
      </c>
      <c r="M945">
        <v>5</v>
      </c>
      <c r="N945">
        <v>62.262999999999998</v>
      </c>
      <c r="O945">
        <v>8.3000000000000007</v>
      </c>
      <c r="P945">
        <v>1.88</v>
      </c>
      <c r="Q945" t="s">
        <v>52</v>
      </c>
      <c r="R945">
        <v>70</v>
      </c>
      <c r="S945">
        <v>24</v>
      </c>
      <c r="T945" t="s">
        <v>164</v>
      </c>
      <c r="U945" t="s">
        <v>164</v>
      </c>
      <c r="V945" s="7">
        <v>0.85814416123994997</v>
      </c>
      <c r="W945">
        <v>81.17</v>
      </c>
      <c r="X945">
        <v>0.21099999999999999</v>
      </c>
      <c r="Y945">
        <v>10.401</v>
      </c>
      <c r="Z945">
        <v>7.2</v>
      </c>
      <c r="AA945">
        <v>5</v>
      </c>
      <c r="AB945">
        <v>25</v>
      </c>
      <c r="AC945" s="17">
        <f t="shared" si="27"/>
        <v>3</v>
      </c>
      <c r="AD945">
        <f t="shared" si="28"/>
        <v>5</v>
      </c>
      <c r="AE945">
        <v>60</v>
      </c>
      <c r="AF945" s="11">
        <v>0.16666666666666666</v>
      </c>
    </row>
    <row r="946" spans="1:32" x14ac:dyDescent="0.3">
      <c r="A946" t="s">
        <v>147</v>
      </c>
      <c r="B946" t="s">
        <v>14</v>
      </c>
      <c r="C946">
        <v>-1.3</v>
      </c>
      <c r="D946">
        <v>444.44</v>
      </c>
      <c r="E946">
        <v>3.5</v>
      </c>
      <c r="F946">
        <v>3.6</v>
      </c>
      <c r="G946">
        <v>1.35</v>
      </c>
      <c r="H946">
        <v>3.29</v>
      </c>
      <c r="I946">
        <v>3.0992000000000002</v>
      </c>
      <c r="J946">
        <v>182</v>
      </c>
      <c r="K946" t="s">
        <v>57</v>
      </c>
      <c r="L946" t="s">
        <v>46</v>
      </c>
      <c r="M946">
        <v>5</v>
      </c>
      <c r="N946">
        <v>62.262999999999998</v>
      </c>
      <c r="O946">
        <v>8.3000000000000007</v>
      </c>
      <c r="P946">
        <v>1.88</v>
      </c>
      <c r="Q946" t="s">
        <v>52</v>
      </c>
      <c r="R946">
        <v>70</v>
      </c>
      <c r="S946">
        <v>24</v>
      </c>
      <c r="T946" t="s">
        <v>164</v>
      </c>
      <c r="U946" t="s">
        <v>164</v>
      </c>
      <c r="V946" s="7">
        <v>0.85814416123994997</v>
      </c>
      <c r="W946">
        <v>81.17</v>
      </c>
      <c r="X946">
        <v>0.21099999999999999</v>
      </c>
      <c r="Y946">
        <v>10.401</v>
      </c>
      <c r="Z946">
        <v>7.2</v>
      </c>
      <c r="AA946">
        <v>5</v>
      </c>
      <c r="AB946">
        <v>25</v>
      </c>
      <c r="AC946" s="17">
        <f t="shared" si="27"/>
        <v>3</v>
      </c>
      <c r="AD946">
        <f t="shared" si="28"/>
        <v>5</v>
      </c>
      <c r="AE946">
        <v>170</v>
      </c>
      <c r="AF946" s="11">
        <v>0.52941176470588236</v>
      </c>
    </row>
    <row r="947" spans="1:32" x14ac:dyDescent="0.3">
      <c r="A947" t="s">
        <v>147</v>
      </c>
      <c r="B947" t="s">
        <v>14</v>
      </c>
      <c r="C947">
        <v>-1.3</v>
      </c>
      <c r="D947">
        <v>444.44</v>
      </c>
      <c r="E947">
        <v>3.5</v>
      </c>
      <c r="F947">
        <v>3.6</v>
      </c>
      <c r="G947">
        <v>1.35</v>
      </c>
      <c r="H947">
        <v>3.29</v>
      </c>
      <c r="I947">
        <v>3.0992000000000002</v>
      </c>
      <c r="J947">
        <v>182</v>
      </c>
      <c r="K947" t="s">
        <v>57</v>
      </c>
      <c r="L947" t="s">
        <v>46</v>
      </c>
      <c r="M947">
        <v>5</v>
      </c>
      <c r="N947">
        <v>62.262999999999998</v>
      </c>
      <c r="O947">
        <v>8.3000000000000007</v>
      </c>
      <c r="P947">
        <v>1.88</v>
      </c>
      <c r="Q947" t="s">
        <v>52</v>
      </c>
      <c r="R947">
        <v>70</v>
      </c>
      <c r="S947">
        <v>24</v>
      </c>
      <c r="T947" t="s">
        <v>164</v>
      </c>
      <c r="U947" t="s">
        <v>164</v>
      </c>
      <c r="V947" s="7">
        <v>0.85814416123994997</v>
      </c>
      <c r="W947">
        <v>81.17</v>
      </c>
      <c r="X947">
        <v>0.21099999999999999</v>
      </c>
      <c r="Y947">
        <v>10.401</v>
      </c>
      <c r="Z947">
        <v>7.2</v>
      </c>
      <c r="AA947">
        <v>5</v>
      </c>
      <c r="AB947">
        <v>25</v>
      </c>
      <c r="AC947" s="17">
        <f t="shared" si="27"/>
        <v>3</v>
      </c>
      <c r="AD947">
        <f t="shared" si="28"/>
        <v>5</v>
      </c>
      <c r="AE947">
        <v>405</v>
      </c>
      <c r="AF947" s="11">
        <v>0.55555555555555558</v>
      </c>
    </row>
    <row r="948" spans="1:32" x14ac:dyDescent="0.3">
      <c r="A948" t="s">
        <v>147</v>
      </c>
      <c r="B948" t="s">
        <v>14</v>
      </c>
      <c r="C948">
        <v>-1.3</v>
      </c>
      <c r="D948">
        <v>444.44</v>
      </c>
      <c r="E948">
        <v>3.5</v>
      </c>
      <c r="F948">
        <v>3.6</v>
      </c>
      <c r="G948">
        <v>1.35</v>
      </c>
      <c r="H948">
        <v>3.29</v>
      </c>
      <c r="I948">
        <v>3.0992000000000002</v>
      </c>
      <c r="J948">
        <v>182</v>
      </c>
      <c r="K948" t="s">
        <v>57</v>
      </c>
      <c r="L948" t="s">
        <v>46</v>
      </c>
      <c r="M948">
        <v>5</v>
      </c>
      <c r="N948">
        <v>62.262999999999998</v>
      </c>
      <c r="O948">
        <v>8.3000000000000007</v>
      </c>
      <c r="P948">
        <v>1.88</v>
      </c>
      <c r="Q948" t="s">
        <v>52</v>
      </c>
      <c r="R948">
        <v>70</v>
      </c>
      <c r="S948">
        <v>24</v>
      </c>
      <c r="T948" t="s">
        <v>164</v>
      </c>
      <c r="U948" t="s">
        <v>164</v>
      </c>
      <c r="V948" s="7">
        <v>0.85814416123994997</v>
      </c>
      <c r="W948">
        <v>81.17</v>
      </c>
      <c r="X948">
        <v>0.21099999999999999</v>
      </c>
      <c r="Y948">
        <v>10.401</v>
      </c>
      <c r="Z948">
        <v>7.2</v>
      </c>
      <c r="AA948">
        <v>5</v>
      </c>
      <c r="AB948">
        <v>25</v>
      </c>
      <c r="AC948" s="17">
        <f t="shared" si="27"/>
        <v>3</v>
      </c>
      <c r="AD948">
        <f t="shared" si="28"/>
        <v>5</v>
      </c>
      <c r="AE948">
        <v>580</v>
      </c>
      <c r="AF948" s="11">
        <v>0.51724137931034486</v>
      </c>
    </row>
    <row r="949" spans="1:32" x14ac:dyDescent="0.3">
      <c r="A949" t="s">
        <v>147</v>
      </c>
      <c r="B949" t="s">
        <v>14</v>
      </c>
      <c r="C949">
        <v>-1.3</v>
      </c>
      <c r="D949">
        <v>444.44</v>
      </c>
      <c r="E949">
        <v>3.5</v>
      </c>
      <c r="F949">
        <v>3.6</v>
      </c>
      <c r="G949">
        <v>1.35</v>
      </c>
      <c r="H949">
        <v>3.29</v>
      </c>
      <c r="I949">
        <v>3.0992000000000002</v>
      </c>
      <c r="J949">
        <v>182</v>
      </c>
      <c r="K949" t="s">
        <v>57</v>
      </c>
      <c r="L949" t="s">
        <v>46</v>
      </c>
      <c r="M949">
        <v>5</v>
      </c>
      <c r="N949">
        <v>62.262999999999998</v>
      </c>
      <c r="O949">
        <v>8.3000000000000007</v>
      </c>
      <c r="P949">
        <v>1.88</v>
      </c>
      <c r="Q949" t="s">
        <v>52</v>
      </c>
      <c r="R949">
        <v>70</v>
      </c>
      <c r="S949">
        <v>24</v>
      </c>
      <c r="T949" t="s">
        <v>164</v>
      </c>
      <c r="U949" t="s">
        <v>164</v>
      </c>
      <c r="V949" s="7">
        <v>0.85814416123994997</v>
      </c>
      <c r="W949">
        <v>81.17</v>
      </c>
      <c r="X949">
        <v>0.21099999999999999</v>
      </c>
      <c r="Y949">
        <v>10.401</v>
      </c>
      <c r="Z949">
        <v>7.2</v>
      </c>
      <c r="AA949">
        <v>5</v>
      </c>
      <c r="AB949">
        <v>25</v>
      </c>
      <c r="AC949" s="17">
        <f t="shared" si="27"/>
        <v>3</v>
      </c>
      <c r="AD949">
        <f t="shared" si="28"/>
        <v>5</v>
      </c>
      <c r="AE949">
        <v>900</v>
      </c>
      <c r="AF949" s="11">
        <v>0.44444444444444442</v>
      </c>
    </row>
    <row r="950" spans="1:32" x14ac:dyDescent="0.3">
      <c r="A950" t="s">
        <v>147</v>
      </c>
      <c r="B950" t="s">
        <v>14</v>
      </c>
      <c r="C950">
        <v>-1.3</v>
      </c>
      <c r="D950">
        <v>444.44</v>
      </c>
      <c r="E950">
        <v>3.5</v>
      </c>
      <c r="F950">
        <v>3.6</v>
      </c>
      <c r="G950">
        <v>1.35</v>
      </c>
      <c r="H950">
        <v>3.29</v>
      </c>
      <c r="I950">
        <v>3.0992000000000002</v>
      </c>
      <c r="J950">
        <v>182</v>
      </c>
      <c r="K950" t="s">
        <v>57</v>
      </c>
      <c r="L950" t="s">
        <v>46</v>
      </c>
      <c r="M950">
        <v>5</v>
      </c>
      <c r="N950">
        <v>62.262999999999998</v>
      </c>
      <c r="O950">
        <v>8.3000000000000007</v>
      </c>
      <c r="P950">
        <v>1.88</v>
      </c>
      <c r="Q950" t="s">
        <v>52</v>
      </c>
      <c r="R950">
        <v>70</v>
      </c>
      <c r="S950">
        <v>24</v>
      </c>
      <c r="T950" t="s">
        <v>164</v>
      </c>
      <c r="U950" t="s">
        <v>164</v>
      </c>
      <c r="V950" s="7">
        <v>0.85814416123994997</v>
      </c>
      <c r="W950">
        <v>81.17</v>
      </c>
      <c r="X950">
        <v>0.21099999999999999</v>
      </c>
      <c r="Y950">
        <v>10.401</v>
      </c>
      <c r="Z950">
        <v>7.2</v>
      </c>
      <c r="AA950">
        <v>5</v>
      </c>
      <c r="AB950">
        <v>25</v>
      </c>
      <c r="AC950" s="17">
        <f t="shared" si="27"/>
        <v>3</v>
      </c>
      <c r="AD950">
        <v>5</v>
      </c>
      <c r="AE950">
        <v>1125</v>
      </c>
      <c r="AF950" s="11">
        <v>0.37777777777777777</v>
      </c>
    </row>
    <row r="951" spans="1:32" x14ac:dyDescent="0.3">
      <c r="A951" t="s">
        <v>147</v>
      </c>
      <c r="B951" t="s">
        <v>14</v>
      </c>
      <c r="C951">
        <v>-1.3</v>
      </c>
      <c r="D951">
        <v>444.44</v>
      </c>
      <c r="E951">
        <v>3.5</v>
      </c>
      <c r="F951">
        <v>3.6</v>
      </c>
      <c r="G951">
        <v>1.35</v>
      </c>
      <c r="H951">
        <v>3.29</v>
      </c>
      <c r="I951">
        <v>3.0992000000000002</v>
      </c>
      <c r="J951">
        <v>182</v>
      </c>
      <c r="K951" t="s">
        <v>57</v>
      </c>
      <c r="L951" t="s">
        <v>46</v>
      </c>
      <c r="M951">
        <v>5</v>
      </c>
      <c r="N951">
        <v>62.262999999999998</v>
      </c>
      <c r="O951">
        <v>8.3000000000000007</v>
      </c>
      <c r="P951">
        <v>1.88</v>
      </c>
      <c r="Q951" t="s">
        <v>52</v>
      </c>
      <c r="R951">
        <v>70</v>
      </c>
      <c r="S951">
        <v>24</v>
      </c>
      <c r="T951" t="s">
        <v>164</v>
      </c>
      <c r="U951" t="s">
        <v>164</v>
      </c>
      <c r="V951" s="7">
        <v>0.85814416123994997</v>
      </c>
      <c r="W951">
        <v>81.17</v>
      </c>
      <c r="X951">
        <v>0.21099999999999999</v>
      </c>
      <c r="Y951">
        <v>10.401</v>
      </c>
      <c r="Z951">
        <v>7.2</v>
      </c>
      <c r="AA951">
        <v>5</v>
      </c>
      <c r="AB951">
        <v>25</v>
      </c>
      <c r="AC951" s="21">
        <v>8.3333333329999995E-2</v>
      </c>
      <c r="AD951">
        <v>5</v>
      </c>
      <c r="AE951">
        <v>50</v>
      </c>
      <c r="AF951" s="11">
        <v>0.18</v>
      </c>
    </row>
    <row r="952" spans="1:32" x14ac:dyDescent="0.3">
      <c r="A952" t="s">
        <v>147</v>
      </c>
      <c r="B952" t="s">
        <v>14</v>
      </c>
      <c r="C952">
        <v>-1.3</v>
      </c>
      <c r="D952">
        <v>444.44</v>
      </c>
      <c r="E952">
        <v>3.5</v>
      </c>
      <c r="F952">
        <v>3.6</v>
      </c>
      <c r="G952">
        <v>1.35</v>
      </c>
      <c r="H952">
        <v>3.29</v>
      </c>
      <c r="I952">
        <v>3.0992000000000002</v>
      </c>
      <c r="J952">
        <v>182</v>
      </c>
      <c r="K952" t="s">
        <v>57</v>
      </c>
      <c r="L952" t="s">
        <v>46</v>
      </c>
      <c r="M952">
        <v>5</v>
      </c>
      <c r="N952">
        <v>62.262999999999998</v>
      </c>
      <c r="O952">
        <v>8.3000000000000007</v>
      </c>
      <c r="P952">
        <v>1.88</v>
      </c>
      <c r="Q952" t="s">
        <v>52</v>
      </c>
      <c r="R952">
        <v>70</v>
      </c>
      <c r="S952">
        <v>24</v>
      </c>
      <c r="T952" t="s">
        <v>164</v>
      </c>
      <c r="U952" t="s">
        <v>164</v>
      </c>
      <c r="V952" s="7">
        <v>0.85814416123994997</v>
      </c>
      <c r="W952">
        <v>81.17</v>
      </c>
      <c r="X952">
        <v>0.21099999999999999</v>
      </c>
      <c r="Y952">
        <v>10.401</v>
      </c>
      <c r="Z952">
        <v>7.2</v>
      </c>
      <c r="AA952">
        <v>5</v>
      </c>
      <c r="AB952">
        <v>25</v>
      </c>
      <c r="AC952" s="21">
        <v>0.16666666669999999</v>
      </c>
      <c r="AD952">
        <v>5</v>
      </c>
      <c r="AE952">
        <v>50</v>
      </c>
      <c r="AF952" s="11">
        <v>0.23599999999999993</v>
      </c>
    </row>
    <row r="953" spans="1:32" x14ac:dyDescent="0.3">
      <c r="A953" t="s">
        <v>147</v>
      </c>
      <c r="B953" t="s">
        <v>14</v>
      </c>
      <c r="C953">
        <v>-1.3</v>
      </c>
      <c r="D953">
        <v>444.44</v>
      </c>
      <c r="E953">
        <v>3.5</v>
      </c>
      <c r="F953">
        <v>3.6</v>
      </c>
      <c r="G953">
        <v>1.35</v>
      </c>
      <c r="H953">
        <v>3.29</v>
      </c>
      <c r="I953">
        <v>3.0992000000000002</v>
      </c>
      <c r="J953">
        <v>182</v>
      </c>
      <c r="K953" t="s">
        <v>57</v>
      </c>
      <c r="L953" t="s">
        <v>46</v>
      </c>
      <c r="M953">
        <v>5</v>
      </c>
      <c r="N953">
        <v>62.262999999999998</v>
      </c>
      <c r="O953">
        <v>8.3000000000000007</v>
      </c>
      <c r="P953">
        <v>1.88</v>
      </c>
      <c r="Q953" t="s">
        <v>52</v>
      </c>
      <c r="R953">
        <v>70</v>
      </c>
      <c r="S953">
        <v>24</v>
      </c>
      <c r="T953" t="s">
        <v>164</v>
      </c>
      <c r="U953" t="s">
        <v>164</v>
      </c>
      <c r="V953" s="7">
        <v>0.85814416123994997</v>
      </c>
      <c r="W953">
        <v>81.17</v>
      </c>
      <c r="X953">
        <v>0.21099999999999999</v>
      </c>
      <c r="Y953">
        <v>10.401</v>
      </c>
      <c r="Z953">
        <v>7.2</v>
      </c>
      <c r="AA953">
        <v>5</v>
      </c>
      <c r="AB953">
        <v>25</v>
      </c>
      <c r="AC953" s="21">
        <v>0.25</v>
      </c>
      <c r="AD953">
        <v>5</v>
      </c>
      <c r="AE953">
        <v>50</v>
      </c>
      <c r="AF953" s="11">
        <v>0.24400000000000005</v>
      </c>
    </row>
    <row r="954" spans="1:32" x14ac:dyDescent="0.3">
      <c r="A954" t="s">
        <v>147</v>
      </c>
      <c r="B954" t="s">
        <v>14</v>
      </c>
      <c r="C954">
        <v>-1.3</v>
      </c>
      <c r="D954">
        <v>444.44</v>
      </c>
      <c r="E954">
        <v>3.5</v>
      </c>
      <c r="F954">
        <v>3.6</v>
      </c>
      <c r="G954">
        <v>1.35</v>
      </c>
      <c r="H954">
        <v>3.29</v>
      </c>
      <c r="I954">
        <v>3.0992000000000002</v>
      </c>
      <c r="J954">
        <v>182</v>
      </c>
      <c r="K954" t="s">
        <v>57</v>
      </c>
      <c r="L954" t="s">
        <v>46</v>
      </c>
      <c r="M954">
        <v>5</v>
      </c>
      <c r="N954">
        <v>62.262999999999998</v>
      </c>
      <c r="O954">
        <v>8.3000000000000007</v>
      </c>
      <c r="P954">
        <v>1.88</v>
      </c>
      <c r="Q954" t="s">
        <v>52</v>
      </c>
      <c r="R954">
        <v>70</v>
      </c>
      <c r="S954">
        <v>24</v>
      </c>
      <c r="T954" t="s">
        <v>164</v>
      </c>
      <c r="U954" t="s">
        <v>164</v>
      </c>
      <c r="V954" s="7">
        <v>0.85814416123994997</v>
      </c>
      <c r="W954">
        <v>81.17</v>
      </c>
      <c r="X954">
        <v>0.21099999999999999</v>
      </c>
      <c r="Y954">
        <v>10.401</v>
      </c>
      <c r="Z954">
        <v>7.2</v>
      </c>
      <c r="AA954">
        <v>5</v>
      </c>
      <c r="AB954">
        <v>25</v>
      </c>
      <c r="AC954" s="21">
        <v>0.33333333329999998</v>
      </c>
      <c r="AD954">
        <v>5</v>
      </c>
      <c r="AE954">
        <v>50</v>
      </c>
      <c r="AF954" s="11">
        <v>0.27200000000000002</v>
      </c>
    </row>
    <row r="955" spans="1:32" x14ac:dyDescent="0.3">
      <c r="A955" t="s">
        <v>147</v>
      </c>
      <c r="B955" t="s">
        <v>14</v>
      </c>
      <c r="C955">
        <v>-1.3</v>
      </c>
      <c r="D955">
        <v>444.44</v>
      </c>
      <c r="E955">
        <v>3.5</v>
      </c>
      <c r="F955">
        <v>3.6</v>
      </c>
      <c r="G955">
        <v>1.35</v>
      </c>
      <c r="H955">
        <v>3.29</v>
      </c>
      <c r="I955">
        <v>3.0992000000000002</v>
      </c>
      <c r="J955">
        <v>182</v>
      </c>
      <c r="K955" t="s">
        <v>57</v>
      </c>
      <c r="L955" t="s">
        <v>46</v>
      </c>
      <c r="M955">
        <v>5</v>
      </c>
      <c r="N955">
        <v>62.262999999999998</v>
      </c>
      <c r="O955">
        <v>8.3000000000000007</v>
      </c>
      <c r="P955">
        <v>1.88</v>
      </c>
      <c r="Q955" t="s">
        <v>52</v>
      </c>
      <c r="R955">
        <v>70</v>
      </c>
      <c r="S955">
        <v>24</v>
      </c>
      <c r="T955" t="s">
        <v>164</v>
      </c>
      <c r="U955" t="s">
        <v>164</v>
      </c>
      <c r="V955" s="7">
        <v>0.85814416123994997</v>
      </c>
      <c r="W955">
        <v>81.17</v>
      </c>
      <c r="X955">
        <v>0.21099999999999999</v>
      </c>
      <c r="Y955">
        <v>10.401</v>
      </c>
      <c r="Z955">
        <v>7.2</v>
      </c>
      <c r="AA955">
        <v>5</v>
      </c>
      <c r="AB955">
        <v>25</v>
      </c>
      <c r="AC955" s="20">
        <v>0.5</v>
      </c>
      <c r="AD955">
        <v>5</v>
      </c>
      <c r="AE955">
        <v>50</v>
      </c>
      <c r="AF955" s="11">
        <v>0.28400000000000003</v>
      </c>
    </row>
    <row r="956" spans="1:32" x14ac:dyDescent="0.3">
      <c r="A956" t="s">
        <v>147</v>
      </c>
      <c r="B956" t="s">
        <v>14</v>
      </c>
      <c r="C956">
        <v>-1.3</v>
      </c>
      <c r="D956">
        <v>444.44</v>
      </c>
      <c r="E956">
        <v>3.5</v>
      </c>
      <c r="F956">
        <v>3.6</v>
      </c>
      <c r="G956">
        <v>1.35</v>
      </c>
      <c r="H956">
        <v>3.29</v>
      </c>
      <c r="I956">
        <v>3.0992000000000002</v>
      </c>
      <c r="J956">
        <v>182</v>
      </c>
      <c r="K956" t="s">
        <v>57</v>
      </c>
      <c r="L956" t="s">
        <v>46</v>
      </c>
      <c r="M956">
        <v>5</v>
      </c>
      <c r="N956">
        <v>62.262999999999998</v>
      </c>
      <c r="O956">
        <v>8.3000000000000007</v>
      </c>
      <c r="P956">
        <v>1.88</v>
      </c>
      <c r="Q956" t="s">
        <v>52</v>
      </c>
      <c r="R956">
        <v>70</v>
      </c>
      <c r="S956">
        <v>24</v>
      </c>
      <c r="T956" t="s">
        <v>164</v>
      </c>
      <c r="U956" t="s">
        <v>164</v>
      </c>
      <c r="V956" s="7">
        <v>0.85814416123994997</v>
      </c>
      <c r="W956">
        <v>81.17</v>
      </c>
      <c r="X956">
        <v>0.21099999999999999</v>
      </c>
      <c r="Y956">
        <v>10.401</v>
      </c>
      <c r="Z956">
        <v>7.2</v>
      </c>
      <c r="AA956">
        <v>5</v>
      </c>
      <c r="AB956">
        <v>25</v>
      </c>
      <c r="AC956" s="18">
        <v>1</v>
      </c>
      <c r="AD956">
        <v>5</v>
      </c>
      <c r="AE956">
        <v>50</v>
      </c>
      <c r="AF956" s="11">
        <v>0.29599999999999993</v>
      </c>
    </row>
    <row r="957" spans="1:32" x14ac:dyDescent="0.3">
      <c r="A957" t="s">
        <v>147</v>
      </c>
      <c r="B957" t="s">
        <v>14</v>
      </c>
      <c r="C957">
        <v>-1.3</v>
      </c>
      <c r="D957">
        <v>444.44</v>
      </c>
      <c r="E957">
        <v>3.5</v>
      </c>
      <c r="F957">
        <v>3.6</v>
      </c>
      <c r="G957">
        <v>1.35</v>
      </c>
      <c r="H957">
        <v>3.29</v>
      </c>
      <c r="I957">
        <v>3.0992000000000002</v>
      </c>
      <c r="J957">
        <v>182</v>
      </c>
      <c r="K957" t="s">
        <v>57</v>
      </c>
      <c r="L957" t="s">
        <v>46</v>
      </c>
      <c r="M957">
        <v>5</v>
      </c>
      <c r="N957">
        <v>62.262999999999998</v>
      </c>
      <c r="O957">
        <v>8.3000000000000007</v>
      </c>
      <c r="P957">
        <v>1.88</v>
      </c>
      <c r="Q957" t="s">
        <v>52</v>
      </c>
      <c r="R957">
        <v>70</v>
      </c>
      <c r="S957">
        <v>24</v>
      </c>
      <c r="T957" t="s">
        <v>164</v>
      </c>
      <c r="U957" t="s">
        <v>164</v>
      </c>
      <c r="V957" s="7">
        <v>0.85814416123994997</v>
      </c>
      <c r="W957">
        <v>81.17</v>
      </c>
      <c r="X957">
        <v>0.21099999999999999</v>
      </c>
      <c r="Y957">
        <v>10.401</v>
      </c>
      <c r="Z957">
        <v>7.2</v>
      </c>
      <c r="AA957">
        <v>5</v>
      </c>
      <c r="AB957">
        <v>25</v>
      </c>
      <c r="AC957" s="18">
        <v>2</v>
      </c>
      <c r="AD957">
        <v>5</v>
      </c>
      <c r="AE957">
        <v>50</v>
      </c>
      <c r="AF957" s="11">
        <v>0.31200000000000006</v>
      </c>
    </row>
    <row r="958" spans="1:32" x14ac:dyDescent="0.3">
      <c r="A958" t="s">
        <v>148</v>
      </c>
      <c r="B958" t="s">
        <v>16</v>
      </c>
      <c r="C958">
        <v>4.51</v>
      </c>
      <c r="D958">
        <v>318.13</v>
      </c>
      <c r="E958">
        <v>1.81</v>
      </c>
      <c r="F958">
        <v>1.85</v>
      </c>
      <c r="G958">
        <v>0.55000000000000004</v>
      </c>
      <c r="H958">
        <v>0.77</v>
      </c>
      <c r="I958">
        <v>2.0249999999999999</v>
      </c>
      <c r="J958">
        <v>49.3</v>
      </c>
      <c r="K958" t="s">
        <v>45</v>
      </c>
      <c r="L958" t="s">
        <v>51</v>
      </c>
      <c r="M958">
        <v>3</v>
      </c>
      <c r="N958">
        <v>55.78</v>
      </c>
      <c r="O958">
        <v>7.5</v>
      </c>
      <c r="P958">
        <v>1.61</v>
      </c>
      <c r="Q958" t="s">
        <v>52</v>
      </c>
      <c r="R958">
        <v>60</v>
      </c>
      <c r="S958">
        <v>24</v>
      </c>
      <c r="T958">
        <v>400</v>
      </c>
      <c r="U958">
        <v>4</v>
      </c>
      <c r="V958" s="7">
        <v>0.76159409213113394</v>
      </c>
      <c r="W958">
        <v>79</v>
      </c>
      <c r="X958">
        <v>4.5999999999999999E-3</v>
      </c>
      <c r="Y958">
        <v>0.23300000000000001</v>
      </c>
      <c r="Z958">
        <v>7.5</v>
      </c>
      <c r="AA958">
        <v>4.2</v>
      </c>
      <c r="AB958">
        <v>25</v>
      </c>
      <c r="AC958" s="17">
        <v>0.17</v>
      </c>
      <c r="AD958">
        <f>25/250</f>
        <v>0.1</v>
      </c>
      <c r="AE958">
        <v>24</v>
      </c>
      <c r="AF958" s="11">
        <v>0.10604166666666674</v>
      </c>
    </row>
    <row r="959" spans="1:32" x14ac:dyDescent="0.3">
      <c r="A959" t="s">
        <v>148</v>
      </c>
      <c r="B959" t="s">
        <v>16</v>
      </c>
      <c r="C959">
        <v>4.51</v>
      </c>
      <c r="D959">
        <v>318.13</v>
      </c>
      <c r="E959">
        <v>1.81</v>
      </c>
      <c r="F959">
        <v>1.85</v>
      </c>
      <c r="G959">
        <v>0.55000000000000004</v>
      </c>
      <c r="H959">
        <v>0.77</v>
      </c>
      <c r="I959">
        <v>2.0249999999999999</v>
      </c>
      <c r="J959">
        <v>49.3</v>
      </c>
      <c r="K959" t="s">
        <v>45</v>
      </c>
      <c r="L959" t="s">
        <v>51</v>
      </c>
      <c r="M959">
        <v>3</v>
      </c>
      <c r="N959">
        <v>55.78</v>
      </c>
      <c r="O959">
        <v>7.5</v>
      </c>
      <c r="P959">
        <v>1.61</v>
      </c>
      <c r="Q959" t="s">
        <v>52</v>
      </c>
      <c r="R959">
        <v>60</v>
      </c>
      <c r="S959">
        <v>24</v>
      </c>
      <c r="T959">
        <v>400</v>
      </c>
      <c r="U959">
        <v>4</v>
      </c>
      <c r="V959" s="7">
        <v>0.76159409213113394</v>
      </c>
      <c r="W959">
        <v>79</v>
      </c>
      <c r="X959">
        <v>4.5999999999999999E-3</v>
      </c>
      <c r="Y959">
        <v>0.23300000000000001</v>
      </c>
      <c r="Z959">
        <v>7.5</v>
      </c>
      <c r="AA959">
        <v>4.2</v>
      </c>
      <c r="AB959">
        <v>25</v>
      </c>
      <c r="AC959" s="17">
        <v>0.3</v>
      </c>
      <c r="AD959">
        <f t="shared" ref="AD959:AD968" si="29">25/250</f>
        <v>0.1</v>
      </c>
      <c r="AE959">
        <v>24</v>
      </c>
      <c r="AF959" s="11">
        <v>0.31812499999999994</v>
      </c>
    </row>
    <row r="960" spans="1:32" x14ac:dyDescent="0.3">
      <c r="A960" t="s">
        <v>148</v>
      </c>
      <c r="B960" t="s">
        <v>16</v>
      </c>
      <c r="C960">
        <v>4.51</v>
      </c>
      <c r="D960">
        <v>318.13</v>
      </c>
      <c r="E960">
        <v>1.81</v>
      </c>
      <c r="F960">
        <v>1.85</v>
      </c>
      <c r="G960">
        <v>0.55000000000000004</v>
      </c>
      <c r="H960">
        <v>0.77</v>
      </c>
      <c r="I960">
        <v>2.0249999999999999</v>
      </c>
      <c r="J960">
        <v>49.3</v>
      </c>
      <c r="K960" t="s">
        <v>45</v>
      </c>
      <c r="L960" t="s">
        <v>51</v>
      </c>
      <c r="M960">
        <v>3</v>
      </c>
      <c r="N960">
        <v>55.78</v>
      </c>
      <c r="O960">
        <v>7.5</v>
      </c>
      <c r="P960">
        <v>1.61</v>
      </c>
      <c r="Q960" t="s">
        <v>52</v>
      </c>
      <c r="R960">
        <v>60</v>
      </c>
      <c r="S960">
        <v>24</v>
      </c>
      <c r="T960">
        <v>400</v>
      </c>
      <c r="U960">
        <v>4</v>
      </c>
      <c r="V960" s="7">
        <v>0.76159409213113394</v>
      </c>
      <c r="W960">
        <v>79</v>
      </c>
      <c r="X960">
        <v>4.5999999999999999E-3</v>
      </c>
      <c r="Y960">
        <v>0.23300000000000001</v>
      </c>
      <c r="Z960">
        <v>7.5</v>
      </c>
      <c r="AA960">
        <v>4.2</v>
      </c>
      <c r="AB960">
        <v>25</v>
      </c>
      <c r="AC960" s="17">
        <v>0.5</v>
      </c>
      <c r="AD960">
        <f t="shared" si="29"/>
        <v>0.1</v>
      </c>
      <c r="AE960">
        <v>24</v>
      </c>
      <c r="AF960" s="11">
        <v>0.31812499999999994</v>
      </c>
    </row>
    <row r="961" spans="1:32" x14ac:dyDescent="0.3">
      <c r="A961" t="s">
        <v>148</v>
      </c>
      <c r="B961" t="s">
        <v>16</v>
      </c>
      <c r="C961">
        <v>4.51</v>
      </c>
      <c r="D961">
        <v>318.13</v>
      </c>
      <c r="E961">
        <v>1.81</v>
      </c>
      <c r="F961">
        <v>1.85</v>
      </c>
      <c r="G961">
        <v>0.55000000000000004</v>
      </c>
      <c r="H961">
        <v>0.77</v>
      </c>
      <c r="I961">
        <v>2.0249999999999999</v>
      </c>
      <c r="J961">
        <v>49.3</v>
      </c>
      <c r="K961" t="s">
        <v>45</v>
      </c>
      <c r="L961" t="s">
        <v>51</v>
      </c>
      <c r="M961">
        <v>3</v>
      </c>
      <c r="N961">
        <v>55.78</v>
      </c>
      <c r="O961">
        <v>7.5</v>
      </c>
      <c r="P961">
        <v>1.61</v>
      </c>
      <c r="Q961" t="s">
        <v>52</v>
      </c>
      <c r="R961">
        <v>60</v>
      </c>
      <c r="S961">
        <v>24</v>
      </c>
      <c r="T961">
        <v>400</v>
      </c>
      <c r="U961">
        <v>4</v>
      </c>
      <c r="V961" s="7">
        <v>0.76159409213113394</v>
      </c>
      <c r="W961">
        <v>79</v>
      </c>
      <c r="X961">
        <v>4.5999999999999999E-3</v>
      </c>
      <c r="Y961">
        <v>0.23300000000000001</v>
      </c>
      <c r="Z961">
        <v>7.5</v>
      </c>
      <c r="AA961">
        <v>4.2</v>
      </c>
      <c r="AB961">
        <v>25</v>
      </c>
      <c r="AC961" s="17">
        <v>0.83</v>
      </c>
      <c r="AD961">
        <f t="shared" si="29"/>
        <v>0.1</v>
      </c>
      <c r="AE961">
        <v>24</v>
      </c>
      <c r="AF961" s="11">
        <v>0.4175416666666667</v>
      </c>
    </row>
    <row r="962" spans="1:32" x14ac:dyDescent="0.3">
      <c r="A962" t="s">
        <v>148</v>
      </c>
      <c r="B962" t="s">
        <v>16</v>
      </c>
      <c r="C962">
        <v>4.51</v>
      </c>
      <c r="D962">
        <v>318.13</v>
      </c>
      <c r="E962">
        <v>1.81</v>
      </c>
      <c r="F962">
        <v>1.85</v>
      </c>
      <c r="G962">
        <v>0.55000000000000004</v>
      </c>
      <c r="H962">
        <v>0.77</v>
      </c>
      <c r="I962">
        <v>2.0249999999999999</v>
      </c>
      <c r="J962">
        <v>49.3</v>
      </c>
      <c r="K962" t="s">
        <v>45</v>
      </c>
      <c r="L962" t="s">
        <v>51</v>
      </c>
      <c r="M962">
        <v>3</v>
      </c>
      <c r="N962">
        <v>55.78</v>
      </c>
      <c r="O962">
        <v>7.5</v>
      </c>
      <c r="P962">
        <v>1.61</v>
      </c>
      <c r="Q962" t="s">
        <v>52</v>
      </c>
      <c r="R962">
        <v>60</v>
      </c>
      <c r="S962">
        <v>24</v>
      </c>
      <c r="T962">
        <v>400</v>
      </c>
      <c r="U962">
        <v>4</v>
      </c>
      <c r="V962" s="7">
        <v>0.76159409213113394</v>
      </c>
      <c r="W962">
        <v>79</v>
      </c>
      <c r="X962">
        <v>4.5999999999999999E-3</v>
      </c>
      <c r="Y962">
        <v>0.23300000000000001</v>
      </c>
      <c r="Z962">
        <v>7.5</v>
      </c>
      <c r="AA962">
        <v>4.2</v>
      </c>
      <c r="AB962">
        <v>25</v>
      </c>
      <c r="AC962" s="17">
        <v>1.17</v>
      </c>
      <c r="AD962">
        <f t="shared" si="29"/>
        <v>0.1</v>
      </c>
      <c r="AE962">
        <v>24</v>
      </c>
      <c r="AF962" s="11">
        <v>0.45729166666666671</v>
      </c>
    </row>
    <row r="963" spans="1:32" x14ac:dyDescent="0.3">
      <c r="A963" t="s">
        <v>148</v>
      </c>
      <c r="B963" t="s">
        <v>16</v>
      </c>
      <c r="C963">
        <v>4.51</v>
      </c>
      <c r="D963">
        <v>318.13</v>
      </c>
      <c r="E963">
        <v>1.81</v>
      </c>
      <c r="F963">
        <v>1.85</v>
      </c>
      <c r="G963">
        <v>0.55000000000000004</v>
      </c>
      <c r="H963">
        <v>0.77</v>
      </c>
      <c r="I963">
        <v>2.0249999999999999</v>
      </c>
      <c r="J963">
        <v>49.3</v>
      </c>
      <c r="K963" t="s">
        <v>45</v>
      </c>
      <c r="L963" t="s">
        <v>51</v>
      </c>
      <c r="M963">
        <v>3</v>
      </c>
      <c r="N963">
        <v>55.78</v>
      </c>
      <c r="O963">
        <v>7.5</v>
      </c>
      <c r="P963">
        <v>1.61</v>
      </c>
      <c r="Q963" t="s">
        <v>52</v>
      </c>
      <c r="R963">
        <v>60</v>
      </c>
      <c r="S963">
        <v>24</v>
      </c>
      <c r="T963">
        <v>400</v>
      </c>
      <c r="U963">
        <v>4</v>
      </c>
      <c r="V963" s="7">
        <v>0.76159409213113394</v>
      </c>
      <c r="W963">
        <v>79</v>
      </c>
      <c r="X963">
        <v>4.5999999999999999E-3</v>
      </c>
      <c r="Y963">
        <v>0.23300000000000001</v>
      </c>
      <c r="Z963">
        <v>7.5</v>
      </c>
      <c r="AA963">
        <v>4.2</v>
      </c>
      <c r="AB963">
        <v>25</v>
      </c>
      <c r="AC963" s="17">
        <v>1.5</v>
      </c>
      <c r="AD963">
        <f t="shared" si="29"/>
        <v>0.1</v>
      </c>
      <c r="AE963">
        <v>24</v>
      </c>
      <c r="AF963" s="11">
        <v>0.49708333333333332</v>
      </c>
    </row>
    <row r="964" spans="1:32" x14ac:dyDescent="0.3">
      <c r="A964" t="s">
        <v>148</v>
      </c>
      <c r="B964" t="s">
        <v>16</v>
      </c>
      <c r="C964">
        <v>4.51</v>
      </c>
      <c r="D964">
        <v>318.13</v>
      </c>
      <c r="E964">
        <v>1.81</v>
      </c>
      <c r="F964">
        <v>1.85</v>
      </c>
      <c r="G964">
        <v>0.55000000000000004</v>
      </c>
      <c r="H964">
        <v>0.77</v>
      </c>
      <c r="I964">
        <v>2.0249999999999999</v>
      </c>
      <c r="J964">
        <v>49.3</v>
      </c>
      <c r="K964" t="s">
        <v>45</v>
      </c>
      <c r="L964" t="s">
        <v>51</v>
      </c>
      <c r="M964">
        <v>3</v>
      </c>
      <c r="N964">
        <v>55.78</v>
      </c>
      <c r="O964">
        <v>7.5</v>
      </c>
      <c r="P964">
        <v>1.61</v>
      </c>
      <c r="Q964" t="s">
        <v>52</v>
      </c>
      <c r="R964">
        <v>60</v>
      </c>
      <c r="S964">
        <v>24</v>
      </c>
      <c r="T964">
        <v>400</v>
      </c>
      <c r="U964">
        <v>4</v>
      </c>
      <c r="V964" s="7">
        <v>0.76159409213113394</v>
      </c>
      <c r="W964">
        <v>79</v>
      </c>
      <c r="X964">
        <v>4.5999999999999999E-3</v>
      </c>
      <c r="Y964">
        <v>0.23300000000000001</v>
      </c>
      <c r="Z964">
        <v>7.5</v>
      </c>
      <c r="AA964">
        <v>4.2</v>
      </c>
      <c r="AB964">
        <v>25</v>
      </c>
      <c r="AC964" s="17">
        <v>2</v>
      </c>
      <c r="AD964">
        <f t="shared" si="29"/>
        <v>0.1</v>
      </c>
      <c r="AE964">
        <v>24</v>
      </c>
      <c r="AF964" s="11">
        <v>0.5235833333333334</v>
      </c>
    </row>
    <row r="965" spans="1:32" x14ac:dyDescent="0.3">
      <c r="A965" t="s">
        <v>148</v>
      </c>
      <c r="B965" t="s">
        <v>16</v>
      </c>
      <c r="C965">
        <v>4.51</v>
      </c>
      <c r="D965">
        <v>318.13</v>
      </c>
      <c r="E965">
        <v>1.81</v>
      </c>
      <c r="F965">
        <v>1.85</v>
      </c>
      <c r="G965">
        <v>0.55000000000000004</v>
      </c>
      <c r="H965">
        <v>0.77</v>
      </c>
      <c r="I965">
        <v>2.0249999999999999</v>
      </c>
      <c r="J965">
        <v>49.3</v>
      </c>
      <c r="K965" t="s">
        <v>45</v>
      </c>
      <c r="L965" t="s">
        <v>51</v>
      </c>
      <c r="M965">
        <v>3</v>
      </c>
      <c r="N965">
        <v>55.78</v>
      </c>
      <c r="O965">
        <v>7.5</v>
      </c>
      <c r="P965">
        <v>1.61</v>
      </c>
      <c r="Q965" t="s">
        <v>52</v>
      </c>
      <c r="R965">
        <v>60</v>
      </c>
      <c r="S965">
        <v>24</v>
      </c>
      <c r="T965">
        <v>400</v>
      </c>
      <c r="U965">
        <v>4</v>
      </c>
      <c r="V965" s="7">
        <v>0.76159409213113394</v>
      </c>
      <c r="W965">
        <v>79</v>
      </c>
      <c r="X965">
        <v>4.5999999999999999E-3</v>
      </c>
      <c r="Y965">
        <v>0.23300000000000001</v>
      </c>
      <c r="Z965">
        <v>7.5</v>
      </c>
      <c r="AA965">
        <v>4.2</v>
      </c>
      <c r="AB965">
        <v>25</v>
      </c>
      <c r="AC965" s="17">
        <v>3</v>
      </c>
      <c r="AD965">
        <f t="shared" si="29"/>
        <v>0.1</v>
      </c>
      <c r="AE965">
        <v>24</v>
      </c>
      <c r="AF965" s="11">
        <v>0.5235833333333334</v>
      </c>
    </row>
    <row r="966" spans="1:32" x14ac:dyDescent="0.3">
      <c r="A966" t="s">
        <v>148</v>
      </c>
      <c r="B966" t="s">
        <v>16</v>
      </c>
      <c r="C966">
        <v>4.51</v>
      </c>
      <c r="D966">
        <v>318.13</v>
      </c>
      <c r="E966">
        <v>1.81</v>
      </c>
      <c r="F966">
        <v>1.85</v>
      </c>
      <c r="G966">
        <v>0.55000000000000004</v>
      </c>
      <c r="H966">
        <v>0.77</v>
      </c>
      <c r="I966">
        <v>2.0249999999999999</v>
      </c>
      <c r="J966">
        <v>49.3</v>
      </c>
      <c r="K966" t="s">
        <v>45</v>
      </c>
      <c r="L966" t="s">
        <v>51</v>
      </c>
      <c r="M966">
        <v>3</v>
      </c>
      <c r="N966">
        <v>55.78</v>
      </c>
      <c r="O966">
        <v>7.5</v>
      </c>
      <c r="P966">
        <v>1.61</v>
      </c>
      <c r="Q966" t="s">
        <v>52</v>
      </c>
      <c r="R966">
        <v>60</v>
      </c>
      <c r="S966">
        <v>24</v>
      </c>
      <c r="T966">
        <v>400</v>
      </c>
      <c r="U966">
        <v>4</v>
      </c>
      <c r="V966" s="7">
        <v>0.76159409213113394</v>
      </c>
      <c r="W966">
        <v>79</v>
      </c>
      <c r="X966">
        <v>4.5999999999999999E-3</v>
      </c>
      <c r="Y966">
        <v>0.23300000000000001</v>
      </c>
      <c r="Z966">
        <v>7.5</v>
      </c>
      <c r="AA966">
        <v>4.2</v>
      </c>
      <c r="AB966">
        <v>25</v>
      </c>
      <c r="AC966" s="17">
        <v>4.5</v>
      </c>
      <c r="AD966">
        <f t="shared" si="29"/>
        <v>0.1</v>
      </c>
      <c r="AE966">
        <v>24</v>
      </c>
      <c r="AF966" s="11">
        <v>0.53683333333333338</v>
      </c>
    </row>
    <row r="967" spans="1:32" x14ac:dyDescent="0.3">
      <c r="A967" t="s">
        <v>148</v>
      </c>
      <c r="B967" t="s">
        <v>16</v>
      </c>
      <c r="C967">
        <v>4.51</v>
      </c>
      <c r="D967">
        <v>318.13</v>
      </c>
      <c r="E967">
        <v>1.81</v>
      </c>
      <c r="F967">
        <v>1.85</v>
      </c>
      <c r="G967">
        <v>0.55000000000000004</v>
      </c>
      <c r="H967">
        <v>0.77</v>
      </c>
      <c r="I967">
        <v>2.0249999999999999</v>
      </c>
      <c r="J967">
        <v>49.3</v>
      </c>
      <c r="K967" t="s">
        <v>45</v>
      </c>
      <c r="L967" t="s">
        <v>51</v>
      </c>
      <c r="M967">
        <v>3</v>
      </c>
      <c r="N967">
        <v>55.78</v>
      </c>
      <c r="O967">
        <v>7.5</v>
      </c>
      <c r="P967">
        <v>1.61</v>
      </c>
      <c r="Q967" t="s">
        <v>52</v>
      </c>
      <c r="R967">
        <v>60</v>
      </c>
      <c r="S967">
        <v>24</v>
      </c>
      <c r="T967">
        <v>400</v>
      </c>
      <c r="U967">
        <v>4</v>
      </c>
      <c r="V967" s="7">
        <v>0.76159409213113394</v>
      </c>
      <c r="W967">
        <v>79</v>
      </c>
      <c r="X967">
        <v>4.5999999999999999E-3</v>
      </c>
      <c r="Y967">
        <v>0.23300000000000001</v>
      </c>
      <c r="Z967">
        <v>7.5</v>
      </c>
      <c r="AA967">
        <v>4.2</v>
      </c>
      <c r="AB967">
        <v>25</v>
      </c>
      <c r="AC967" s="17">
        <v>5.5</v>
      </c>
      <c r="AD967">
        <f t="shared" si="29"/>
        <v>0.1</v>
      </c>
      <c r="AE967">
        <v>24</v>
      </c>
      <c r="AF967" s="11">
        <v>0.51033333333333342</v>
      </c>
    </row>
    <row r="968" spans="1:32" x14ac:dyDescent="0.3">
      <c r="A968" t="s">
        <v>148</v>
      </c>
      <c r="B968" t="s">
        <v>16</v>
      </c>
      <c r="C968">
        <v>4.51</v>
      </c>
      <c r="D968">
        <v>318.13</v>
      </c>
      <c r="E968">
        <v>1.81</v>
      </c>
      <c r="F968">
        <v>1.85</v>
      </c>
      <c r="G968">
        <v>0.55000000000000004</v>
      </c>
      <c r="H968">
        <v>0.77</v>
      </c>
      <c r="I968">
        <v>2.0249999999999999</v>
      </c>
      <c r="J968">
        <v>49.3</v>
      </c>
      <c r="K968" t="s">
        <v>45</v>
      </c>
      <c r="L968" t="s">
        <v>51</v>
      </c>
      <c r="M968">
        <v>3</v>
      </c>
      <c r="N968">
        <v>55.78</v>
      </c>
      <c r="O968">
        <v>7.5</v>
      </c>
      <c r="P968">
        <v>1.61</v>
      </c>
      <c r="Q968" t="s">
        <v>52</v>
      </c>
      <c r="R968">
        <v>60</v>
      </c>
      <c r="S968">
        <v>24</v>
      </c>
      <c r="T968">
        <v>400</v>
      </c>
      <c r="U968">
        <v>4</v>
      </c>
      <c r="V968" s="7">
        <v>0.76159409213113394</v>
      </c>
      <c r="W968">
        <v>79</v>
      </c>
      <c r="X968">
        <v>4.5999999999999999E-3</v>
      </c>
      <c r="Y968">
        <v>0.23300000000000001</v>
      </c>
      <c r="Z968">
        <v>7.5</v>
      </c>
      <c r="AA968">
        <v>4.2</v>
      </c>
      <c r="AB968">
        <v>25</v>
      </c>
      <c r="AC968" s="17">
        <v>8</v>
      </c>
      <c r="AD968">
        <f t="shared" si="29"/>
        <v>0.1</v>
      </c>
      <c r="AE968">
        <v>24</v>
      </c>
      <c r="AF968" s="11">
        <v>0.53020833333333339</v>
      </c>
    </row>
    <row r="969" spans="1:32" x14ac:dyDescent="0.3">
      <c r="A969" t="s">
        <v>148</v>
      </c>
      <c r="B969" t="s">
        <v>16</v>
      </c>
      <c r="C969">
        <v>4.51</v>
      </c>
      <c r="D969">
        <v>318.13</v>
      </c>
      <c r="E969">
        <v>1.81</v>
      </c>
      <c r="F969">
        <v>1.85</v>
      </c>
      <c r="G969">
        <v>0.55000000000000004</v>
      </c>
      <c r="H969">
        <v>0.77</v>
      </c>
      <c r="I969">
        <v>2.0249999999999999</v>
      </c>
      <c r="J969">
        <v>49.3</v>
      </c>
      <c r="K969" t="s">
        <v>45</v>
      </c>
      <c r="L969" t="s">
        <v>51</v>
      </c>
      <c r="M969">
        <v>3</v>
      </c>
      <c r="N969">
        <v>55.78</v>
      </c>
      <c r="O969">
        <v>7.5</v>
      </c>
      <c r="P969">
        <v>1.61</v>
      </c>
      <c r="Q969" t="s">
        <v>52</v>
      </c>
      <c r="R969">
        <v>60</v>
      </c>
      <c r="S969">
        <v>24</v>
      </c>
      <c r="T969">
        <v>400</v>
      </c>
      <c r="U969">
        <v>4</v>
      </c>
      <c r="V969" s="7">
        <v>0.76159409213113394</v>
      </c>
      <c r="W969">
        <v>79</v>
      </c>
      <c r="X969">
        <v>4.5999999999999999E-3</v>
      </c>
      <c r="Y969">
        <v>0.23300000000000001</v>
      </c>
      <c r="Z969">
        <v>7.5</v>
      </c>
      <c r="AA969">
        <v>4.2</v>
      </c>
      <c r="AB969">
        <v>25</v>
      </c>
      <c r="AC969" s="17">
        <v>0.17</v>
      </c>
      <c r="AD969">
        <f>50/250</f>
        <v>0.2</v>
      </c>
      <c r="AE969">
        <v>24</v>
      </c>
      <c r="AF969" s="11">
        <v>0.17233333333333331</v>
      </c>
    </row>
    <row r="970" spans="1:32" x14ac:dyDescent="0.3">
      <c r="A970" t="s">
        <v>148</v>
      </c>
      <c r="B970" t="s">
        <v>16</v>
      </c>
      <c r="C970">
        <v>4.51</v>
      </c>
      <c r="D970">
        <v>318.13</v>
      </c>
      <c r="E970">
        <v>1.81</v>
      </c>
      <c r="F970">
        <v>1.85</v>
      </c>
      <c r="G970">
        <v>0.55000000000000004</v>
      </c>
      <c r="H970">
        <v>0.77</v>
      </c>
      <c r="I970">
        <v>2.0249999999999999</v>
      </c>
      <c r="J970">
        <v>49.3</v>
      </c>
      <c r="K970" t="s">
        <v>45</v>
      </c>
      <c r="L970" t="s">
        <v>51</v>
      </c>
      <c r="M970">
        <v>3</v>
      </c>
      <c r="N970">
        <v>55.78</v>
      </c>
      <c r="O970">
        <v>7.5</v>
      </c>
      <c r="P970">
        <v>1.61</v>
      </c>
      <c r="Q970" t="s">
        <v>52</v>
      </c>
      <c r="R970">
        <v>60</v>
      </c>
      <c r="S970">
        <v>24</v>
      </c>
      <c r="T970">
        <v>400</v>
      </c>
      <c r="U970">
        <v>4</v>
      </c>
      <c r="V970" s="7">
        <v>0.76159409213113394</v>
      </c>
      <c r="W970">
        <v>79</v>
      </c>
      <c r="X970">
        <v>4.5999999999999999E-3</v>
      </c>
      <c r="Y970">
        <v>0.23300000000000001</v>
      </c>
      <c r="Z970">
        <v>7.5</v>
      </c>
      <c r="AA970">
        <v>4.2</v>
      </c>
      <c r="AB970">
        <v>25</v>
      </c>
      <c r="AC970" s="17">
        <v>0.33</v>
      </c>
      <c r="AD970">
        <f t="shared" ref="AD970:AD980" si="30">50/250</f>
        <v>0.2</v>
      </c>
      <c r="AE970">
        <v>24</v>
      </c>
      <c r="AF970" s="11">
        <v>0.34466666666666668</v>
      </c>
    </row>
    <row r="971" spans="1:32" x14ac:dyDescent="0.3">
      <c r="A971" t="s">
        <v>148</v>
      </c>
      <c r="B971" t="s">
        <v>16</v>
      </c>
      <c r="C971">
        <v>4.51</v>
      </c>
      <c r="D971">
        <v>318.13</v>
      </c>
      <c r="E971">
        <v>1.81</v>
      </c>
      <c r="F971">
        <v>1.85</v>
      </c>
      <c r="G971">
        <v>0.55000000000000004</v>
      </c>
      <c r="H971">
        <v>0.77</v>
      </c>
      <c r="I971">
        <v>2.0249999999999999</v>
      </c>
      <c r="J971">
        <v>49.3</v>
      </c>
      <c r="K971" t="s">
        <v>45</v>
      </c>
      <c r="L971" t="s">
        <v>51</v>
      </c>
      <c r="M971">
        <v>3</v>
      </c>
      <c r="N971">
        <v>55.78</v>
      </c>
      <c r="O971">
        <v>7.5</v>
      </c>
      <c r="P971">
        <v>1.61</v>
      </c>
      <c r="Q971" t="s">
        <v>52</v>
      </c>
      <c r="R971">
        <v>60</v>
      </c>
      <c r="S971">
        <v>24</v>
      </c>
      <c r="T971">
        <v>400</v>
      </c>
      <c r="U971">
        <v>4</v>
      </c>
      <c r="V971" s="7">
        <v>0.76159409213113394</v>
      </c>
      <c r="W971">
        <v>79</v>
      </c>
      <c r="X971">
        <v>4.5999999999999999E-3</v>
      </c>
      <c r="Y971">
        <v>0.23300000000000001</v>
      </c>
      <c r="Z971">
        <v>7.5</v>
      </c>
      <c r="AA971">
        <v>4.2</v>
      </c>
      <c r="AB971">
        <v>25</v>
      </c>
      <c r="AC971" s="17">
        <v>0.5</v>
      </c>
      <c r="AD971">
        <f t="shared" si="30"/>
        <v>0.2</v>
      </c>
      <c r="AE971">
        <v>24</v>
      </c>
      <c r="AF971" s="11">
        <v>0.43741666666666673</v>
      </c>
    </row>
    <row r="972" spans="1:32" x14ac:dyDescent="0.3">
      <c r="A972" t="s">
        <v>148</v>
      </c>
      <c r="B972" t="s">
        <v>16</v>
      </c>
      <c r="C972">
        <v>4.51</v>
      </c>
      <c r="D972">
        <v>318.13</v>
      </c>
      <c r="E972">
        <v>1.81</v>
      </c>
      <c r="F972">
        <v>1.85</v>
      </c>
      <c r="G972">
        <v>0.55000000000000004</v>
      </c>
      <c r="H972">
        <v>0.77</v>
      </c>
      <c r="I972">
        <v>2.0249999999999999</v>
      </c>
      <c r="J972">
        <v>49.3</v>
      </c>
      <c r="K972" t="s">
        <v>45</v>
      </c>
      <c r="L972" t="s">
        <v>51</v>
      </c>
      <c r="M972">
        <v>3</v>
      </c>
      <c r="N972">
        <v>55.78</v>
      </c>
      <c r="O972">
        <v>7.5</v>
      </c>
      <c r="P972">
        <v>1.61</v>
      </c>
      <c r="Q972" t="s">
        <v>52</v>
      </c>
      <c r="R972">
        <v>60</v>
      </c>
      <c r="S972">
        <v>24</v>
      </c>
      <c r="T972">
        <v>400</v>
      </c>
      <c r="U972">
        <v>4</v>
      </c>
      <c r="V972" s="7">
        <v>0.76159409213113394</v>
      </c>
      <c r="W972">
        <v>79</v>
      </c>
      <c r="X972">
        <v>4.5999999999999999E-3</v>
      </c>
      <c r="Y972">
        <v>0.23300000000000001</v>
      </c>
      <c r="Z972">
        <v>7.5</v>
      </c>
      <c r="AA972">
        <v>4.2</v>
      </c>
      <c r="AB972">
        <v>25</v>
      </c>
      <c r="AC972" s="17">
        <v>0.67</v>
      </c>
      <c r="AD972">
        <f t="shared" si="30"/>
        <v>0.2</v>
      </c>
      <c r="AE972">
        <v>24</v>
      </c>
      <c r="AF972" s="11">
        <v>0.50366666666666671</v>
      </c>
    </row>
    <row r="973" spans="1:32" x14ac:dyDescent="0.3">
      <c r="A973" t="s">
        <v>148</v>
      </c>
      <c r="B973" t="s">
        <v>16</v>
      </c>
      <c r="C973">
        <v>4.51</v>
      </c>
      <c r="D973">
        <v>318.13</v>
      </c>
      <c r="E973">
        <v>1.81</v>
      </c>
      <c r="F973">
        <v>1.85</v>
      </c>
      <c r="G973">
        <v>0.55000000000000004</v>
      </c>
      <c r="H973">
        <v>0.77</v>
      </c>
      <c r="I973">
        <v>2.0249999999999999</v>
      </c>
      <c r="J973">
        <v>49.3</v>
      </c>
      <c r="K973" t="s">
        <v>45</v>
      </c>
      <c r="L973" t="s">
        <v>51</v>
      </c>
      <c r="M973">
        <v>3</v>
      </c>
      <c r="N973">
        <v>55.78</v>
      </c>
      <c r="O973">
        <v>7.5</v>
      </c>
      <c r="P973">
        <v>1.61</v>
      </c>
      <c r="Q973" t="s">
        <v>52</v>
      </c>
      <c r="R973">
        <v>60</v>
      </c>
      <c r="S973">
        <v>24</v>
      </c>
      <c r="T973">
        <v>400</v>
      </c>
      <c r="U973">
        <v>4</v>
      </c>
      <c r="V973" s="7">
        <v>0.76159409213113394</v>
      </c>
      <c r="W973">
        <v>79</v>
      </c>
      <c r="X973">
        <v>4.5999999999999999E-3</v>
      </c>
      <c r="Y973">
        <v>0.23300000000000001</v>
      </c>
      <c r="Z973">
        <v>7.5</v>
      </c>
      <c r="AA973">
        <v>4.2</v>
      </c>
      <c r="AB973">
        <v>25</v>
      </c>
      <c r="AC973" s="17">
        <v>0.83</v>
      </c>
      <c r="AD973">
        <f t="shared" si="30"/>
        <v>0.2</v>
      </c>
      <c r="AE973">
        <v>24</v>
      </c>
      <c r="AF973" s="11">
        <v>0.51700000000000002</v>
      </c>
    </row>
    <row r="974" spans="1:32" x14ac:dyDescent="0.3">
      <c r="A974" t="s">
        <v>148</v>
      </c>
      <c r="B974" t="s">
        <v>16</v>
      </c>
      <c r="C974">
        <v>4.51</v>
      </c>
      <c r="D974">
        <v>318.13</v>
      </c>
      <c r="E974">
        <v>1.81</v>
      </c>
      <c r="F974">
        <v>1.85</v>
      </c>
      <c r="G974">
        <v>0.55000000000000004</v>
      </c>
      <c r="H974">
        <v>0.77</v>
      </c>
      <c r="I974">
        <v>2.0249999999999999</v>
      </c>
      <c r="J974">
        <v>49.3</v>
      </c>
      <c r="K974" t="s">
        <v>45</v>
      </c>
      <c r="L974" t="s">
        <v>51</v>
      </c>
      <c r="M974">
        <v>3</v>
      </c>
      <c r="N974">
        <v>55.78</v>
      </c>
      <c r="O974">
        <v>7.5</v>
      </c>
      <c r="P974">
        <v>1.61</v>
      </c>
      <c r="Q974" t="s">
        <v>52</v>
      </c>
      <c r="R974">
        <v>60</v>
      </c>
      <c r="S974">
        <v>24</v>
      </c>
      <c r="T974">
        <v>400</v>
      </c>
      <c r="U974">
        <v>4</v>
      </c>
      <c r="V974" s="7">
        <v>0.76159409213113394</v>
      </c>
      <c r="W974">
        <v>79</v>
      </c>
      <c r="X974">
        <v>4.5999999999999999E-3</v>
      </c>
      <c r="Y974">
        <v>0.23300000000000001</v>
      </c>
      <c r="Z974">
        <v>7.5</v>
      </c>
      <c r="AA974">
        <v>4.2</v>
      </c>
      <c r="AB974">
        <v>25</v>
      </c>
      <c r="AC974" s="17">
        <v>1.17</v>
      </c>
      <c r="AD974">
        <f t="shared" si="30"/>
        <v>0.2</v>
      </c>
      <c r="AE974">
        <v>24</v>
      </c>
      <c r="AF974" s="11">
        <v>0.57000000000000006</v>
      </c>
    </row>
    <row r="975" spans="1:32" x14ac:dyDescent="0.3">
      <c r="A975" t="s">
        <v>148</v>
      </c>
      <c r="B975" t="s">
        <v>16</v>
      </c>
      <c r="C975">
        <v>4.51</v>
      </c>
      <c r="D975">
        <v>318.13</v>
      </c>
      <c r="E975">
        <v>1.81</v>
      </c>
      <c r="F975">
        <v>1.85</v>
      </c>
      <c r="G975">
        <v>0.55000000000000004</v>
      </c>
      <c r="H975">
        <v>0.77</v>
      </c>
      <c r="I975">
        <v>2.0249999999999999</v>
      </c>
      <c r="J975">
        <v>49.3</v>
      </c>
      <c r="K975" t="s">
        <v>45</v>
      </c>
      <c r="L975" t="s">
        <v>51</v>
      </c>
      <c r="M975">
        <v>3</v>
      </c>
      <c r="N975">
        <v>55.78</v>
      </c>
      <c r="O975">
        <v>7.5</v>
      </c>
      <c r="P975">
        <v>1.61</v>
      </c>
      <c r="Q975" t="s">
        <v>52</v>
      </c>
      <c r="R975">
        <v>60</v>
      </c>
      <c r="S975">
        <v>24</v>
      </c>
      <c r="T975">
        <v>400</v>
      </c>
      <c r="U975">
        <v>4</v>
      </c>
      <c r="V975" s="7">
        <v>0.76159409213113394</v>
      </c>
      <c r="W975">
        <v>79</v>
      </c>
      <c r="X975">
        <v>4.5999999999999999E-3</v>
      </c>
      <c r="Y975">
        <v>0.23300000000000001</v>
      </c>
      <c r="Z975">
        <v>7.5</v>
      </c>
      <c r="AA975">
        <v>4.2</v>
      </c>
      <c r="AB975">
        <v>25</v>
      </c>
      <c r="AC975" s="17">
        <v>1.5</v>
      </c>
      <c r="AD975">
        <f t="shared" si="30"/>
        <v>0.2</v>
      </c>
      <c r="AE975">
        <v>24</v>
      </c>
      <c r="AF975" s="11">
        <v>0.60975000000000001</v>
      </c>
    </row>
    <row r="976" spans="1:32" x14ac:dyDescent="0.3">
      <c r="A976" t="s">
        <v>148</v>
      </c>
      <c r="B976" t="s">
        <v>16</v>
      </c>
      <c r="C976">
        <v>4.51</v>
      </c>
      <c r="D976">
        <v>318.13</v>
      </c>
      <c r="E976">
        <v>1.81</v>
      </c>
      <c r="F976">
        <v>1.85</v>
      </c>
      <c r="G976">
        <v>0.55000000000000004</v>
      </c>
      <c r="H976">
        <v>0.77</v>
      </c>
      <c r="I976">
        <v>2.0249999999999999</v>
      </c>
      <c r="J976">
        <v>49.3</v>
      </c>
      <c r="K976" t="s">
        <v>45</v>
      </c>
      <c r="L976" t="s">
        <v>51</v>
      </c>
      <c r="M976">
        <v>3</v>
      </c>
      <c r="N976">
        <v>55.78</v>
      </c>
      <c r="O976">
        <v>7.5</v>
      </c>
      <c r="P976">
        <v>1.61</v>
      </c>
      <c r="Q976" t="s">
        <v>52</v>
      </c>
      <c r="R976">
        <v>60</v>
      </c>
      <c r="S976">
        <v>24</v>
      </c>
      <c r="T976">
        <v>400</v>
      </c>
      <c r="U976">
        <v>4</v>
      </c>
      <c r="V976" s="7">
        <v>0.76159409213113394</v>
      </c>
      <c r="W976">
        <v>79</v>
      </c>
      <c r="X976">
        <v>4.5999999999999999E-3</v>
      </c>
      <c r="Y976">
        <v>0.23300000000000001</v>
      </c>
      <c r="Z976">
        <v>7.5</v>
      </c>
      <c r="AA976">
        <v>4.2</v>
      </c>
      <c r="AB976">
        <v>25</v>
      </c>
      <c r="AC976" s="17">
        <v>2</v>
      </c>
      <c r="AD976">
        <f t="shared" si="30"/>
        <v>0.2</v>
      </c>
      <c r="AE976">
        <v>24</v>
      </c>
      <c r="AF976" s="11">
        <v>0.63624999999999998</v>
      </c>
    </row>
    <row r="977" spans="1:32" x14ac:dyDescent="0.3">
      <c r="A977" t="s">
        <v>148</v>
      </c>
      <c r="B977" t="s">
        <v>16</v>
      </c>
      <c r="C977">
        <v>4.51</v>
      </c>
      <c r="D977">
        <v>318.13</v>
      </c>
      <c r="E977">
        <v>1.81</v>
      </c>
      <c r="F977">
        <v>1.85</v>
      </c>
      <c r="G977">
        <v>0.55000000000000004</v>
      </c>
      <c r="H977">
        <v>0.77</v>
      </c>
      <c r="I977">
        <v>2.0249999999999999</v>
      </c>
      <c r="J977">
        <v>49.3</v>
      </c>
      <c r="K977" t="s">
        <v>45</v>
      </c>
      <c r="L977" t="s">
        <v>51</v>
      </c>
      <c r="M977">
        <v>3</v>
      </c>
      <c r="N977">
        <v>55.78</v>
      </c>
      <c r="O977">
        <v>7.5</v>
      </c>
      <c r="P977">
        <v>1.61</v>
      </c>
      <c r="Q977" t="s">
        <v>52</v>
      </c>
      <c r="R977">
        <v>60</v>
      </c>
      <c r="S977">
        <v>24</v>
      </c>
      <c r="T977">
        <v>400</v>
      </c>
      <c r="U977">
        <v>4</v>
      </c>
      <c r="V977" s="7">
        <v>0.76159409213113394</v>
      </c>
      <c r="W977">
        <v>79</v>
      </c>
      <c r="X977">
        <v>4.5999999999999999E-3</v>
      </c>
      <c r="Y977">
        <v>0.23300000000000001</v>
      </c>
      <c r="Z977">
        <v>7.5</v>
      </c>
      <c r="AA977">
        <v>4.2</v>
      </c>
      <c r="AB977">
        <v>25</v>
      </c>
      <c r="AC977" s="17">
        <v>3</v>
      </c>
      <c r="AD977">
        <f t="shared" si="30"/>
        <v>0.2</v>
      </c>
      <c r="AE977">
        <v>24</v>
      </c>
      <c r="AF977" s="11">
        <v>0.66275000000000006</v>
      </c>
    </row>
    <row r="978" spans="1:32" x14ac:dyDescent="0.3">
      <c r="A978" t="s">
        <v>148</v>
      </c>
      <c r="B978" t="s">
        <v>16</v>
      </c>
      <c r="C978">
        <v>4.51</v>
      </c>
      <c r="D978">
        <v>318.13</v>
      </c>
      <c r="E978">
        <v>1.81</v>
      </c>
      <c r="F978">
        <v>1.85</v>
      </c>
      <c r="G978">
        <v>0.55000000000000004</v>
      </c>
      <c r="H978">
        <v>0.77</v>
      </c>
      <c r="I978">
        <v>2.0249999999999999</v>
      </c>
      <c r="J978">
        <v>49.3</v>
      </c>
      <c r="K978" t="s">
        <v>45</v>
      </c>
      <c r="L978" t="s">
        <v>51</v>
      </c>
      <c r="M978">
        <v>3</v>
      </c>
      <c r="N978">
        <v>55.78</v>
      </c>
      <c r="O978">
        <v>7.5</v>
      </c>
      <c r="P978">
        <v>1.61</v>
      </c>
      <c r="Q978" t="s">
        <v>52</v>
      </c>
      <c r="R978">
        <v>60</v>
      </c>
      <c r="S978">
        <v>24</v>
      </c>
      <c r="T978">
        <v>400</v>
      </c>
      <c r="U978">
        <v>4</v>
      </c>
      <c r="V978" s="7">
        <v>0.76159409213113394</v>
      </c>
      <c r="W978">
        <v>79</v>
      </c>
      <c r="X978">
        <v>4.5999999999999999E-3</v>
      </c>
      <c r="Y978">
        <v>0.23300000000000001</v>
      </c>
      <c r="Z978">
        <v>7.5</v>
      </c>
      <c r="AA978">
        <v>4.2</v>
      </c>
      <c r="AB978">
        <v>25</v>
      </c>
      <c r="AC978" s="17">
        <v>4.5</v>
      </c>
      <c r="AD978">
        <f t="shared" si="30"/>
        <v>0.2</v>
      </c>
      <c r="AE978">
        <v>24</v>
      </c>
      <c r="AF978" s="11">
        <v>0.66275000000000006</v>
      </c>
    </row>
    <row r="979" spans="1:32" x14ac:dyDescent="0.3">
      <c r="A979" t="s">
        <v>148</v>
      </c>
      <c r="B979" t="s">
        <v>16</v>
      </c>
      <c r="C979">
        <v>4.51</v>
      </c>
      <c r="D979">
        <v>318.13</v>
      </c>
      <c r="E979">
        <v>1.81</v>
      </c>
      <c r="F979">
        <v>1.85</v>
      </c>
      <c r="G979">
        <v>0.55000000000000004</v>
      </c>
      <c r="H979">
        <v>0.77</v>
      </c>
      <c r="I979">
        <v>2.0249999999999999</v>
      </c>
      <c r="J979">
        <v>49.3</v>
      </c>
      <c r="K979" t="s">
        <v>45</v>
      </c>
      <c r="L979" t="s">
        <v>51</v>
      </c>
      <c r="M979">
        <v>3</v>
      </c>
      <c r="N979">
        <v>55.78</v>
      </c>
      <c r="O979">
        <v>7.5</v>
      </c>
      <c r="P979">
        <v>1.61</v>
      </c>
      <c r="Q979" t="s">
        <v>52</v>
      </c>
      <c r="R979">
        <v>60</v>
      </c>
      <c r="S979">
        <v>24</v>
      </c>
      <c r="T979">
        <v>400</v>
      </c>
      <c r="U979">
        <v>4</v>
      </c>
      <c r="V979" s="7">
        <v>0.76159409213113394</v>
      </c>
      <c r="W979">
        <v>79</v>
      </c>
      <c r="X979">
        <v>4.5999999999999999E-3</v>
      </c>
      <c r="Y979">
        <v>0.23300000000000001</v>
      </c>
      <c r="Z979">
        <v>7.5</v>
      </c>
      <c r="AA979">
        <v>4.2</v>
      </c>
      <c r="AB979">
        <v>25</v>
      </c>
      <c r="AC979" s="17">
        <v>6.5</v>
      </c>
      <c r="AD979">
        <f t="shared" si="30"/>
        <v>0.2</v>
      </c>
      <c r="AE979">
        <v>24</v>
      </c>
      <c r="AF979" s="11">
        <v>0.64950000000000008</v>
      </c>
    </row>
    <row r="980" spans="1:32" x14ac:dyDescent="0.3">
      <c r="A980" t="s">
        <v>148</v>
      </c>
      <c r="B980" t="s">
        <v>16</v>
      </c>
      <c r="C980">
        <v>4.51</v>
      </c>
      <c r="D980">
        <v>318.13</v>
      </c>
      <c r="E980">
        <v>1.81</v>
      </c>
      <c r="F980">
        <v>1.85</v>
      </c>
      <c r="G980">
        <v>0.55000000000000004</v>
      </c>
      <c r="H980">
        <v>0.77</v>
      </c>
      <c r="I980">
        <v>2.0249999999999999</v>
      </c>
      <c r="J980">
        <v>49.3</v>
      </c>
      <c r="K980" t="s">
        <v>45</v>
      </c>
      <c r="L980" t="s">
        <v>51</v>
      </c>
      <c r="M980">
        <v>3</v>
      </c>
      <c r="N980">
        <v>55.78</v>
      </c>
      <c r="O980">
        <v>7.5</v>
      </c>
      <c r="P980">
        <v>1.61</v>
      </c>
      <c r="Q980" t="s">
        <v>52</v>
      </c>
      <c r="R980">
        <v>60</v>
      </c>
      <c r="S980">
        <v>24</v>
      </c>
      <c r="T980">
        <v>400</v>
      </c>
      <c r="U980">
        <v>4</v>
      </c>
      <c r="V980" s="7">
        <v>0.76159409213113394</v>
      </c>
      <c r="W980">
        <v>79</v>
      </c>
      <c r="X980">
        <v>4.5999999999999999E-3</v>
      </c>
      <c r="Y980">
        <v>0.23300000000000001</v>
      </c>
      <c r="Z980">
        <v>7.5</v>
      </c>
      <c r="AA980">
        <v>4.2</v>
      </c>
      <c r="AB980">
        <v>25</v>
      </c>
      <c r="AC980" s="17">
        <v>8</v>
      </c>
      <c r="AD980">
        <f t="shared" si="30"/>
        <v>0.2</v>
      </c>
      <c r="AE980">
        <v>24</v>
      </c>
      <c r="AF980" s="11">
        <v>0.66275000000000006</v>
      </c>
    </row>
    <row r="981" spans="1:32" x14ac:dyDescent="0.3">
      <c r="A981" t="s">
        <v>148</v>
      </c>
      <c r="B981" t="s">
        <v>16</v>
      </c>
      <c r="C981">
        <v>4.51</v>
      </c>
      <c r="D981">
        <v>318.13</v>
      </c>
      <c r="E981">
        <v>1.81</v>
      </c>
      <c r="F981">
        <v>1.85</v>
      </c>
      <c r="G981">
        <v>0.55000000000000004</v>
      </c>
      <c r="H981">
        <v>0.77</v>
      </c>
      <c r="I981">
        <v>2.0249999999999999</v>
      </c>
      <c r="J981">
        <v>49.3</v>
      </c>
      <c r="K981" t="s">
        <v>45</v>
      </c>
      <c r="L981" t="s">
        <v>51</v>
      </c>
      <c r="M981">
        <v>3</v>
      </c>
      <c r="N981">
        <v>55.78</v>
      </c>
      <c r="O981">
        <v>7.5</v>
      </c>
      <c r="P981">
        <v>1.61</v>
      </c>
      <c r="Q981" t="s">
        <v>52</v>
      </c>
      <c r="R981">
        <v>60</v>
      </c>
      <c r="S981">
        <v>24</v>
      </c>
      <c r="T981">
        <v>400</v>
      </c>
      <c r="U981">
        <v>4</v>
      </c>
      <c r="V981" s="7">
        <v>0.76159409213113394</v>
      </c>
      <c r="W981">
        <v>79</v>
      </c>
      <c r="X981">
        <v>4.5999999999999999E-3</v>
      </c>
      <c r="Y981">
        <v>0.23300000000000001</v>
      </c>
      <c r="Z981">
        <v>7.5</v>
      </c>
      <c r="AA981">
        <v>4.2</v>
      </c>
      <c r="AB981">
        <v>25</v>
      </c>
      <c r="AC981" s="17">
        <v>0.17</v>
      </c>
      <c r="AD981">
        <f>100/250</f>
        <v>0.4</v>
      </c>
      <c r="AE981">
        <v>24</v>
      </c>
      <c r="AF981" s="11">
        <v>0.18550000000000008</v>
      </c>
    </row>
    <row r="982" spans="1:32" x14ac:dyDescent="0.3">
      <c r="A982" t="s">
        <v>148</v>
      </c>
      <c r="B982" t="s">
        <v>16</v>
      </c>
      <c r="C982">
        <v>4.51</v>
      </c>
      <c r="D982">
        <v>318.13</v>
      </c>
      <c r="E982">
        <v>1.81</v>
      </c>
      <c r="F982">
        <v>1.85</v>
      </c>
      <c r="G982">
        <v>0.55000000000000004</v>
      </c>
      <c r="H982">
        <v>0.77</v>
      </c>
      <c r="I982">
        <v>2.0249999999999999</v>
      </c>
      <c r="J982">
        <v>49.3</v>
      </c>
      <c r="K982" t="s">
        <v>45</v>
      </c>
      <c r="L982" t="s">
        <v>51</v>
      </c>
      <c r="M982">
        <v>3</v>
      </c>
      <c r="N982">
        <v>55.78</v>
      </c>
      <c r="O982">
        <v>7.5</v>
      </c>
      <c r="P982">
        <v>1.61</v>
      </c>
      <c r="Q982" t="s">
        <v>52</v>
      </c>
      <c r="R982">
        <v>60</v>
      </c>
      <c r="S982">
        <v>24</v>
      </c>
      <c r="T982">
        <v>400</v>
      </c>
      <c r="U982">
        <v>4</v>
      </c>
      <c r="V982" s="7">
        <v>0.76159409213113394</v>
      </c>
      <c r="W982">
        <v>79</v>
      </c>
      <c r="X982">
        <v>4.5999999999999999E-3</v>
      </c>
      <c r="Y982">
        <v>0.23300000000000001</v>
      </c>
      <c r="Z982">
        <v>7.5</v>
      </c>
      <c r="AA982">
        <v>4.2</v>
      </c>
      <c r="AB982">
        <v>25</v>
      </c>
      <c r="AC982" s="17">
        <v>0.33</v>
      </c>
      <c r="AD982">
        <f t="shared" ref="AD982:AD992" si="31">100/250</f>
        <v>0.4</v>
      </c>
      <c r="AE982">
        <v>24</v>
      </c>
      <c r="AF982" s="11">
        <v>0.29166666666666669</v>
      </c>
    </row>
    <row r="983" spans="1:32" x14ac:dyDescent="0.3">
      <c r="A983" t="s">
        <v>148</v>
      </c>
      <c r="B983" t="s">
        <v>16</v>
      </c>
      <c r="C983">
        <v>4.51</v>
      </c>
      <c r="D983">
        <v>318.13</v>
      </c>
      <c r="E983">
        <v>1.81</v>
      </c>
      <c r="F983">
        <v>1.85</v>
      </c>
      <c r="G983">
        <v>0.55000000000000004</v>
      </c>
      <c r="H983">
        <v>0.77</v>
      </c>
      <c r="I983">
        <v>2.0249999999999999</v>
      </c>
      <c r="J983">
        <v>49.3</v>
      </c>
      <c r="K983" t="s">
        <v>45</v>
      </c>
      <c r="L983" t="s">
        <v>51</v>
      </c>
      <c r="M983">
        <v>3</v>
      </c>
      <c r="N983">
        <v>55.78</v>
      </c>
      <c r="O983">
        <v>7.5</v>
      </c>
      <c r="P983">
        <v>1.61</v>
      </c>
      <c r="Q983" t="s">
        <v>52</v>
      </c>
      <c r="R983">
        <v>60</v>
      </c>
      <c r="S983">
        <v>24</v>
      </c>
      <c r="T983">
        <v>400</v>
      </c>
      <c r="U983">
        <v>4</v>
      </c>
      <c r="V983" s="7">
        <v>0.76159409213113394</v>
      </c>
      <c r="W983">
        <v>79</v>
      </c>
      <c r="X983">
        <v>4.5999999999999999E-3</v>
      </c>
      <c r="Y983">
        <v>0.23300000000000001</v>
      </c>
      <c r="Z983">
        <v>7.5</v>
      </c>
      <c r="AA983">
        <v>4.2</v>
      </c>
      <c r="AB983">
        <v>25</v>
      </c>
      <c r="AC983" s="17">
        <v>0.5</v>
      </c>
      <c r="AD983">
        <f t="shared" si="31"/>
        <v>0.4</v>
      </c>
      <c r="AE983">
        <v>24</v>
      </c>
      <c r="AF983" s="11">
        <v>0.31816666666666665</v>
      </c>
    </row>
    <row r="984" spans="1:32" x14ac:dyDescent="0.3">
      <c r="A984" t="s">
        <v>148</v>
      </c>
      <c r="B984" t="s">
        <v>16</v>
      </c>
      <c r="C984">
        <v>4.51</v>
      </c>
      <c r="D984">
        <v>318.13</v>
      </c>
      <c r="E984">
        <v>1.81</v>
      </c>
      <c r="F984">
        <v>1.85</v>
      </c>
      <c r="G984">
        <v>0.55000000000000004</v>
      </c>
      <c r="H984">
        <v>0.77</v>
      </c>
      <c r="I984">
        <v>2.0249999999999999</v>
      </c>
      <c r="J984">
        <v>49.3</v>
      </c>
      <c r="K984" t="s">
        <v>45</v>
      </c>
      <c r="L984" t="s">
        <v>51</v>
      </c>
      <c r="M984">
        <v>3</v>
      </c>
      <c r="N984">
        <v>55.78</v>
      </c>
      <c r="O984">
        <v>7.5</v>
      </c>
      <c r="P984">
        <v>1.61</v>
      </c>
      <c r="Q984" t="s">
        <v>52</v>
      </c>
      <c r="R984">
        <v>60</v>
      </c>
      <c r="S984">
        <v>24</v>
      </c>
      <c r="T984">
        <v>400</v>
      </c>
      <c r="U984">
        <v>4</v>
      </c>
      <c r="V984" s="7">
        <v>0.76159409213113394</v>
      </c>
      <c r="W984">
        <v>79</v>
      </c>
      <c r="X984">
        <v>4.5999999999999999E-3</v>
      </c>
      <c r="Y984">
        <v>0.23300000000000001</v>
      </c>
      <c r="Z984">
        <v>7.5</v>
      </c>
      <c r="AA984">
        <v>4.2</v>
      </c>
      <c r="AB984">
        <v>25</v>
      </c>
      <c r="AC984" s="17">
        <v>0.83</v>
      </c>
      <c r="AD984">
        <f t="shared" si="31"/>
        <v>0.4</v>
      </c>
      <c r="AE984">
        <v>24</v>
      </c>
      <c r="AF984" s="11">
        <v>0.34466666666666668</v>
      </c>
    </row>
    <row r="985" spans="1:32" x14ac:dyDescent="0.3">
      <c r="A985" t="s">
        <v>148</v>
      </c>
      <c r="B985" t="s">
        <v>16</v>
      </c>
      <c r="C985">
        <v>4.51</v>
      </c>
      <c r="D985">
        <v>318.13</v>
      </c>
      <c r="E985">
        <v>1.81</v>
      </c>
      <c r="F985">
        <v>1.85</v>
      </c>
      <c r="G985">
        <v>0.55000000000000004</v>
      </c>
      <c r="H985">
        <v>0.77</v>
      </c>
      <c r="I985">
        <v>2.0249999999999999</v>
      </c>
      <c r="J985">
        <v>49.3</v>
      </c>
      <c r="K985" t="s">
        <v>45</v>
      </c>
      <c r="L985" t="s">
        <v>51</v>
      </c>
      <c r="M985">
        <v>3</v>
      </c>
      <c r="N985">
        <v>55.78</v>
      </c>
      <c r="O985">
        <v>7.5</v>
      </c>
      <c r="P985">
        <v>1.61</v>
      </c>
      <c r="Q985" t="s">
        <v>52</v>
      </c>
      <c r="R985">
        <v>60</v>
      </c>
      <c r="S985">
        <v>24</v>
      </c>
      <c r="T985">
        <v>400</v>
      </c>
      <c r="U985">
        <v>4</v>
      </c>
      <c r="V985" s="7">
        <v>0.76159409213113394</v>
      </c>
      <c r="W985">
        <v>79</v>
      </c>
      <c r="X985">
        <v>4.5999999999999999E-3</v>
      </c>
      <c r="Y985">
        <v>0.23300000000000001</v>
      </c>
      <c r="Z985">
        <v>7.5</v>
      </c>
      <c r="AA985">
        <v>4.2</v>
      </c>
      <c r="AB985">
        <v>25</v>
      </c>
      <c r="AC985" s="17">
        <v>1.17</v>
      </c>
      <c r="AD985">
        <f t="shared" si="31"/>
        <v>0.4</v>
      </c>
      <c r="AE985">
        <v>24</v>
      </c>
      <c r="AF985" s="11">
        <v>0.39766666666666667</v>
      </c>
    </row>
    <row r="986" spans="1:32" x14ac:dyDescent="0.3">
      <c r="A986" t="s">
        <v>148</v>
      </c>
      <c r="B986" t="s">
        <v>16</v>
      </c>
      <c r="C986">
        <v>4.51</v>
      </c>
      <c r="D986">
        <v>318.13</v>
      </c>
      <c r="E986">
        <v>1.81</v>
      </c>
      <c r="F986">
        <v>1.85</v>
      </c>
      <c r="G986">
        <v>0.55000000000000004</v>
      </c>
      <c r="H986">
        <v>0.77</v>
      </c>
      <c r="I986">
        <v>2.0249999999999999</v>
      </c>
      <c r="J986">
        <v>49.3</v>
      </c>
      <c r="K986" t="s">
        <v>45</v>
      </c>
      <c r="L986" t="s">
        <v>51</v>
      </c>
      <c r="M986">
        <v>3</v>
      </c>
      <c r="N986">
        <v>55.78</v>
      </c>
      <c r="O986">
        <v>7.5</v>
      </c>
      <c r="P986">
        <v>1.61</v>
      </c>
      <c r="Q986" t="s">
        <v>52</v>
      </c>
      <c r="R986">
        <v>60</v>
      </c>
      <c r="S986">
        <v>24</v>
      </c>
      <c r="T986">
        <v>400</v>
      </c>
      <c r="U986">
        <v>4</v>
      </c>
      <c r="V986" s="7">
        <v>0.76159409213113394</v>
      </c>
      <c r="W986">
        <v>79</v>
      </c>
      <c r="X986">
        <v>4.5999999999999999E-3</v>
      </c>
      <c r="Y986">
        <v>0.23300000000000001</v>
      </c>
      <c r="Z986">
        <v>7.5</v>
      </c>
      <c r="AA986">
        <v>4.2</v>
      </c>
      <c r="AB986">
        <v>25</v>
      </c>
      <c r="AC986" s="17">
        <v>1.5</v>
      </c>
      <c r="AD986">
        <f t="shared" si="31"/>
        <v>0.4</v>
      </c>
      <c r="AE986">
        <v>24</v>
      </c>
      <c r="AF986" s="11">
        <v>0.45066666666666672</v>
      </c>
    </row>
    <row r="987" spans="1:32" x14ac:dyDescent="0.3">
      <c r="A987" t="s">
        <v>148</v>
      </c>
      <c r="B987" t="s">
        <v>16</v>
      </c>
      <c r="C987">
        <v>4.51</v>
      </c>
      <c r="D987">
        <v>318.13</v>
      </c>
      <c r="E987">
        <v>1.81</v>
      </c>
      <c r="F987">
        <v>1.85</v>
      </c>
      <c r="G987">
        <v>0.55000000000000004</v>
      </c>
      <c r="H987">
        <v>0.77</v>
      </c>
      <c r="I987">
        <v>2.0249999999999999</v>
      </c>
      <c r="J987">
        <v>49.3</v>
      </c>
      <c r="K987" t="s">
        <v>45</v>
      </c>
      <c r="L987" t="s">
        <v>51</v>
      </c>
      <c r="M987">
        <v>3</v>
      </c>
      <c r="N987">
        <v>55.78</v>
      </c>
      <c r="O987">
        <v>7.5</v>
      </c>
      <c r="P987">
        <v>1.61</v>
      </c>
      <c r="Q987" t="s">
        <v>52</v>
      </c>
      <c r="R987">
        <v>60</v>
      </c>
      <c r="S987">
        <v>24</v>
      </c>
      <c r="T987">
        <v>400</v>
      </c>
      <c r="U987">
        <v>4</v>
      </c>
      <c r="V987" s="7">
        <v>0.76159409213113394</v>
      </c>
      <c r="W987">
        <v>79</v>
      </c>
      <c r="X987">
        <v>4.5999999999999999E-3</v>
      </c>
      <c r="Y987">
        <v>0.23300000000000001</v>
      </c>
      <c r="Z987">
        <v>7.5</v>
      </c>
      <c r="AA987">
        <v>4.2</v>
      </c>
      <c r="AB987">
        <v>25</v>
      </c>
      <c r="AC987" s="17">
        <v>2</v>
      </c>
      <c r="AD987">
        <f t="shared" si="31"/>
        <v>0.4</v>
      </c>
      <c r="AE987">
        <v>24</v>
      </c>
      <c r="AF987" s="11">
        <v>0.55666666666666664</v>
      </c>
    </row>
    <row r="988" spans="1:32" x14ac:dyDescent="0.3">
      <c r="A988" t="s">
        <v>148</v>
      </c>
      <c r="B988" t="s">
        <v>16</v>
      </c>
      <c r="C988">
        <v>4.51</v>
      </c>
      <c r="D988">
        <v>318.13</v>
      </c>
      <c r="E988">
        <v>1.81</v>
      </c>
      <c r="F988">
        <v>1.85</v>
      </c>
      <c r="G988">
        <v>0.55000000000000004</v>
      </c>
      <c r="H988">
        <v>0.77</v>
      </c>
      <c r="I988">
        <v>2.0249999999999999</v>
      </c>
      <c r="J988">
        <v>49.3</v>
      </c>
      <c r="K988" t="s">
        <v>45</v>
      </c>
      <c r="L988" t="s">
        <v>51</v>
      </c>
      <c r="M988">
        <v>3</v>
      </c>
      <c r="N988">
        <v>55.78</v>
      </c>
      <c r="O988">
        <v>7.5</v>
      </c>
      <c r="P988">
        <v>1.61</v>
      </c>
      <c r="Q988" t="s">
        <v>52</v>
      </c>
      <c r="R988">
        <v>60</v>
      </c>
      <c r="S988">
        <v>24</v>
      </c>
      <c r="T988">
        <v>400</v>
      </c>
      <c r="U988">
        <v>4</v>
      </c>
      <c r="V988" s="7">
        <v>0.76159409213113394</v>
      </c>
      <c r="W988">
        <v>79</v>
      </c>
      <c r="X988">
        <v>4.5999999999999999E-3</v>
      </c>
      <c r="Y988">
        <v>0.23300000000000001</v>
      </c>
      <c r="Z988">
        <v>7.5</v>
      </c>
      <c r="AA988">
        <v>4.2</v>
      </c>
      <c r="AB988">
        <v>25</v>
      </c>
      <c r="AC988" s="17">
        <v>2.5</v>
      </c>
      <c r="AD988">
        <f t="shared" si="31"/>
        <v>0.4</v>
      </c>
      <c r="AE988">
        <v>24</v>
      </c>
      <c r="AF988" s="11">
        <v>0.66283333333333339</v>
      </c>
    </row>
    <row r="989" spans="1:32" x14ac:dyDescent="0.3">
      <c r="A989" t="s">
        <v>148</v>
      </c>
      <c r="B989" t="s">
        <v>16</v>
      </c>
      <c r="C989">
        <v>4.51</v>
      </c>
      <c r="D989">
        <v>318.13</v>
      </c>
      <c r="E989">
        <v>1.81</v>
      </c>
      <c r="F989">
        <v>1.85</v>
      </c>
      <c r="G989">
        <v>0.55000000000000004</v>
      </c>
      <c r="H989">
        <v>0.77</v>
      </c>
      <c r="I989">
        <v>2.0249999999999999</v>
      </c>
      <c r="J989">
        <v>49.3</v>
      </c>
      <c r="K989" t="s">
        <v>45</v>
      </c>
      <c r="L989" t="s">
        <v>51</v>
      </c>
      <c r="M989">
        <v>3</v>
      </c>
      <c r="N989">
        <v>55.78</v>
      </c>
      <c r="O989">
        <v>7.5</v>
      </c>
      <c r="P989">
        <v>1.61</v>
      </c>
      <c r="Q989" t="s">
        <v>52</v>
      </c>
      <c r="R989">
        <v>60</v>
      </c>
      <c r="S989">
        <v>24</v>
      </c>
      <c r="T989">
        <v>400</v>
      </c>
      <c r="U989">
        <v>4</v>
      </c>
      <c r="V989" s="7">
        <v>0.76159409213113394</v>
      </c>
      <c r="W989">
        <v>79</v>
      </c>
      <c r="X989">
        <v>4.5999999999999999E-3</v>
      </c>
      <c r="Y989">
        <v>0.23300000000000001</v>
      </c>
      <c r="Z989">
        <v>7.5</v>
      </c>
      <c r="AA989">
        <v>4.2</v>
      </c>
      <c r="AB989">
        <v>25</v>
      </c>
      <c r="AC989" s="17">
        <v>3</v>
      </c>
      <c r="AD989">
        <f t="shared" si="31"/>
        <v>0.4</v>
      </c>
      <c r="AE989">
        <v>24</v>
      </c>
      <c r="AF989" s="11">
        <v>0.71583333333333343</v>
      </c>
    </row>
    <row r="990" spans="1:32" x14ac:dyDescent="0.3">
      <c r="A990" t="s">
        <v>148</v>
      </c>
      <c r="B990" t="s">
        <v>16</v>
      </c>
      <c r="C990">
        <v>4.51</v>
      </c>
      <c r="D990">
        <v>318.13</v>
      </c>
      <c r="E990">
        <v>1.81</v>
      </c>
      <c r="F990">
        <v>1.85</v>
      </c>
      <c r="G990">
        <v>0.55000000000000004</v>
      </c>
      <c r="H990">
        <v>0.77</v>
      </c>
      <c r="I990">
        <v>2.0249999999999999</v>
      </c>
      <c r="J990">
        <v>49.3</v>
      </c>
      <c r="K990" t="s">
        <v>45</v>
      </c>
      <c r="L990" t="s">
        <v>51</v>
      </c>
      <c r="M990">
        <v>3</v>
      </c>
      <c r="N990">
        <v>55.78</v>
      </c>
      <c r="O990">
        <v>7.5</v>
      </c>
      <c r="P990">
        <v>1.61</v>
      </c>
      <c r="Q990" t="s">
        <v>52</v>
      </c>
      <c r="R990">
        <v>60</v>
      </c>
      <c r="S990">
        <v>24</v>
      </c>
      <c r="T990">
        <v>400</v>
      </c>
      <c r="U990">
        <v>4</v>
      </c>
      <c r="V990" s="7">
        <v>0.76159409213113394</v>
      </c>
      <c r="W990">
        <v>79</v>
      </c>
      <c r="X990">
        <v>4.5999999999999999E-3</v>
      </c>
      <c r="Y990">
        <v>0.23300000000000001</v>
      </c>
      <c r="Z990">
        <v>7.5</v>
      </c>
      <c r="AA990">
        <v>4.2</v>
      </c>
      <c r="AB990">
        <v>25</v>
      </c>
      <c r="AC990" s="17">
        <v>5.17</v>
      </c>
      <c r="AD990">
        <f t="shared" si="31"/>
        <v>0.4</v>
      </c>
      <c r="AE990">
        <v>24</v>
      </c>
      <c r="AF990" s="11">
        <v>0.79533333333333334</v>
      </c>
    </row>
    <row r="991" spans="1:32" x14ac:dyDescent="0.3">
      <c r="A991" t="s">
        <v>148</v>
      </c>
      <c r="B991" t="s">
        <v>16</v>
      </c>
      <c r="C991">
        <v>4.51</v>
      </c>
      <c r="D991">
        <v>318.13</v>
      </c>
      <c r="E991">
        <v>1.81</v>
      </c>
      <c r="F991">
        <v>1.85</v>
      </c>
      <c r="G991">
        <v>0.55000000000000004</v>
      </c>
      <c r="H991">
        <v>0.77</v>
      </c>
      <c r="I991">
        <v>2.0249999999999999</v>
      </c>
      <c r="J991">
        <v>49.3</v>
      </c>
      <c r="K991" t="s">
        <v>45</v>
      </c>
      <c r="L991" t="s">
        <v>51</v>
      </c>
      <c r="M991">
        <v>3</v>
      </c>
      <c r="N991">
        <v>55.78</v>
      </c>
      <c r="O991">
        <v>7.5</v>
      </c>
      <c r="P991">
        <v>1.61</v>
      </c>
      <c r="Q991" t="s">
        <v>52</v>
      </c>
      <c r="R991">
        <v>60</v>
      </c>
      <c r="S991">
        <v>24</v>
      </c>
      <c r="T991">
        <v>400</v>
      </c>
      <c r="U991">
        <v>4</v>
      </c>
      <c r="V991" s="7">
        <v>0.76159409213113394</v>
      </c>
      <c r="W991">
        <v>79</v>
      </c>
      <c r="X991">
        <v>4.5999999999999999E-3</v>
      </c>
      <c r="Y991">
        <v>0.23300000000000001</v>
      </c>
      <c r="Z991">
        <v>7.5</v>
      </c>
      <c r="AA991">
        <v>4.2</v>
      </c>
      <c r="AB991">
        <v>25</v>
      </c>
      <c r="AC991" s="17">
        <v>6.5</v>
      </c>
      <c r="AD991">
        <f t="shared" si="31"/>
        <v>0.4</v>
      </c>
      <c r="AE991">
        <v>24</v>
      </c>
      <c r="AF991" s="11">
        <v>0.79533333333333334</v>
      </c>
    </row>
    <row r="992" spans="1:32" x14ac:dyDescent="0.3">
      <c r="A992" t="s">
        <v>148</v>
      </c>
      <c r="B992" t="s">
        <v>16</v>
      </c>
      <c r="C992">
        <v>4.51</v>
      </c>
      <c r="D992">
        <v>318.13</v>
      </c>
      <c r="E992">
        <v>1.81</v>
      </c>
      <c r="F992">
        <v>1.85</v>
      </c>
      <c r="G992">
        <v>0.55000000000000004</v>
      </c>
      <c r="H992">
        <v>0.77</v>
      </c>
      <c r="I992">
        <v>2.0249999999999999</v>
      </c>
      <c r="J992">
        <v>49.3</v>
      </c>
      <c r="K992" t="s">
        <v>45</v>
      </c>
      <c r="L992" t="s">
        <v>51</v>
      </c>
      <c r="M992">
        <v>3</v>
      </c>
      <c r="N992">
        <v>55.78</v>
      </c>
      <c r="O992">
        <v>7.5</v>
      </c>
      <c r="P992">
        <v>1.61</v>
      </c>
      <c r="Q992" t="s">
        <v>52</v>
      </c>
      <c r="R992">
        <v>60</v>
      </c>
      <c r="S992">
        <v>24</v>
      </c>
      <c r="T992">
        <v>400</v>
      </c>
      <c r="U992">
        <v>4</v>
      </c>
      <c r="V992" s="7">
        <v>0.76159409213113394</v>
      </c>
      <c r="W992">
        <v>79</v>
      </c>
      <c r="X992">
        <v>4.5999999999999999E-3</v>
      </c>
      <c r="Y992">
        <v>0.23300000000000001</v>
      </c>
      <c r="Z992">
        <v>7.5</v>
      </c>
      <c r="AA992">
        <v>4.2</v>
      </c>
      <c r="AB992">
        <v>25</v>
      </c>
      <c r="AC992" s="17">
        <v>8</v>
      </c>
      <c r="AD992">
        <f t="shared" si="31"/>
        <v>0.4</v>
      </c>
      <c r="AE992">
        <v>24</v>
      </c>
      <c r="AF992" s="11">
        <v>0.79533333333333334</v>
      </c>
    </row>
    <row r="993" spans="1:32" x14ac:dyDescent="0.3">
      <c r="A993" t="s">
        <v>148</v>
      </c>
      <c r="B993" t="s">
        <v>16</v>
      </c>
      <c r="C993">
        <v>4.51</v>
      </c>
      <c r="D993">
        <v>318.13</v>
      </c>
      <c r="E993">
        <v>1.81</v>
      </c>
      <c r="F993">
        <v>1.85</v>
      </c>
      <c r="G993">
        <v>0.55000000000000004</v>
      </c>
      <c r="H993">
        <v>0.77</v>
      </c>
      <c r="I993">
        <v>2.0249999999999999</v>
      </c>
      <c r="J993">
        <v>49.3</v>
      </c>
      <c r="K993" t="s">
        <v>45</v>
      </c>
      <c r="L993" t="s">
        <v>51</v>
      </c>
      <c r="M993">
        <v>3</v>
      </c>
      <c r="N993">
        <v>55.78</v>
      </c>
      <c r="O993">
        <v>7.5</v>
      </c>
      <c r="P993">
        <v>1.61</v>
      </c>
      <c r="Q993" t="s">
        <v>52</v>
      </c>
      <c r="R993">
        <v>60</v>
      </c>
      <c r="S993">
        <v>24</v>
      </c>
      <c r="T993">
        <v>400</v>
      </c>
      <c r="U993">
        <v>4</v>
      </c>
      <c r="V993" s="7">
        <v>0.76159409213113394</v>
      </c>
      <c r="W993">
        <v>79</v>
      </c>
      <c r="X993">
        <v>4.5999999999999999E-3</v>
      </c>
      <c r="Y993">
        <v>0.23300000000000001</v>
      </c>
      <c r="Z993">
        <v>7.5</v>
      </c>
      <c r="AA993">
        <v>4.2</v>
      </c>
      <c r="AB993">
        <v>25</v>
      </c>
      <c r="AC993" s="17">
        <v>0.17</v>
      </c>
      <c r="AD993">
        <f t="shared" ref="AD993:AD1024" si="32">50/250</f>
        <v>0.2</v>
      </c>
      <c r="AE993">
        <v>8</v>
      </c>
      <c r="AF993" s="11">
        <v>8.0000000000000071E-3</v>
      </c>
    </row>
    <row r="994" spans="1:32" x14ac:dyDescent="0.3">
      <c r="A994" t="s">
        <v>148</v>
      </c>
      <c r="B994" t="s">
        <v>16</v>
      </c>
      <c r="C994">
        <v>4.51</v>
      </c>
      <c r="D994">
        <v>318.13</v>
      </c>
      <c r="E994">
        <v>1.81</v>
      </c>
      <c r="F994">
        <v>1.85</v>
      </c>
      <c r="G994">
        <v>0.55000000000000004</v>
      </c>
      <c r="H994">
        <v>0.77</v>
      </c>
      <c r="I994">
        <v>2.0249999999999999</v>
      </c>
      <c r="J994">
        <v>49.3</v>
      </c>
      <c r="K994" t="s">
        <v>45</v>
      </c>
      <c r="L994" t="s">
        <v>51</v>
      </c>
      <c r="M994">
        <v>3</v>
      </c>
      <c r="N994">
        <v>55.78</v>
      </c>
      <c r="O994">
        <v>7.5</v>
      </c>
      <c r="P994">
        <v>1.61</v>
      </c>
      <c r="Q994" t="s">
        <v>52</v>
      </c>
      <c r="R994">
        <v>60</v>
      </c>
      <c r="S994">
        <v>24</v>
      </c>
      <c r="T994">
        <v>400</v>
      </c>
      <c r="U994">
        <v>4</v>
      </c>
      <c r="V994" s="7">
        <v>0.76159409213113394</v>
      </c>
      <c r="W994">
        <v>79</v>
      </c>
      <c r="X994">
        <v>4.5999999999999999E-3</v>
      </c>
      <c r="Y994">
        <v>0.23300000000000001</v>
      </c>
      <c r="Z994">
        <v>7.5</v>
      </c>
      <c r="AA994">
        <v>4.2</v>
      </c>
      <c r="AB994">
        <v>25</v>
      </c>
      <c r="AC994" s="17">
        <v>0.33</v>
      </c>
      <c r="AD994">
        <f t="shared" si="32"/>
        <v>0.2</v>
      </c>
      <c r="AE994">
        <v>8</v>
      </c>
      <c r="AF994" s="11">
        <v>1.6000000000000014E-2</v>
      </c>
    </row>
    <row r="995" spans="1:32" x14ac:dyDescent="0.3">
      <c r="A995" t="s">
        <v>148</v>
      </c>
      <c r="B995" t="s">
        <v>16</v>
      </c>
      <c r="C995">
        <v>4.51</v>
      </c>
      <c r="D995">
        <v>318.13</v>
      </c>
      <c r="E995">
        <v>1.81</v>
      </c>
      <c r="F995">
        <v>1.85</v>
      </c>
      <c r="G995">
        <v>0.55000000000000004</v>
      </c>
      <c r="H995">
        <v>0.77</v>
      </c>
      <c r="I995">
        <v>2.0249999999999999</v>
      </c>
      <c r="J995">
        <v>49.3</v>
      </c>
      <c r="K995" t="s">
        <v>45</v>
      </c>
      <c r="L995" t="s">
        <v>51</v>
      </c>
      <c r="M995">
        <v>3</v>
      </c>
      <c r="N995">
        <v>55.78</v>
      </c>
      <c r="O995">
        <v>7.5</v>
      </c>
      <c r="P995">
        <v>1.61</v>
      </c>
      <c r="Q995" t="s">
        <v>52</v>
      </c>
      <c r="R995">
        <v>60</v>
      </c>
      <c r="S995">
        <v>24</v>
      </c>
      <c r="T995">
        <v>400</v>
      </c>
      <c r="U995">
        <v>4</v>
      </c>
      <c r="V995" s="7">
        <v>0.76159409213113394</v>
      </c>
      <c r="W995">
        <v>79</v>
      </c>
      <c r="X995">
        <v>4.5999999999999999E-3</v>
      </c>
      <c r="Y995">
        <v>0.23300000000000001</v>
      </c>
      <c r="Z995">
        <v>7.5</v>
      </c>
      <c r="AA995">
        <v>4.2</v>
      </c>
      <c r="AB995">
        <v>25</v>
      </c>
      <c r="AC995" s="17">
        <v>0.83</v>
      </c>
      <c r="AD995">
        <f t="shared" si="32"/>
        <v>0.2</v>
      </c>
      <c r="AE995">
        <v>8</v>
      </c>
      <c r="AF995" s="11">
        <v>3.9749999999999952E-2</v>
      </c>
    </row>
    <row r="996" spans="1:32" x14ac:dyDescent="0.3">
      <c r="A996" t="s">
        <v>148</v>
      </c>
      <c r="B996" t="s">
        <v>16</v>
      </c>
      <c r="C996">
        <v>4.51</v>
      </c>
      <c r="D996">
        <v>318.13</v>
      </c>
      <c r="E996">
        <v>1.81</v>
      </c>
      <c r="F996">
        <v>1.85</v>
      </c>
      <c r="G996">
        <v>0.55000000000000004</v>
      </c>
      <c r="H996">
        <v>0.77</v>
      </c>
      <c r="I996">
        <v>2.0249999999999999</v>
      </c>
      <c r="J996">
        <v>49.3</v>
      </c>
      <c r="K996" t="s">
        <v>45</v>
      </c>
      <c r="L996" t="s">
        <v>51</v>
      </c>
      <c r="M996">
        <v>3</v>
      </c>
      <c r="N996">
        <v>55.78</v>
      </c>
      <c r="O996">
        <v>7.5</v>
      </c>
      <c r="P996">
        <v>1.61</v>
      </c>
      <c r="Q996" t="s">
        <v>52</v>
      </c>
      <c r="R996">
        <v>60</v>
      </c>
      <c r="S996">
        <v>24</v>
      </c>
      <c r="T996">
        <v>400</v>
      </c>
      <c r="U996">
        <v>4</v>
      </c>
      <c r="V996" s="7">
        <v>0.76159409213113394</v>
      </c>
      <c r="W996">
        <v>79</v>
      </c>
      <c r="X996">
        <v>4.5999999999999999E-3</v>
      </c>
      <c r="Y996">
        <v>0.23300000000000001</v>
      </c>
      <c r="Z996">
        <v>7.5</v>
      </c>
      <c r="AA996">
        <v>4.2</v>
      </c>
      <c r="AB996">
        <v>25</v>
      </c>
      <c r="AC996" s="17">
        <v>1.17</v>
      </c>
      <c r="AD996">
        <f t="shared" si="32"/>
        <v>0.2</v>
      </c>
      <c r="AE996">
        <v>8</v>
      </c>
      <c r="AF996" s="11">
        <v>2.3750000000000049E-2</v>
      </c>
    </row>
    <row r="997" spans="1:32" x14ac:dyDescent="0.3">
      <c r="A997" t="s">
        <v>148</v>
      </c>
      <c r="B997" t="s">
        <v>16</v>
      </c>
      <c r="C997">
        <v>4.51</v>
      </c>
      <c r="D997">
        <v>318.13</v>
      </c>
      <c r="E997">
        <v>1.81</v>
      </c>
      <c r="F997">
        <v>1.85</v>
      </c>
      <c r="G997">
        <v>0.55000000000000004</v>
      </c>
      <c r="H997">
        <v>0.77</v>
      </c>
      <c r="I997">
        <v>2.0249999999999999</v>
      </c>
      <c r="J997">
        <v>49.3</v>
      </c>
      <c r="K997" t="s">
        <v>45</v>
      </c>
      <c r="L997" t="s">
        <v>51</v>
      </c>
      <c r="M997">
        <v>3</v>
      </c>
      <c r="N997">
        <v>55.78</v>
      </c>
      <c r="O997">
        <v>7.5</v>
      </c>
      <c r="P997">
        <v>1.61</v>
      </c>
      <c r="Q997" t="s">
        <v>52</v>
      </c>
      <c r="R997">
        <v>60</v>
      </c>
      <c r="S997">
        <v>24</v>
      </c>
      <c r="T997">
        <v>400</v>
      </c>
      <c r="U997">
        <v>4</v>
      </c>
      <c r="V997" s="7">
        <v>0.76159409213113394</v>
      </c>
      <c r="W997">
        <v>79</v>
      </c>
      <c r="X997">
        <v>4.5999999999999999E-3</v>
      </c>
      <c r="Y997">
        <v>0.23300000000000001</v>
      </c>
      <c r="Z997">
        <v>7.5</v>
      </c>
      <c r="AA997">
        <v>4.2</v>
      </c>
      <c r="AB997">
        <v>25</v>
      </c>
      <c r="AC997" s="17">
        <v>1.5</v>
      </c>
      <c r="AD997">
        <f t="shared" si="32"/>
        <v>0.2</v>
      </c>
      <c r="AE997">
        <v>8</v>
      </c>
      <c r="AF997" s="11">
        <v>5.5749999999999966E-2</v>
      </c>
    </row>
    <row r="998" spans="1:32" x14ac:dyDescent="0.3">
      <c r="A998" t="s">
        <v>148</v>
      </c>
      <c r="B998" t="s">
        <v>16</v>
      </c>
      <c r="C998">
        <v>4.51</v>
      </c>
      <c r="D998">
        <v>318.13</v>
      </c>
      <c r="E998">
        <v>1.81</v>
      </c>
      <c r="F998">
        <v>1.85</v>
      </c>
      <c r="G998">
        <v>0.55000000000000004</v>
      </c>
      <c r="H998">
        <v>0.77</v>
      </c>
      <c r="I998">
        <v>2.0249999999999999</v>
      </c>
      <c r="J998">
        <v>49.3</v>
      </c>
      <c r="K998" t="s">
        <v>45</v>
      </c>
      <c r="L998" t="s">
        <v>51</v>
      </c>
      <c r="M998">
        <v>3</v>
      </c>
      <c r="N998">
        <v>55.78</v>
      </c>
      <c r="O998">
        <v>7.5</v>
      </c>
      <c r="P998">
        <v>1.61</v>
      </c>
      <c r="Q998" t="s">
        <v>52</v>
      </c>
      <c r="R998">
        <v>60</v>
      </c>
      <c r="S998">
        <v>24</v>
      </c>
      <c r="T998">
        <v>400</v>
      </c>
      <c r="U998">
        <v>4</v>
      </c>
      <c r="V998" s="7">
        <v>0.76159409213113394</v>
      </c>
      <c r="W998">
        <v>79</v>
      </c>
      <c r="X998">
        <v>4.5999999999999999E-3</v>
      </c>
      <c r="Y998">
        <v>0.23300000000000001</v>
      </c>
      <c r="Z998">
        <v>7.5</v>
      </c>
      <c r="AA998">
        <v>4.2</v>
      </c>
      <c r="AB998">
        <v>25</v>
      </c>
      <c r="AC998" s="17">
        <v>2</v>
      </c>
      <c r="AD998">
        <f t="shared" si="32"/>
        <v>0.2</v>
      </c>
      <c r="AE998">
        <v>8</v>
      </c>
      <c r="AF998" s="11">
        <v>7.1500000000000008E-2</v>
      </c>
    </row>
    <row r="999" spans="1:32" x14ac:dyDescent="0.3">
      <c r="A999" t="s">
        <v>148</v>
      </c>
      <c r="B999" t="s">
        <v>16</v>
      </c>
      <c r="C999">
        <v>4.51</v>
      </c>
      <c r="D999">
        <v>318.13</v>
      </c>
      <c r="E999">
        <v>1.81</v>
      </c>
      <c r="F999">
        <v>1.85</v>
      </c>
      <c r="G999">
        <v>0.55000000000000004</v>
      </c>
      <c r="H999">
        <v>0.77</v>
      </c>
      <c r="I999">
        <v>2.0249999999999999</v>
      </c>
      <c r="J999">
        <v>49.3</v>
      </c>
      <c r="K999" t="s">
        <v>45</v>
      </c>
      <c r="L999" t="s">
        <v>51</v>
      </c>
      <c r="M999">
        <v>3</v>
      </c>
      <c r="N999">
        <v>55.78</v>
      </c>
      <c r="O999">
        <v>7.5</v>
      </c>
      <c r="P999">
        <v>1.61</v>
      </c>
      <c r="Q999" t="s">
        <v>52</v>
      </c>
      <c r="R999">
        <v>60</v>
      </c>
      <c r="S999">
        <v>24</v>
      </c>
      <c r="T999">
        <v>400</v>
      </c>
      <c r="U999">
        <v>4</v>
      </c>
      <c r="V999" s="7">
        <v>0.76159409213113394</v>
      </c>
      <c r="W999">
        <v>79</v>
      </c>
      <c r="X999">
        <v>4.5999999999999999E-3</v>
      </c>
      <c r="Y999">
        <v>0.23300000000000001</v>
      </c>
      <c r="Z999">
        <v>7.5</v>
      </c>
      <c r="AA999">
        <v>4.2</v>
      </c>
      <c r="AB999">
        <v>25</v>
      </c>
      <c r="AC999" s="17">
        <v>3</v>
      </c>
      <c r="AD999">
        <f t="shared" si="32"/>
        <v>0.2</v>
      </c>
      <c r="AE999">
        <v>8</v>
      </c>
      <c r="AF999" s="11">
        <v>0.12724999999999997</v>
      </c>
    </row>
    <row r="1000" spans="1:32" x14ac:dyDescent="0.3">
      <c r="A1000" t="s">
        <v>148</v>
      </c>
      <c r="B1000" t="s">
        <v>16</v>
      </c>
      <c r="C1000">
        <v>4.51</v>
      </c>
      <c r="D1000">
        <v>318.13</v>
      </c>
      <c r="E1000">
        <v>1.81</v>
      </c>
      <c r="F1000">
        <v>1.85</v>
      </c>
      <c r="G1000">
        <v>0.55000000000000004</v>
      </c>
      <c r="H1000">
        <v>0.77</v>
      </c>
      <c r="I1000">
        <v>2.0249999999999999</v>
      </c>
      <c r="J1000">
        <v>49.3</v>
      </c>
      <c r="K1000" t="s">
        <v>45</v>
      </c>
      <c r="L1000" t="s">
        <v>51</v>
      </c>
      <c r="M1000">
        <v>3</v>
      </c>
      <c r="N1000">
        <v>55.78</v>
      </c>
      <c r="O1000">
        <v>7.5</v>
      </c>
      <c r="P1000">
        <v>1.61</v>
      </c>
      <c r="Q1000" t="s">
        <v>52</v>
      </c>
      <c r="R1000">
        <v>60</v>
      </c>
      <c r="S1000">
        <v>24</v>
      </c>
      <c r="T1000">
        <v>400</v>
      </c>
      <c r="U1000">
        <v>4</v>
      </c>
      <c r="V1000" s="7">
        <v>0.76159409213113394</v>
      </c>
      <c r="W1000">
        <v>79</v>
      </c>
      <c r="X1000">
        <v>4.5999999999999999E-3</v>
      </c>
      <c r="Y1000">
        <v>0.23300000000000001</v>
      </c>
      <c r="Z1000">
        <v>7.5</v>
      </c>
      <c r="AA1000">
        <v>4.2</v>
      </c>
      <c r="AB1000">
        <v>25</v>
      </c>
      <c r="AC1000" s="17">
        <v>5.17</v>
      </c>
      <c r="AD1000">
        <f t="shared" si="32"/>
        <v>0.2</v>
      </c>
      <c r="AE1000">
        <v>8</v>
      </c>
      <c r="AF1000" s="11">
        <v>0.17500000000000004</v>
      </c>
    </row>
    <row r="1001" spans="1:32" x14ac:dyDescent="0.3">
      <c r="A1001" t="s">
        <v>148</v>
      </c>
      <c r="B1001" t="s">
        <v>16</v>
      </c>
      <c r="C1001">
        <v>4.51</v>
      </c>
      <c r="D1001">
        <v>318.13</v>
      </c>
      <c r="E1001">
        <v>1.81</v>
      </c>
      <c r="F1001">
        <v>1.85</v>
      </c>
      <c r="G1001">
        <v>0.55000000000000004</v>
      </c>
      <c r="H1001">
        <v>0.77</v>
      </c>
      <c r="I1001">
        <v>2.0249999999999999</v>
      </c>
      <c r="J1001">
        <v>49.3</v>
      </c>
      <c r="K1001" t="s">
        <v>45</v>
      </c>
      <c r="L1001" t="s">
        <v>51</v>
      </c>
      <c r="M1001">
        <v>3</v>
      </c>
      <c r="N1001">
        <v>55.78</v>
      </c>
      <c r="O1001">
        <v>7.5</v>
      </c>
      <c r="P1001">
        <v>1.61</v>
      </c>
      <c r="Q1001" t="s">
        <v>52</v>
      </c>
      <c r="R1001">
        <v>60</v>
      </c>
      <c r="S1001">
        <v>24</v>
      </c>
      <c r="T1001">
        <v>400</v>
      </c>
      <c r="U1001">
        <v>4</v>
      </c>
      <c r="V1001" s="7">
        <v>0.76159409213113394</v>
      </c>
      <c r="W1001">
        <v>79</v>
      </c>
      <c r="X1001">
        <v>4.5999999999999999E-3</v>
      </c>
      <c r="Y1001">
        <v>0.23300000000000001</v>
      </c>
      <c r="Z1001">
        <v>7.5</v>
      </c>
      <c r="AA1001">
        <v>4.2</v>
      </c>
      <c r="AB1001">
        <v>25</v>
      </c>
      <c r="AC1001" s="17">
        <v>7</v>
      </c>
      <c r="AD1001">
        <f t="shared" si="32"/>
        <v>0.2</v>
      </c>
      <c r="AE1001">
        <v>8</v>
      </c>
      <c r="AF1001" s="11">
        <v>0.15900000000000003</v>
      </c>
    </row>
    <row r="1002" spans="1:32" x14ac:dyDescent="0.3">
      <c r="A1002" t="s">
        <v>148</v>
      </c>
      <c r="B1002" t="s">
        <v>16</v>
      </c>
      <c r="C1002">
        <v>4.51</v>
      </c>
      <c r="D1002">
        <v>318.13</v>
      </c>
      <c r="E1002">
        <v>1.81</v>
      </c>
      <c r="F1002">
        <v>1.85</v>
      </c>
      <c r="G1002">
        <v>0.55000000000000004</v>
      </c>
      <c r="H1002">
        <v>0.77</v>
      </c>
      <c r="I1002">
        <v>2.0249999999999999</v>
      </c>
      <c r="J1002">
        <v>49.3</v>
      </c>
      <c r="K1002" t="s">
        <v>45</v>
      </c>
      <c r="L1002" t="s">
        <v>51</v>
      </c>
      <c r="M1002">
        <v>3</v>
      </c>
      <c r="N1002">
        <v>55.78</v>
      </c>
      <c r="O1002">
        <v>7.5</v>
      </c>
      <c r="P1002">
        <v>1.61</v>
      </c>
      <c r="Q1002" t="s">
        <v>52</v>
      </c>
      <c r="R1002">
        <v>60</v>
      </c>
      <c r="S1002">
        <v>24</v>
      </c>
      <c r="T1002">
        <v>400</v>
      </c>
      <c r="U1002">
        <v>4</v>
      </c>
      <c r="V1002" s="7">
        <v>0.76159409213113394</v>
      </c>
      <c r="W1002">
        <v>79</v>
      </c>
      <c r="X1002">
        <v>4.5999999999999999E-3</v>
      </c>
      <c r="Y1002">
        <v>0.23300000000000001</v>
      </c>
      <c r="Z1002">
        <v>7.5</v>
      </c>
      <c r="AA1002">
        <v>4.2</v>
      </c>
      <c r="AB1002">
        <v>25</v>
      </c>
      <c r="AC1002" s="17">
        <v>8</v>
      </c>
      <c r="AD1002">
        <f t="shared" si="32"/>
        <v>0.2</v>
      </c>
      <c r="AE1002">
        <v>8</v>
      </c>
      <c r="AF1002" s="11">
        <v>0.15100000000000002</v>
      </c>
    </row>
    <row r="1003" spans="1:32" x14ac:dyDescent="0.3">
      <c r="A1003" t="s">
        <v>148</v>
      </c>
      <c r="B1003" t="s">
        <v>16</v>
      </c>
      <c r="C1003">
        <v>4.51</v>
      </c>
      <c r="D1003">
        <v>318.13</v>
      </c>
      <c r="E1003">
        <v>1.81</v>
      </c>
      <c r="F1003">
        <v>1.85</v>
      </c>
      <c r="G1003">
        <v>0.55000000000000004</v>
      </c>
      <c r="H1003">
        <v>0.77</v>
      </c>
      <c r="I1003">
        <v>2.0249999999999999</v>
      </c>
      <c r="J1003">
        <v>49.3</v>
      </c>
      <c r="K1003" t="s">
        <v>45</v>
      </c>
      <c r="L1003" t="s">
        <v>51</v>
      </c>
      <c r="M1003">
        <v>3</v>
      </c>
      <c r="N1003">
        <v>55.78</v>
      </c>
      <c r="O1003">
        <v>7.5</v>
      </c>
      <c r="P1003">
        <v>1.61</v>
      </c>
      <c r="Q1003" t="s">
        <v>52</v>
      </c>
      <c r="R1003">
        <v>60</v>
      </c>
      <c r="S1003">
        <v>24</v>
      </c>
      <c r="T1003">
        <v>400</v>
      </c>
      <c r="U1003">
        <v>4</v>
      </c>
      <c r="V1003" s="7">
        <v>0.76159409213113394</v>
      </c>
      <c r="W1003">
        <v>79</v>
      </c>
      <c r="X1003">
        <v>4.5999999999999999E-3</v>
      </c>
      <c r="Y1003">
        <v>0.23300000000000001</v>
      </c>
      <c r="Z1003">
        <v>7.5</v>
      </c>
      <c r="AA1003">
        <v>4.2</v>
      </c>
      <c r="AB1003">
        <v>25</v>
      </c>
      <c r="AC1003" s="17">
        <v>0.17</v>
      </c>
      <c r="AD1003">
        <f t="shared" si="32"/>
        <v>0.2</v>
      </c>
      <c r="AE1003">
        <v>16</v>
      </c>
      <c r="AF1003" s="11">
        <v>5.5625000000000036E-2</v>
      </c>
    </row>
    <row r="1004" spans="1:32" x14ac:dyDescent="0.3">
      <c r="A1004" t="s">
        <v>148</v>
      </c>
      <c r="B1004" t="s">
        <v>16</v>
      </c>
      <c r="C1004">
        <v>4.51</v>
      </c>
      <c r="D1004">
        <v>318.13</v>
      </c>
      <c r="E1004">
        <v>1.81</v>
      </c>
      <c r="F1004">
        <v>1.85</v>
      </c>
      <c r="G1004">
        <v>0.55000000000000004</v>
      </c>
      <c r="H1004">
        <v>0.77</v>
      </c>
      <c r="I1004">
        <v>2.0249999999999999</v>
      </c>
      <c r="J1004">
        <v>49.3</v>
      </c>
      <c r="K1004" t="s">
        <v>45</v>
      </c>
      <c r="L1004" t="s">
        <v>51</v>
      </c>
      <c r="M1004">
        <v>3</v>
      </c>
      <c r="N1004">
        <v>55.78</v>
      </c>
      <c r="O1004">
        <v>7.5</v>
      </c>
      <c r="P1004">
        <v>1.61</v>
      </c>
      <c r="Q1004" t="s">
        <v>52</v>
      </c>
      <c r="R1004">
        <v>60</v>
      </c>
      <c r="S1004">
        <v>24</v>
      </c>
      <c r="T1004">
        <v>400</v>
      </c>
      <c r="U1004">
        <v>4</v>
      </c>
      <c r="V1004" s="7">
        <v>0.76159409213113394</v>
      </c>
      <c r="W1004">
        <v>79</v>
      </c>
      <c r="X1004">
        <v>4.5999999999999999E-3</v>
      </c>
      <c r="Y1004">
        <v>0.23300000000000001</v>
      </c>
      <c r="Z1004">
        <v>7.5</v>
      </c>
      <c r="AA1004">
        <v>4.2</v>
      </c>
      <c r="AB1004">
        <v>25</v>
      </c>
      <c r="AC1004" s="17">
        <v>0.33</v>
      </c>
      <c r="AD1004">
        <f t="shared" si="32"/>
        <v>0.2</v>
      </c>
      <c r="AE1004">
        <v>16</v>
      </c>
      <c r="AF1004" s="11">
        <v>0.11537500000000001</v>
      </c>
    </row>
    <row r="1005" spans="1:32" x14ac:dyDescent="0.3">
      <c r="A1005" t="s">
        <v>148</v>
      </c>
      <c r="B1005" t="s">
        <v>16</v>
      </c>
      <c r="C1005">
        <v>4.51</v>
      </c>
      <c r="D1005">
        <v>318.13</v>
      </c>
      <c r="E1005">
        <v>1.81</v>
      </c>
      <c r="F1005">
        <v>1.85</v>
      </c>
      <c r="G1005">
        <v>0.55000000000000004</v>
      </c>
      <c r="H1005">
        <v>0.77</v>
      </c>
      <c r="I1005">
        <v>2.0249999999999999</v>
      </c>
      <c r="J1005">
        <v>49.3</v>
      </c>
      <c r="K1005" t="s">
        <v>45</v>
      </c>
      <c r="L1005" t="s">
        <v>51</v>
      </c>
      <c r="M1005">
        <v>3</v>
      </c>
      <c r="N1005">
        <v>55.78</v>
      </c>
      <c r="O1005">
        <v>7.5</v>
      </c>
      <c r="P1005">
        <v>1.61</v>
      </c>
      <c r="Q1005" t="s">
        <v>52</v>
      </c>
      <c r="R1005">
        <v>60</v>
      </c>
      <c r="S1005">
        <v>24</v>
      </c>
      <c r="T1005">
        <v>400</v>
      </c>
      <c r="U1005">
        <v>4</v>
      </c>
      <c r="V1005" s="7">
        <v>0.76159409213113394</v>
      </c>
      <c r="W1005">
        <v>79</v>
      </c>
      <c r="X1005">
        <v>4.5999999999999999E-3</v>
      </c>
      <c r="Y1005">
        <v>0.23300000000000001</v>
      </c>
      <c r="Z1005">
        <v>7.5</v>
      </c>
      <c r="AA1005">
        <v>4.2</v>
      </c>
      <c r="AB1005">
        <v>25</v>
      </c>
      <c r="AC1005" s="17">
        <v>0.5</v>
      </c>
      <c r="AD1005">
        <f t="shared" si="32"/>
        <v>0.2</v>
      </c>
      <c r="AE1005">
        <v>16</v>
      </c>
      <c r="AF1005" s="11">
        <v>0.19087500000000002</v>
      </c>
    </row>
    <row r="1006" spans="1:32" x14ac:dyDescent="0.3">
      <c r="A1006" t="s">
        <v>148</v>
      </c>
      <c r="B1006" t="s">
        <v>16</v>
      </c>
      <c r="C1006">
        <v>4.51</v>
      </c>
      <c r="D1006">
        <v>318.13</v>
      </c>
      <c r="E1006">
        <v>1.81</v>
      </c>
      <c r="F1006">
        <v>1.85</v>
      </c>
      <c r="G1006">
        <v>0.55000000000000004</v>
      </c>
      <c r="H1006">
        <v>0.77</v>
      </c>
      <c r="I1006">
        <v>2.0249999999999999</v>
      </c>
      <c r="J1006">
        <v>49.3</v>
      </c>
      <c r="K1006" t="s">
        <v>45</v>
      </c>
      <c r="L1006" t="s">
        <v>51</v>
      </c>
      <c r="M1006">
        <v>3</v>
      </c>
      <c r="N1006">
        <v>55.78</v>
      </c>
      <c r="O1006">
        <v>7.5</v>
      </c>
      <c r="P1006">
        <v>1.61</v>
      </c>
      <c r="Q1006" t="s">
        <v>52</v>
      </c>
      <c r="R1006">
        <v>60</v>
      </c>
      <c r="S1006">
        <v>24</v>
      </c>
      <c r="T1006">
        <v>400</v>
      </c>
      <c r="U1006">
        <v>4</v>
      </c>
      <c r="V1006" s="7">
        <v>0.76159409213113394</v>
      </c>
      <c r="W1006">
        <v>79</v>
      </c>
      <c r="X1006">
        <v>4.5999999999999999E-3</v>
      </c>
      <c r="Y1006">
        <v>0.23300000000000001</v>
      </c>
      <c r="Z1006">
        <v>7.5</v>
      </c>
      <c r="AA1006">
        <v>4.2</v>
      </c>
      <c r="AB1006">
        <v>25</v>
      </c>
      <c r="AC1006" s="17">
        <v>0.83</v>
      </c>
      <c r="AD1006">
        <f t="shared" si="32"/>
        <v>0.2</v>
      </c>
      <c r="AE1006">
        <v>16</v>
      </c>
      <c r="AF1006" s="11">
        <v>0.34987499999999994</v>
      </c>
    </row>
    <row r="1007" spans="1:32" x14ac:dyDescent="0.3">
      <c r="A1007" t="s">
        <v>148</v>
      </c>
      <c r="B1007" t="s">
        <v>16</v>
      </c>
      <c r="C1007">
        <v>4.51</v>
      </c>
      <c r="D1007">
        <v>318.13</v>
      </c>
      <c r="E1007">
        <v>1.81</v>
      </c>
      <c r="F1007">
        <v>1.85</v>
      </c>
      <c r="G1007">
        <v>0.55000000000000004</v>
      </c>
      <c r="H1007">
        <v>0.77</v>
      </c>
      <c r="I1007">
        <v>2.0249999999999999</v>
      </c>
      <c r="J1007">
        <v>49.3</v>
      </c>
      <c r="K1007" t="s">
        <v>45</v>
      </c>
      <c r="L1007" t="s">
        <v>51</v>
      </c>
      <c r="M1007">
        <v>3</v>
      </c>
      <c r="N1007">
        <v>55.78</v>
      </c>
      <c r="O1007">
        <v>7.5</v>
      </c>
      <c r="P1007">
        <v>1.61</v>
      </c>
      <c r="Q1007" t="s">
        <v>52</v>
      </c>
      <c r="R1007">
        <v>60</v>
      </c>
      <c r="S1007">
        <v>24</v>
      </c>
      <c r="T1007">
        <v>400</v>
      </c>
      <c r="U1007">
        <v>4</v>
      </c>
      <c r="V1007" s="7">
        <v>0.76159409213113394</v>
      </c>
      <c r="W1007">
        <v>79</v>
      </c>
      <c r="X1007">
        <v>4.5999999999999999E-3</v>
      </c>
      <c r="Y1007">
        <v>0.23300000000000001</v>
      </c>
      <c r="Z1007">
        <v>7.5</v>
      </c>
      <c r="AA1007">
        <v>4.2</v>
      </c>
      <c r="AB1007">
        <v>25</v>
      </c>
      <c r="AC1007" s="17">
        <v>1.17</v>
      </c>
      <c r="AD1007">
        <f t="shared" si="32"/>
        <v>0.2</v>
      </c>
      <c r="AE1007">
        <v>16</v>
      </c>
      <c r="AF1007" s="11">
        <v>0.44937500000000008</v>
      </c>
    </row>
    <row r="1008" spans="1:32" x14ac:dyDescent="0.3">
      <c r="A1008" t="s">
        <v>148</v>
      </c>
      <c r="B1008" t="s">
        <v>16</v>
      </c>
      <c r="C1008">
        <v>4.51</v>
      </c>
      <c r="D1008">
        <v>318.13</v>
      </c>
      <c r="E1008">
        <v>1.81</v>
      </c>
      <c r="F1008">
        <v>1.85</v>
      </c>
      <c r="G1008">
        <v>0.55000000000000004</v>
      </c>
      <c r="H1008">
        <v>0.77</v>
      </c>
      <c r="I1008">
        <v>2.0249999999999999</v>
      </c>
      <c r="J1008">
        <v>49.3</v>
      </c>
      <c r="K1008" t="s">
        <v>45</v>
      </c>
      <c r="L1008" t="s">
        <v>51</v>
      </c>
      <c r="M1008">
        <v>3</v>
      </c>
      <c r="N1008">
        <v>55.78</v>
      </c>
      <c r="O1008">
        <v>7.5</v>
      </c>
      <c r="P1008">
        <v>1.61</v>
      </c>
      <c r="Q1008" t="s">
        <v>52</v>
      </c>
      <c r="R1008">
        <v>60</v>
      </c>
      <c r="S1008">
        <v>24</v>
      </c>
      <c r="T1008">
        <v>400</v>
      </c>
      <c r="U1008">
        <v>4</v>
      </c>
      <c r="V1008" s="7">
        <v>0.76159409213113394</v>
      </c>
      <c r="W1008">
        <v>79</v>
      </c>
      <c r="X1008">
        <v>4.5999999999999999E-3</v>
      </c>
      <c r="Y1008">
        <v>0.23300000000000001</v>
      </c>
      <c r="Z1008">
        <v>7.5</v>
      </c>
      <c r="AA1008">
        <v>4.2</v>
      </c>
      <c r="AB1008">
        <v>25</v>
      </c>
      <c r="AC1008" s="17">
        <v>2</v>
      </c>
      <c r="AD1008">
        <f t="shared" si="32"/>
        <v>0.2</v>
      </c>
      <c r="AE1008">
        <v>16</v>
      </c>
      <c r="AF1008" s="11">
        <v>0.59650000000000003</v>
      </c>
    </row>
    <row r="1009" spans="1:32" x14ac:dyDescent="0.3">
      <c r="A1009" t="s">
        <v>148</v>
      </c>
      <c r="B1009" t="s">
        <v>16</v>
      </c>
      <c r="C1009">
        <v>4.51</v>
      </c>
      <c r="D1009">
        <v>318.13</v>
      </c>
      <c r="E1009">
        <v>1.81</v>
      </c>
      <c r="F1009">
        <v>1.85</v>
      </c>
      <c r="G1009">
        <v>0.55000000000000004</v>
      </c>
      <c r="H1009">
        <v>0.77</v>
      </c>
      <c r="I1009">
        <v>2.0249999999999999</v>
      </c>
      <c r="J1009">
        <v>49.3</v>
      </c>
      <c r="K1009" t="s">
        <v>45</v>
      </c>
      <c r="L1009" t="s">
        <v>51</v>
      </c>
      <c r="M1009">
        <v>3</v>
      </c>
      <c r="N1009">
        <v>55.78</v>
      </c>
      <c r="O1009">
        <v>7.5</v>
      </c>
      <c r="P1009">
        <v>1.61</v>
      </c>
      <c r="Q1009" t="s">
        <v>52</v>
      </c>
      <c r="R1009">
        <v>60</v>
      </c>
      <c r="S1009">
        <v>24</v>
      </c>
      <c r="T1009">
        <v>400</v>
      </c>
      <c r="U1009">
        <v>4</v>
      </c>
      <c r="V1009" s="7">
        <v>0.76159409213113394</v>
      </c>
      <c r="W1009">
        <v>79</v>
      </c>
      <c r="X1009">
        <v>4.5999999999999999E-3</v>
      </c>
      <c r="Y1009">
        <v>0.23300000000000001</v>
      </c>
      <c r="Z1009">
        <v>7.5</v>
      </c>
      <c r="AA1009">
        <v>4.2</v>
      </c>
      <c r="AB1009">
        <v>25</v>
      </c>
      <c r="AC1009" s="17">
        <v>3</v>
      </c>
      <c r="AD1009">
        <f t="shared" si="32"/>
        <v>0.2</v>
      </c>
      <c r="AE1009">
        <v>16</v>
      </c>
      <c r="AF1009" s="11">
        <v>0.77937500000000004</v>
      </c>
    </row>
    <row r="1010" spans="1:32" x14ac:dyDescent="0.3">
      <c r="A1010" t="s">
        <v>148</v>
      </c>
      <c r="B1010" t="s">
        <v>16</v>
      </c>
      <c r="C1010">
        <v>4.51</v>
      </c>
      <c r="D1010">
        <v>318.13</v>
      </c>
      <c r="E1010">
        <v>1.81</v>
      </c>
      <c r="F1010">
        <v>1.85</v>
      </c>
      <c r="G1010">
        <v>0.55000000000000004</v>
      </c>
      <c r="H1010">
        <v>0.77</v>
      </c>
      <c r="I1010">
        <v>2.0249999999999999</v>
      </c>
      <c r="J1010">
        <v>49.3</v>
      </c>
      <c r="K1010" t="s">
        <v>45</v>
      </c>
      <c r="L1010" t="s">
        <v>51</v>
      </c>
      <c r="M1010">
        <v>3</v>
      </c>
      <c r="N1010">
        <v>55.78</v>
      </c>
      <c r="O1010">
        <v>7.5</v>
      </c>
      <c r="P1010">
        <v>1.61</v>
      </c>
      <c r="Q1010" t="s">
        <v>52</v>
      </c>
      <c r="R1010">
        <v>60</v>
      </c>
      <c r="S1010">
        <v>24</v>
      </c>
      <c r="T1010">
        <v>400</v>
      </c>
      <c r="U1010">
        <v>4</v>
      </c>
      <c r="V1010" s="7">
        <v>0.76159409213113394</v>
      </c>
      <c r="W1010">
        <v>79</v>
      </c>
      <c r="X1010">
        <v>4.5999999999999999E-3</v>
      </c>
      <c r="Y1010">
        <v>0.23300000000000001</v>
      </c>
      <c r="Z1010">
        <v>7.5</v>
      </c>
      <c r="AA1010">
        <v>4.2</v>
      </c>
      <c r="AB1010">
        <v>25</v>
      </c>
      <c r="AC1010" s="17">
        <v>5.17</v>
      </c>
      <c r="AD1010">
        <f t="shared" si="32"/>
        <v>0.2</v>
      </c>
      <c r="AE1010">
        <v>16</v>
      </c>
      <c r="AF1010" s="11">
        <v>0.88275000000000015</v>
      </c>
    </row>
    <row r="1011" spans="1:32" x14ac:dyDescent="0.3">
      <c r="A1011" t="s">
        <v>148</v>
      </c>
      <c r="B1011" t="s">
        <v>16</v>
      </c>
      <c r="C1011">
        <v>4.51</v>
      </c>
      <c r="D1011">
        <v>318.13</v>
      </c>
      <c r="E1011">
        <v>1.81</v>
      </c>
      <c r="F1011">
        <v>1.85</v>
      </c>
      <c r="G1011">
        <v>0.55000000000000004</v>
      </c>
      <c r="H1011">
        <v>0.77</v>
      </c>
      <c r="I1011">
        <v>2.0249999999999999</v>
      </c>
      <c r="J1011">
        <v>49.3</v>
      </c>
      <c r="K1011" t="s">
        <v>45</v>
      </c>
      <c r="L1011" t="s">
        <v>51</v>
      </c>
      <c r="M1011">
        <v>3</v>
      </c>
      <c r="N1011">
        <v>55.78</v>
      </c>
      <c r="O1011">
        <v>7.5</v>
      </c>
      <c r="P1011">
        <v>1.61</v>
      </c>
      <c r="Q1011" t="s">
        <v>52</v>
      </c>
      <c r="R1011">
        <v>60</v>
      </c>
      <c r="S1011">
        <v>24</v>
      </c>
      <c r="T1011">
        <v>400</v>
      </c>
      <c r="U1011">
        <v>4</v>
      </c>
      <c r="V1011" s="7">
        <v>0.76159409213113394</v>
      </c>
      <c r="W1011">
        <v>79</v>
      </c>
      <c r="X1011">
        <v>4.5999999999999999E-3</v>
      </c>
      <c r="Y1011">
        <v>0.23300000000000001</v>
      </c>
      <c r="Z1011">
        <v>7.5</v>
      </c>
      <c r="AA1011">
        <v>4.2</v>
      </c>
      <c r="AB1011">
        <v>25</v>
      </c>
      <c r="AC1011" s="17">
        <v>7</v>
      </c>
      <c r="AD1011">
        <f t="shared" si="32"/>
        <v>0.2</v>
      </c>
      <c r="AE1011">
        <v>16</v>
      </c>
      <c r="AF1011" s="11">
        <v>0.84299999999999997</v>
      </c>
    </row>
    <row r="1012" spans="1:32" x14ac:dyDescent="0.3">
      <c r="A1012" t="s">
        <v>148</v>
      </c>
      <c r="B1012" t="s">
        <v>16</v>
      </c>
      <c r="C1012">
        <v>4.51</v>
      </c>
      <c r="D1012">
        <v>318.13</v>
      </c>
      <c r="E1012">
        <v>1.81</v>
      </c>
      <c r="F1012">
        <v>1.85</v>
      </c>
      <c r="G1012">
        <v>0.55000000000000004</v>
      </c>
      <c r="H1012">
        <v>0.77</v>
      </c>
      <c r="I1012">
        <v>2.0249999999999999</v>
      </c>
      <c r="J1012">
        <v>49.3</v>
      </c>
      <c r="K1012" t="s">
        <v>45</v>
      </c>
      <c r="L1012" t="s">
        <v>51</v>
      </c>
      <c r="M1012">
        <v>3</v>
      </c>
      <c r="N1012">
        <v>55.78</v>
      </c>
      <c r="O1012">
        <v>7.5</v>
      </c>
      <c r="P1012">
        <v>1.61</v>
      </c>
      <c r="Q1012" t="s">
        <v>52</v>
      </c>
      <c r="R1012">
        <v>60</v>
      </c>
      <c r="S1012">
        <v>24</v>
      </c>
      <c r="T1012">
        <v>400</v>
      </c>
      <c r="U1012">
        <v>4</v>
      </c>
      <c r="V1012" s="7">
        <v>0.76159409213113394</v>
      </c>
      <c r="W1012">
        <v>79</v>
      </c>
      <c r="X1012">
        <v>4.5999999999999999E-3</v>
      </c>
      <c r="Y1012">
        <v>0.23300000000000001</v>
      </c>
      <c r="Z1012">
        <v>7.5</v>
      </c>
      <c r="AA1012">
        <v>4.2</v>
      </c>
      <c r="AB1012">
        <v>25</v>
      </c>
      <c r="AC1012" s="17">
        <v>8</v>
      </c>
      <c r="AD1012">
        <f t="shared" si="32"/>
        <v>0.2</v>
      </c>
      <c r="AE1012">
        <v>16</v>
      </c>
      <c r="AF1012" s="11">
        <v>0.83912500000000001</v>
      </c>
    </row>
    <row r="1013" spans="1:32" x14ac:dyDescent="0.3">
      <c r="A1013" t="s">
        <v>148</v>
      </c>
      <c r="B1013" t="s">
        <v>16</v>
      </c>
      <c r="C1013">
        <v>4.51</v>
      </c>
      <c r="D1013">
        <v>318.13</v>
      </c>
      <c r="E1013">
        <v>1.81</v>
      </c>
      <c r="F1013">
        <v>1.85</v>
      </c>
      <c r="G1013">
        <v>0.55000000000000004</v>
      </c>
      <c r="H1013">
        <v>0.77</v>
      </c>
      <c r="I1013">
        <v>2.0249999999999999</v>
      </c>
      <c r="J1013">
        <v>49.3</v>
      </c>
      <c r="K1013" t="s">
        <v>45</v>
      </c>
      <c r="L1013" t="s">
        <v>51</v>
      </c>
      <c r="M1013">
        <v>3</v>
      </c>
      <c r="N1013">
        <v>55.78</v>
      </c>
      <c r="O1013">
        <v>7.5</v>
      </c>
      <c r="P1013">
        <v>1.61</v>
      </c>
      <c r="Q1013" t="s">
        <v>52</v>
      </c>
      <c r="R1013">
        <v>60</v>
      </c>
      <c r="S1013">
        <v>24</v>
      </c>
      <c r="T1013">
        <v>400</v>
      </c>
      <c r="U1013">
        <v>4</v>
      </c>
      <c r="V1013" s="7">
        <v>0.76159409213113394</v>
      </c>
      <c r="W1013">
        <v>79</v>
      </c>
      <c r="X1013">
        <v>4.5999999999999999E-3</v>
      </c>
      <c r="Y1013">
        <v>0.23300000000000001</v>
      </c>
      <c r="Z1013">
        <v>7.5</v>
      </c>
      <c r="AA1013">
        <v>4.2</v>
      </c>
      <c r="AB1013">
        <v>25</v>
      </c>
      <c r="AC1013" s="17">
        <v>0.17</v>
      </c>
      <c r="AD1013">
        <f t="shared" si="32"/>
        <v>0.2</v>
      </c>
      <c r="AE1013">
        <v>24</v>
      </c>
      <c r="AF1013" s="11">
        <v>0.17499999999999996</v>
      </c>
    </row>
    <row r="1014" spans="1:32" x14ac:dyDescent="0.3">
      <c r="A1014" t="s">
        <v>148</v>
      </c>
      <c r="B1014" t="s">
        <v>16</v>
      </c>
      <c r="C1014">
        <v>4.51</v>
      </c>
      <c r="D1014">
        <v>318.13</v>
      </c>
      <c r="E1014">
        <v>1.81</v>
      </c>
      <c r="F1014">
        <v>1.85</v>
      </c>
      <c r="G1014">
        <v>0.55000000000000004</v>
      </c>
      <c r="H1014">
        <v>0.77</v>
      </c>
      <c r="I1014">
        <v>2.0249999999999999</v>
      </c>
      <c r="J1014">
        <v>49.3</v>
      </c>
      <c r="K1014" t="s">
        <v>45</v>
      </c>
      <c r="L1014" t="s">
        <v>51</v>
      </c>
      <c r="M1014">
        <v>3</v>
      </c>
      <c r="N1014">
        <v>55.78</v>
      </c>
      <c r="O1014">
        <v>7.5</v>
      </c>
      <c r="P1014">
        <v>1.61</v>
      </c>
      <c r="Q1014" t="s">
        <v>52</v>
      </c>
      <c r="R1014">
        <v>60</v>
      </c>
      <c r="S1014">
        <v>24</v>
      </c>
      <c r="T1014">
        <v>400</v>
      </c>
      <c r="U1014">
        <v>4</v>
      </c>
      <c r="V1014" s="7">
        <v>0.76159409213113394</v>
      </c>
      <c r="W1014">
        <v>79</v>
      </c>
      <c r="X1014">
        <v>4.5999999999999999E-3</v>
      </c>
      <c r="Y1014">
        <v>0.23300000000000001</v>
      </c>
      <c r="Z1014">
        <v>7.5</v>
      </c>
      <c r="AA1014">
        <v>4.2</v>
      </c>
      <c r="AB1014">
        <v>25</v>
      </c>
      <c r="AC1014" s="17">
        <v>0.33</v>
      </c>
      <c r="AD1014">
        <f t="shared" si="32"/>
        <v>0.2</v>
      </c>
      <c r="AE1014">
        <v>24</v>
      </c>
      <c r="AF1014" s="11">
        <v>0.34991666666666671</v>
      </c>
    </row>
    <row r="1015" spans="1:32" x14ac:dyDescent="0.3">
      <c r="A1015" t="s">
        <v>148</v>
      </c>
      <c r="B1015" t="s">
        <v>16</v>
      </c>
      <c r="C1015">
        <v>4.51</v>
      </c>
      <c r="D1015">
        <v>318.13</v>
      </c>
      <c r="E1015">
        <v>1.81</v>
      </c>
      <c r="F1015">
        <v>1.85</v>
      </c>
      <c r="G1015">
        <v>0.55000000000000004</v>
      </c>
      <c r="H1015">
        <v>0.77</v>
      </c>
      <c r="I1015">
        <v>2.0249999999999999</v>
      </c>
      <c r="J1015">
        <v>49.3</v>
      </c>
      <c r="K1015" t="s">
        <v>45</v>
      </c>
      <c r="L1015" t="s">
        <v>51</v>
      </c>
      <c r="M1015">
        <v>3</v>
      </c>
      <c r="N1015">
        <v>55.78</v>
      </c>
      <c r="O1015">
        <v>7.5</v>
      </c>
      <c r="P1015">
        <v>1.61</v>
      </c>
      <c r="Q1015" t="s">
        <v>52</v>
      </c>
      <c r="R1015">
        <v>60</v>
      </c>
      <c r="S1015">
        <v>24</v>
      </c>
      <c r="T1015">
        <v>400</v>
      </c>
      <c r="U1015">
        <v>4</v>
      </c>
      <c r="V1015" s="7">
        <v>0.76159409213113394</v>
      </c>
      <c r="W1015">
        <v>79</v>
      </c>
      <c r="X1015">
        <v>4.5999999999999999E-3</v>
      </c>
      <c r="Y1015">
        <v>0.23300000000000001</v>
      </c>
      <c r="Z1015">
        <v>7.5</v>
      </c>
      <c r="AA1015">
        <v>4.2</v>
      </c>
      <c r="AB1015">
        <v>25</v>
      </c>
      <c r="AC1015" s="17">
        <v>0.5</v>
      </c>
      <c r="AD1015">
        <f t="shared" si="32"/>
        <v>0.2</v>
      </c>
      <c r="AE1015">
        <v>24</v>
      </c>
      <c r="AF1015" s="11">
        <v>0.43475000000000003</v>
      </c>
    </row>
    <row r="1016" spans="1:32" x14ac:dyDescent="0.3">
      <c r="A1016" t="s">
        <v>148</v>
      </c>
      <c r="B1016" t="s">
        <v>16</v>
      </c>
      <c r="C1016">
        <v>4.51</v>
      </c>
      <c r="D1016">
        <v>318.13</v>
      </c>
      <c r="E1016">
        <v>1.81</v>
      </c>
      <c r="F1016">
        <v>1.85</v>
      </c>
      <c r="G1016">
        <v>0.55000000000000004</v>
      </c>
      <c r="H1016">
        <v>0.77</v>
      </c>
      <c r="I1016">
        <v>2.0249999999999999</v>
      </c>
      <c r="J1016">
        <v>49.3</v>
      </c>
      <c r="K1016" t="s">
        <v>45</v>
      </c>
      <c r="L1016" t="s">
        <v>51</v>
      </c>
      <c r="M1016">
        <v>3</v>
      </c>
      <c r="N1016">
        <v>55.78</v>
      </c>
      <c r="O1016">
        <v>7.5</v>
      </c>
      <c r="P1016">
        <v>1.61</v>
      </c>
      <c r="Q1016" t="s">
        <v>52</v>
      </c>
      <c r="R1016">
        <v>60</v>
      </c>
      <c r="S1016">
        <v>24</v>
      </c>
      <c r="T1016">
        <v>400</v>
      </c>
      <c r="U1016">
        <v>4</v>
      </c>
      <c r="V1016" s="7">
        <v>0.76159409213113394</v>
      </c>
      <c r="W1016">
        <v>79</v>
      </c>
      <c r="X1016">
        <v>4.5999999999999999E-3</v>
      </c>
      <c r="Y1016">
        <v>0.23300000000000001</v>
      </c>
      <c r="Z1016">
        <v>7.5</v>
      </c>
      <c r="AA1016">
        <v>4.2</v>
      </c>
      <c r="AB1016">
        <v>25</v>
      </c>
      <c r="AC1016" s="17">
        <v>0.67</v>
      </c>
      <c r="AD1016">
        <f t="shared" si="32"/>
        <v>0.2</v>
      </c>
      <c r="AE1016">
        <v>24</v>
      </c>
      <c r="AF1016" s="11">
        <v>0.49575000000000008</v>
      </c>
    </row>
    <row r="1017" spans="1:32" x14ac:dyDescent="0.3">
      <c r="A1017" t="s">
        <v>148</v>
      </c>
      <c r="B1017" t="s">
        <v>16</v>
      </c>
      <c r="C1017">
        <v>4.51</v>
      </c>
      <c r="D1017">
        <v>318.13</v>
      </c>
      <c r="E1017">
        <v>1.81</v>
      </c>
      <c r="F1017">
        <v>1.85</v>
      </c>
      <c r="G1017">
        <v>0.55000000000000004</v>
      </c>
      <c r="H1017">
        <v>0.77</v>
      </c>
      <c r="I1017">
        <v>2.0249999999999999</v>
      </c>
      <c r="J1017">
        <v>49.3</v>
      </c>
      <c r="K1017" t="s">
        <v>45</v>
      </c>
      <c r="L1017" t="s">
        <v>51</v>
      </c>
      <c r="M1017">
        <v>3</v>
      </c>
      <c r="N1017">
        <v>55.78</v>
      </c>
      <c r="O1017">
        <v>7.5</v>
      </c>
      <c r="P1017">
        <v>1.61</v>
      </c>
      <c r="Q1017" t="s">
        <v>52</v>
      </c>
      <c r="R1017">
        <v>60</v>
      </c>
      <c r="S1017">
        <v>24</v>
      </c>
      <c r="T1017">
        <v>400</v>
      </c>
      <c r="U1017">
        <v>4</v>
      </c>
      <c r="V1017" s="7">
        <v>0.76159409213113394</v>
      </c>
      <c r="W1017">
        <v>79</v>
      </c>
      <c r="X1017">
        <v>4.5999999999999999E-3</v>
      </c>
      <c r="Y1017">
        <v>0.23300000000000001</v>
      </c>
      <c r="Z1017">
        <v>7.5</v>
      </c>
      <c r="AA1017">
        <v>4.2</v>
      </c>
      <c r="AB1017">
        <v>25</v>
      </c>
      <c r="AC1017" s="17">
        <v>0.83</v>
      </c>
      <c r="AD1017">
        <f t="shared" si="32"/>
        <v>0.2</v>
      </c>
      <c r="AE1017">
        <v>24</v>
      </c>
      <c r="AF1017" s="11">
        <v>0.5195833333333334</v>
      </c>
    </row>
    <row r="1018" spans="1:32" x14ac:dyDescent="0.3">
      <c r="A1018" t="s">
        <v>148</v>
      </c>
      <c r="B1018" t="s">
        <v>16</v>
      </c>
      <c r="C1018">
        <v>4.51</v>
      </c>
      <c r="D1018">
        <v>318.13</v>
      </c>
      <c r="E1018">
        <v>1.81</v>
      </c>
      <c r="F1018">
        <v>1.85</v>
      </c>
      <c r="G1018">
        <v>0.55000000000000004</v>
      </c>
      <c r="H1018">
        <v>0.77</v>
      </c>
      <c r="I1018">
        <v>2.0249999999999999</v>
      </c>
      <c r="J1018">
        <v>49.3</v>
      </c>
      <c r="K1018" t="s">
        <v>45</v>
      </c>
      <c r="L1018" t="s">
        <v>51</v>
      </c>
      <c r="M1018">
        <v>3</v>
      </c>
      <c r="N1018">
        <v>55.78</v>
      </c>
      <c r="O1018">
        <v>7.5</v>
      </c>
      <c r="P1018">
        <v>1.61</v>
      </c>
      <c r="Q1018" t="s">
        <v>52</v>
      </c>
      <c r="R1018">
        <v>60</v>
      </c>
      <c r="S1018">
        <v>24</v>
      </c>
      <c r="T1018">
        <v>400</v>
      </c>
      <c r="U1018">
        <v>4</v>
      </c>
      <c r="V1018" s="7">
        <v>0.76159409213113394</v>
      </c>
      <c r="W1018">
        <v>79</v>
      </c>
      <c r="X1018">
        <v>4.5999999999999999E-3</v>
      </c>
      <c r="Y1018">
        <v>0.23300000000000001</v>
      </c>
      <c r="Z1018">
        <v>7.5</v>
      </c>
      <c r="AA1018">
        <v>4.2</v>
      </c>
      <c r="AB1018">
        <v>25</v>
      </c>
      <c r="AC1018" s="17">
        <v>1.17</v>
      </c>
      <c r="AD1018">
        <f t="shared" si="32"/>
        <v>0.2</v>
      </c>
      <c r="AE1018">
        <v>24</v>
      </c>
      <c r="AF1018" s="11">
        <v>0.57000000000000006</v>
      </c>
    </row>
    <row r="1019" spans="1:32" x14ac:dyDescent="0.3">
      <c r="A1019" t="s">
        <v>148</v>
      </c>
      <c r="B1019" t="s">
        <v>16</v>
      </c>
      <c r="C1019">
        <v>4.51</v>
      </c>
      <c r="D1019">
        <v>318.13</v>
      </c>
      <c r="E1019">
        <v>1.81</v>
      </c>
      <c r="F1019">
        <v>1.85</v>
      </c>
      <c r="G1019">
        <v>0.55000000000000004</v>
      </c>
      <c r="H1019">
        <v>0.77</v>
      </c>
      <c r="I1019">
        <v>2.0249999999999999</v>
      </c>
      <c r="J1019">
        <v>49.3</v>
      </c>
      <c r="K1019" t="s">
        <v>45</v>
      </c>
      <c r="L1019" t="s">
        <v>51</v>
      </c>
      <c r="M1019">
        <v>3</v>
      </c>
      <c r="N1019">
        <v>55.78</v>
      </c>
      <c r="O1019">
        <v>7.5</v>
      </c>
      <c r="P1019">
        <v>1.61</v>
      </c>
      <c r="Q1019" t="s">
        <v>52</v>
      </c>
      <c r="R1019">
        <v>60</v>
      </c>
      <c r="S1019">
        <v>24</v>
      </c>
      <c r="T1019">
        <v>400</v>
      </c>
      <c r="U1019">
        <v>4</v>
      </c>
      <c r="V1019" s="7">
        <v>0.76159409213113394</v>
      </c>
      <c r="W1019">
        <v>79</v>
      </c>
      <c r="X1019">
        <v>4.5999999999999999E-3</v>
      </c>
      <c r="Y1019">
        <v>0.23300000000000001</v>
      </c>
      <c r="Z1019">
        <v>7.5</v>
      </c>
      <c r="AA1019">
        <v>4.2</v>
      </c>
      <c r="AB1019">
        <v>25</v>
      </c>
      <c r="AC1019" s="17">
        <v>1.5</v>
      </c>
      <c r="AD1019">
        <f t="shared" si="32"/>
        <v>0.2</v>
      </c>
      <c r="AE1019">
        <v>24</v>
      </c>
      <c r="AF1019" s="11">
        <v>0.60708333333333331</v>
      </c>
    </row>
    <row r="1020" spans="1:32" x14ac:dyDescent="0.3">
      <c r="A1020" t="s">
        <v>148</v>
      </c>
      <c r="B1020" t="s">
        <v>16</v>
      </c>
      <c r="C1020">
        <v>4.51</v>
      </c>
      <c r="D1020">
        <v>318.13</v>
      </c>
      <c r="E1020">
        <v>1.81</v>
      </c>
      <c r="F1020">
        <v>1.85</v>
      </c>
      <c r="G1020">
        <v>0.55000000000000004</v>
      </c>
      <c r="H1020">
        <v>0.77</v>
      </c>
      <c r="I1020">
        <v>2.0249999999999999</v>
      </c>
      <c r="J1020">
        <v>49.3</v>
      </c>
      <c r="K1020" t="s">
        <v>45</v>
      </c>
      <c r="L1020" t="s">
        <v>51</v>
      </c>
      <c r="M1020">
        <v>3</v>
      </c>
      <c r="N1020">
        <v>55.78</v>
      </c>
      <c r="O1020">
        <v>7.5</v>
      </c>
      <c r="P1020">
        <v>1.61</v>
      </c>
      <c r="Q1020" t="s">
        <v>52</v>
      </c>
      <c r="R1020">
        <v>60</v>
      </c>
      <c r="S1020">
        <v>24</v>
      </c>
      <c r="T1020">
        <v>400</v>
      </c>
      <c r="U1020">
        <v>4</v>
      </c>
      <c r="V1020" s="7">
        <v>0.76159409213113394</v>
      </c>
      <c r="W1020">
        <v>79</v>
      </c>
      <c r="X1020">
        <v>4.5999999999999999E-3</v>
      </c>
      <c r="Y1020">
        <v>0.23300000000000001</v>
      </c>
      <c r="Z1020">
        <v>7.5</v>
      </c>
      <c r="AA1020">
        <v>4.2</v>
      </c>
      <c r="AB1020">
        <v>25</v>
      </c>
      <c r="AC1020" s="17">
        <v>2</v>
      </c>
      <c r="AD1020">
        <f t="shared" si="32"/>
        <v>0.2</v>
      </c>
      <c r="AE1020">
        <v>24</v>
      </c>
      <c r="AF1020" s="11">
        <v>0.63358333333333339</v>
      </c>
    </row>
    <row r="1021" spans="1:32" x14ac:dyDescent="0.3">
      <c r="A1021" t="s">
        <v>148</v>
      </c>
      <c r="B1021" t="s">
        <v>16</v>
      </c>
      <c r="C1021">
        <v>4.51</v>
      </c>
      <c r="D1021">
        <v>318.13</v>
      </c>
      <c r="E1021">
        <v>1.81</v>
      </c>
      <c r="F1021">
        <v>1.85</v>
      </c>
      <c r="G1021">
        <v>0.55000000000000004</v>
      </c>
      <c r="H1021">
        <v>0.77</v>
      </c>
      <c r="I1021">
        <v>2.0249999999999999</v>
      </c>
      <c r="J1021">
        <v>49.3</v>
      </c>
      <c r="K1021" t="s">
        <v>45</v>
      </c>
      <c r="L1021" t="s">
        <v>51</v>
      </c>
      <c r="M1021">
        <v>3</v>
      </c>
      <c r="N1021">
        <v>55.78</v>
      </c>
      <c r="O1021">
        <v>7.5</v>
      </c>
      <c r="P1021">
        <v>1.61</v>
      </c>
      <c r="Q1021" t="s">
        <v>52</v>
      </c>
      <c r="R1021">
        <v>60</v>
      </c>
      <c r="S1021">
        <v>24</v>
      </c>
      <c r="T1021">
        <v>400</v>
      </c>
      <c r="U1021">
        <v>4</v>
      </c>
      <c r="V1021" s="7">
        <v>0.76159409213113394</v>
      </c>
      <c r="W1021">
        <v>79</v>
      </c>
      <c r="X1021">
        <v>4.5999999999999999E-3</v>
      </c>
      <c r="Y1021">
        <v>0.23300000000000001</v>
      </c>
      <c r="Z1021">
        <v>7.5</v>
      </c>
      <c r="AA1021">
        <v>4.2</v>
      </c>
      <c r="AB1021">
        <v>25</v>
      </c>
      <c r="AC1021" s="17">
        <v>3</v>
      </c>
      <c r="AD1021">
        <f t="shared" si="32"/>
        <v>0.2</v>
      </c>
      <c r="AE1021">
        <v>24</v>
      </c>
      <c r="AF1021" s="11">
        <v>0.65750000000000008</v>
      </c>
    </row>
    <row r="1022" spans="1:32" x14ac:dyDescent="0.3">
      <c r="A1022" t="s">
        <v>148</v>
      </c>
      <c r="B1022" t="s">
        <v>16</v>
      </c>
      <c r="C1022">
        <v>4.51</v>
      </c>
      <c r="D1022">
        <v>318.13</v>
      </c>
      <c r="E1022">
        <v>1.81</v>
      </c>
      <c r="F1022">
        <v>1.85</v>
      </c>
      <c r="G1022">
        <v>0.55000000000000004</v>
      </c>
      <c r="H1022">
        <v>0.77</v>
      </c>
      <c r="I1022">
        <v>2.0249999999999999</v>
      </c>
      <c r="J1022">
        <v>49.3</v>
      </c>
      <c r="K1022" t="s">
        <v>45</v>
      </c>
      <c r="L1022" t="s">
        <v>51</v>
      </c>
      <c r="M1022">
        <v>3</v>
      </c>
      <c r="N1022">
        <v>55.78</v>
      </c>
      <c r="O1022">
        <v>7.5</v>
      </c>
      <c r="P1022">
        <v>1.61</v>
      </c>
      <c r="Q1022" t="s">
        <v>52</v>
      </c>
      <c r="R1022">
        <v>60</v>
      </c>
      <c r="S1022">
        <v>24</v>
      </c>
      <c r="T1022">
        <v>400</v>
      </c>
      <c r="U1022">
        <v>4</v>
      </c>
      <c r="V1022" s="7">
        <v>0.76159409213113394</v>
      </c>
      <c r="W1022">
        <v>79</v>
      </c>
      <c r="X1022">
        <v>4.5999999999999999E-3</v>
      </c>
      <c r="Y1022">
        <v>0.23300000000000001</v>
      </c>
      <c r="Z1022">
        <v>7.5</v>
      </c>
      <c r="AA1022">
        <v>4.2</v>
      </c>
      <c r="AB1022">
        <v>25</v>
      </c>
      <c r="AC1022" s="17">
        <v>4.5</v>
      </c>
      <c r="AD1022">
        <f t="shared" si="32"/>
        <v>0.2</v>
      </c>
      <c r="AE1022">
        <v>24</v>
      </c>
      <c r="AF1022" s="11">
        <v>0.66275000000000006</v>
      </c>
    </row>
    <row r="1023" spans="1:32" x14ac:dyDescent="0.3">
      <c r="A1023" t="s">
        <v>148</v>
      </c>
      <c r="B1023" t="s">
        <v>16</v>
      </c>
      <c r="C1023">
        <v>4.51</v>
      </c>
      <c r="D1023">
        <v>318.13</v>
      </c>
      <c r="E1023">
        <v>1.81</v>
      </c>
      <c r="F1023">
        <v>1.85</v>
      </c>
      <c r="G1023">
        <v>0.55000000000000004</v>
      </c>
      <c r="H1023">
        <v>0.77</v>
      </c>
      <c r="I1023">
        <v>2.0249999999999999</v>
      </c>
      <c r="J1023">
        <v>49.3</v>
      </c>
      <c r="K1023" t="s">
        <v>45</v>
      </c>
      <c r="L1023" t="s">
        <v>51</v>
      </c>
      <c r="M1023">
        <v>3</v>
      </c>
      <c r="N1023">
        <v>55.78</v>
      </c>
      <c r="O1023">
        <v>7.5</v>
      </c>
      <c r="P1023">
        <v>1.61</v>
      </c>
      <c r="Q1023" t="s">
        <v>52</v>
      </c>
      <c r="R1023">
        <v>60</v>
      </c>
      <c r="S1023">
        <v>24</v>
      </c>
      <c r="T1023">
        <v>400</v>
      </c>
      <c r="U1023">
        <v>4</v>
      </c>
      <c r="V1023" s="7">
        <v>0.76159409213113394</v>
      </c>
      <c r="W1023">
        <v>79</v>
      </c>
      <c r="X1023">
        <v>4.5999999999999999E-3</v>
      </c>
      <c r="Y1023">
        <v>0.23300000000000001</v>
      </c>
      <c r="Z1023">
        <v>7.5</v>
      </c>
      <c r="AA1023">
        <v>4.2</v>
      </c>
      <c r="AB1023">
        <v>25</v>
      </c>
      <c r="AC1023" s="17">
        <v>6.5</v>
      </c>
      <c r="AD1023">
        <f t="shared" si="32"/>
        <v>0.2</v>
      </c>
      <c r="AE1023">
        <v>24</v>
      </c>
      <c r="AF1023" s="11">
        <v>0.64683333333333337</v>
      </c>
    </row>
    <row r="1024" spans="1:32" x14ac:dyDescent="0.3">
      <c r="A1024" t="s">
        <v>148</v>
      </c>
      <c r="B1024" t="s">
        <v>16</v>
      </c>
      <c r="C1024">
        <v>4.51</v>
      </c>
      <c r="D1024">
        <v>318.13</v>
      </c>
      <c r="E1024">
        <v>1.81</v>
      </c>
      <c r="F1024">
        <v>1.85</v>
      </c>
      <c r="G1024">
        <v>0.55000000000000004</v>
      </c>
      <c r="H1024">
        <v>0.77</v>
      </c>
      <c r="I1024">
        <v>2.0249999999999999</v>
      </c>
      <c r="J1024">
        <v>49.3</v>
      </c>
      <c r="K1024" t="s">
        <v>45</v>
      </c>
      <c r="L1024" t="s">
        <v>51</v>
      </c>
      <c r="M1024">
        <v>3</v>
      </c>
      <c r="N1024">
        <v>55.78</v>
      </c>
      <c r="O1024">
        <v>7.5</v>
      </c>
      <c r="P1024">
        <v>1.61</v>
      </c>
      <c r="Q1024" t="s">
        <v>52</v>
      </c>
      <c r="R1024">
        <v>60</v>
      </c>
      <c r="S1024">
        <v>24</v>
      </c>
      <c r="T1024">
        <v>400</v>
      </c>
      <c r="U1024">
        <v>4</v>
      </c>
      <c r="V1024" s="7">
        <v>0.76159409213113394</v>
      </c>
      <c r="W1024">
        <v>79</v>
      </c>
      <c r="X1024">
        <v>4.5999999999999999E-3</v>
      </c>
      <c r="Y1024">
        <v>0.23300000000000001</v>
      </c>
      <c r="Z1024">
        <v>7.5</v>
      </c>
      <c r="AA1024">
        <v>4.2</v>
      </c>
      <c r="AB1024">
        <v>25</v>
      </c>
      <c r="AC1024" s="17">
        <v>8</v>
      </c>
      <c r="AD1024">
        <f t="shared" si="32"/>
        <v>0.2</v>
      </c>
      <c r="AE1024">
        <v>24</v>
      </c>
      <c r="AF1024" s="11">
        <v>0.66275000000000006</v>
      </c>
    </row>
    <row r="1025" spans="1:32" x14ac:dyDescent="0.3">
      <c r="A1025" t="s">
        <v>148</v>
      </c>
      <c r="B1025" t="s">
        <v>16</v>
      </c>
      <c r="C1025">
        <v>4.51</v>
      </c>
      <c r="D1025">
        <v>318.13</v>
      </c>
      <c r="E1025">
        <v>1.81</v>
      </c>
      <c r="F1025">
        <v>1.85</v>
      </c>
      <c r="G1025">
        <v>0.55000000000000004</v>
      </c>
      <c r="H1025">
        <v>0.77</v>
      </c>
      <c r="I1025">
        <v>2.0249999999999999</v>
      </c>
      <c r="J1025">
        <v>49.3</v>
      </c>
      <c r="K1025" t="s">
        <v>45</v>
      </c>
      <c r="L1025" t="s">
        <v>149</v>
      </c>
      <c r="M1025">
        <v>3</v>
      </c>
      <c r="N1025">
        <v>61.002000000000002</v>
      </c>
      <c r="O1025">
        <v>7.75</v>
      </c>
      <c r="P1025" s="13">
        <v>1.6225000000000001</v>
      </c>
      <c r="Q1025" t="s">
        <v>52</v>
      </c>
      <c r="R1025">
        <v>60</v>
      </c>
      <c r="S1025">
        <v>24</v>
      </c>
      <c r="T1025">
        <v>400</v>
      </c>
      <c r="U1025">
        <v>4</v>
      </c>
      <c r="V1025" s="7">
        <v>0.75191335925997893</v>
      </c>
      <c r="W1025">
        <v>100</v>
      </c>
      <c r="X1025">
        <v>4.1000000000000003E-3</v>
      </c>
      <c r="Y1025">
        <v>1.64</v>
      </c>
      <c r="Z1025">
        <v>7.5</v>
      </c>
      <c r="AA1025">
        <v>4.2</v>
      </c>
      <c r="AB1025">
        <v>25</v>
      </c>
      <c r="AC1025" s="21">
        <v>0.17</v>
      </c>
      <c r="AD1025">
        <f>25/250</f>
        <v>0.1</v>
      </c>
      <c r="AE1025">
        <v>24</v>
      </c>
      <c r="AF1025" s="11">
        <v>7.9541666666666622E-2</v>
      </c>
    </row>
    <row r="1026" spans="1:32" x14ac:dyDescent="0.3">
      <c r="A1026" t="s">
        <v>148</v>
      </c>
      <c r="B1026" t="s">
        <v>16</v>
      </c>
      <c r="C1026">
        <v>4.51</v>
      </c>
      <c r="D1026">
        <v>318.13</v>
      </c>
      <c r="E1026">
        <v>1.81</v>
      </c>
      <c r="F1026">
        <v>1.85</v>
      </c>
      <c r="G1026">
        <v>0.55000000000000004</v>
      </c>
      <c r="H1026">
        <v>0.77</v>
      </c>
      <c r="I1026">
        <v>2.0249999999999999</v>
      </c>
      <c r="J1026">
        <v>49.3</v>
      </c>
      <c r="K1026" t="s">
        <v>45</v>
      </c>
      <c r="L1026" t="s">
        <v>149</v>
      </c>
      <c r="M1026">
        <v>3</v>
      </c>
      <c r="N1026">
        <v>61.002000000000002</v>
      </c>
      <c r="O1026">
        <v>7.75</v>
      </c>
      <c r="P1026" s="13">
        <v>1.6225000000000001</v>
      </c>
      <c r="Q1026" t="s">
        <v>52</v>
      </c>
      <c r="R1026">
        <v>60</v>
      </c>
      <c r="S1026">
        <v>24</v>
      </c>
      <c r="T1026">
        <v>400</v>
      </c>
      <c r="U1026">
        <v>4</v>
      </c>
      <c r="V1026" s="7">
        <v>0.75191335925997893</v>
      </c>
      <c r="W1026">
        <v>100</v>
      </c>
      <c r="X1026">
        <v>4.1000000000000003E-3</v>
      </c>
      <c r="Y1026">
        <v>1.64</v>
      </c>
      <c r="Z1026">
        <v>7.5</v>
      </c>
      <c r="AA1026">
        <v>4.2</v>
      </c>
      <c r="AB1026">
        <v>25</v>
      </c>
      <c r="AC1026" s="21">
        <v>0.33</v>
      </c>
      <c r="AD1026">
        <f t="shared" ref="AD1026:AD1035" si="33">25/250</f>
        <v>0.1</v>
      </c>
      <c r="AE1026">
        <v>24</v>
      </c>
      <c r="AF1026" s="11">
        <v>0.15375000000000005</v>
      </c>
    </row>
    <row r="1027" spans="1:32" x14ac:dyDescent="0.3">
      <c r="A1027" t="s">
        <v>148</v>
      </c>
      <c r="B1027" t="s">
        <v>16</v>
      </c>
      <c r="C1027">
        <v>4.51</v>
      </c>
      <c r="D1027">
        <v>318.13</v>
      </c>
      <c r="E1027">
        <v>1.81</v>
      </c>
      <c r="F1027">
        <v>1.85</v>
      </c>
      <c r="G1027">
        <v>0.55000000000000004</v>
      </c>
      <c r="H1027">
        <v>0.77</v>
      </c>
      <c r="I1027">
        <v>2.0249999999999999</v>
      </c>
      <c r="J1027">
        <v>49.3</v>
      </c>
      <c r="K1027" t="s">
        <v>45</v>
      </c>
      <c r="L1027" t="s">
        <v>149</v>
      </c>
      <c r="M1027">
        <v>3</v>
      </c>
      <c r="N1027">
        <v>61.002000000000002</v>
      </c>
      <c r="O1027">
        <v>7.75</v>
      </c>
      <c r="P1027" s="13">
        <v>1.6225000000000001</v>
      </c>
      <c r="Q1027" t="s">
        <v>52</v>
      </c>
      <c r="R1027">
        <v>60</v>
      </c>
      <c r="S1027">
        <v>24</v>
      </c>
      <c r="T1027">
        <v>400</v>
      </c>
      <c r="U1027">
        <v>4</v>
      </c>
      <c r="V1027" s="7">
        <v>0.75191335925997893</v>
      </c>
      <c r="W1027">
        <v>100</v>
      </c>
      <c r="X1027">
        <v>4.1000000000000003E-3</v>
      </c>
      <c r="Y1027">
        <v>1.64</v>
      </c>
      <c r="Z1027">
        <v>7.5</v>
      </c>
      <c r="AA1027">
        <v>4.2</v>
      </c>
      <c r="AB1027">
        <v>25</v>
      </c>
      <c r="AC1027" s="20">
        <v>0.5</v>
      </c>
      <c r="AD1027">
        <f t="shared" si="33"/>
        <v>0.1</v>
      </c>
      <c r="AE1027">
        <v>24</v>
      </c>
      <c r="AF1027" s="11">
        <v>0.1961666666666666</v>
      </c>
    </row>
    <row r="1028" spans="1:32" x14ac:dyDescent="0.3">
      <c r="A1028" t="s">
        <v>148</v>
      </c>
      <c r="B1028" t="s">
        <v>16</v>
      </c>
      <c r="C1028">
        <v>4.51</v>
      </c>
      <c r="D1028">
        <v>318.13</v>
      </c>
      <c r="E1028">
        <v>1.81</v>
      </c>
      <c r="F1028">
        <v>1.85</v>
      </c>
      <c r="G1028">
        <v>0.55000000000000004</v>
      </c>
      <c r="H1028">
        <v>0.77</v>
      </c>
      <c r="I1028">
        <v>2.0249999999999999</v>
      </c>
      <c r="J1028">
        <v>49.3</v>
      </c>
      <c r="K1028" t="s">
        <v>45</v>
      </c>
      <c r="L1028" t="s">
        <v>149</v>
      </c>
      <c r="M1028">
        <v>3</v>
      </c>
      <c r="N1028">
        <v>61.002000000000002</v>
      </c>
      <c r="O1028">
        <v>7.75</v>
      </c>
      <c r="P1028" s="13">
        <v>1.6225000000000001</v>
      </c>
      <c r="Q1028" t="s">
        <v>52</v>
      </c>
      <c r="R1028">
        <v>60</v>
      </c>
      <c r="S1028">
        <v>24</v>
      </c>
      <c r="T1028">
        <v>400</v>
      </c>
      <c r="U1028">
        <v>4</v>
      </c>
      <c r="V1028" s="7">
        <v>0.75191335925997893</v>
      </c>
      <c r="W1028">
        <v>100</v>
      </c>
      <c r="X1028">
        <v>4.1000000000000003E-3</v>
      </c>
      <c r="Y1028">
        <v>1.64</v>
      </c>
      <c r="Z1028">
        <v>7.5</v>
      </c>
      <c r="AA1028">
        <v>4.2</v>
      </c>
      <c r="AB1028">
        <v>25</v>
      </c>
      <c r="AC1028" s="21">
        <v>0.67</v>
      </c>
      <c r="AD1028">
        <f t="shared" si="33"/>
        <v>0.1</v>
      </c>
      <c r="AE1028">
        <v>24</v>
      </c>
      <c r="AF1028" s="11">
        <v>0.22800000000000006</v>
      </c>
    </row>
    <row r="1029" spans="1:32" x14ac:dyDescent="0.3">
      <c r="A1029" t="s">
        <v>148</v>
      </c>
      <c r="B1029" t="s">
        <v>16</v>
      </c>
      <c r="C1029">
        <v>4.51</v>
      </c>
      <c r="D1029">
        <v>318.13</v>
      </c>
      <c r="E1029">
        <v>1.81</v>
      </c>
      <c r="F1029">
        <v>1.85</v>
      </c>
      <c r="G1029">
        <v>0.55000000000000004</v>
      </c>
      <c r="H1029">
        <v>0.77</v>
      </c>
      <c r="I1029">
        <v>2.0249999999999999</v>
      </c>
      <c r="J1029">
        <v>49.3</v>
      </c>
      <c r="K1029" t="s">
        <v>45</v>
      </c>
      <c r="L1029" t="s">
        <v>149</v>
      </c>
      <c r="M1029">
        <v>3</v>
      </c>
      <c r="N1029">
        <v>61.002000000000002</v>
      </c>
      <c r="O1029">
        <v>7.75</v>
      </c>
      <c r="P1029" s="13">
        <v>1.6225000000000001</v>
      </c>
      <c r="Q1029" t="s">
        <v>52</v>
      </c>
      <c r="R1029">
        <v>60</v>
      </c>
      <c r="S1029">
        <v>24</v>
      </c>
      <c r="T1029">
        <v>400</v>
      </c>
      <c r="U1029">
        <v>4</v>
      </c>
      <c r="V1029" s="7">
        <v>0.75191335925997893</v>
      </c>
      <c r="W1029">
        <v>100</v>
      </c>
      <c r="X1029">
        <v>4.1000000000000003E-3</v>
      </c>
      <c r="Y1029">
        <v>1.64</v>
      </c>
      <c r="Z1029">
        <v>7.5</v>
      </c>
      <c r="AA1029">
        <v>4.2</v>
      </c>
      <c r="AB1029">
        <v>25</v>
      </c>
      <c r="AC1029" s="18">
        <v>1</v>
      </c>
      <c r="AD1029">
        <f t="shared" si="33"/>
        <v>0.1</v>
      </c>
      <c r="AE1029">
        <v>24</v>
      </c>
      <c r="AF1029" s="11">
        <v>0.265125</v>
      </c>
    </row>
    <row r="1030" spans="1:32" x14ac:dyDescent="0.3">
      <c r="A1030" t="s">
        <v>148</v>
      </c>
      <c r="B1030" t="s">
        <v>16</v>
      </c>
      <c r="C1030">
        <v>4.51</v>
      </c>
      <c r="D1030">
        <v>318.13</v>
      </c>
      <c r="E1030">
        <v>1.81</v>
      </c>
      <c r="F1030">
        <v>1.85</v>
      </c>
      <c r="G1030">
        <v>0.55000000000000004</v>
      </c>
      <c r="H1030">
        <v>0.77</v>
      </c>
      <c r="I1030">
        <v>2.0249999999999999</v>
      </c>
      <c r="J1030">
        <v>49.3</v>
      </c>
      <c r="K1030" t="s">
        <v>45</v>
      </c>
      <c r="L1030" t="s">
        <v>149</v>
      </c>
      <c r="M1030">
        <v>3</v>
      </c>
      <c r="N1030">
        <v>61.002000000000002</v>
      </c>
      <c r="O1030">
        <v>7.75</v>
      </c>
      <c r="P1030" s="13">
        <v>1.6225000000000001</v>
      </c>
      <c r="Q1030" t="s">
        <v>52</v>
      </c>
      <c r="R1030">
        <v>60</v>
      </c>
      <c r="S1030">
        <v>24</v>
      </c>
      <c r="T1030">
        <v>400</v>
      </c>
      <c r="U1030">
        <v>4</v>
      </c>
      <c r="V1030" s="7">
        <v>0.75191335925997893</v>
      </c>
      <c r="W1030">
        <v>100</v>
      </c>
      <c r="X1030">
        <v>4.1000000000000003E-3</v>
      </c>
      <c r="Y1030">
        <v>1.64</v>
      </c>
      <c r="Z1030">
        <v>7.5</v>
      </c>
      <c r="AA1030">
        <v>4.2</v>
      </c>
      <c r="AB1030">
        <v>25</v>
      </c>
      <c r="AC1030" s="20">
        <v>1.5</v>
      </c>
      <c r="AD1030">
        <f t="shared" si="33"/>
        <v>0.1</v>
      </c>
      <c r="AE1030">
        <v>24</v>
      </c>
      <c r="AF1030" s="11">
        <v>0.30091666666666672</v>
      </c>
    </row>
    <row r="1031" spans="1:32" x14ac:dyDescent="0.3">
      <c r="A1031" t="s">
        <v>148</v>
      </c>
      <c r="B1031" t="s">
        <v>16</v>
      </c>
      <c r="C1031">
        <v>4.51</v>
      </c>
      <c r="D1031">
        <v>318.13</v>
      </c>
      <c r="E1031">
        <v>1.81</v>
      </c>
      <c r="F1031">
        <v>1.85</v>
      </c>
      <c r="G1031">
        <v>0.55000000000000004</v>
      </c>
      <c r="H1031">
        <v>0.77</v>
      </c>
      <c r="I1031">
        <v>2.0249999999999999</v>
      </c>
      <c r="J1031">
        <v>49.3</v>
      </c>
      <c r="K1031" t="s">
        <v>45</v>
      </c>
      <c r="L1031" t="s">
        <v>149</v>
      </c>
      <c r="M1031">
        <v>3</v>
      </c>
      <c r="N1031">
        <v>61.002000000000002</v>
      </c>
      <c r="O1031">
        <v>7.75</v>
      </c>
      <c r="P1031" s="13">
        <v>1.6225000000000001</v>
      </c>
      <c r="Q1031" t="s">
        <v>52</v>
      </c>
      <c r="R1031">
        <v>60</v>
      </c>
      <c r="S1031">
        <v>24</v>
      </c>
      <c r="T1031">
        <v>400</v>
      </c>
      <c r="U1031">
        <v>4</v>
      </c>
      <c r="V1031" s="7">
        <v>0.75191335925997893</v>
      </c>
      <c r="W1031">
        <v>100</v>
      </c>
      <c r="X1031">
        <v>4.1000000000000003E-3</v>
      </c>
      <c r="Y1031">
        <v>1.64</v>
      </c>
      <c r="Z1031">
        <v>7.5</v>
      </c>
      <c r="AA1031">
        <v>4.2</v>
      </c>
      <c r="AB1031">
        <v>25</v>
      </c>
      <c r="AC1031" s="18">
        <v>2</v>
      </c>
      <c r="AD1031">
        <f t="shared" si="33"/>
        <v>0.1</v>
      </c>
      <c r="AE1031">
        <v>24</v>
      </c>
      <c r="AF1031" s="11">
        <v>0.32741666666666669</v>
      </c>
    </row>
    <row r="1032" spans="1:32" x14ac:dyDescent="0.3">
      <c r="A1032" t="s">
        <v>148</v>
      </c>
      <c r="B1032" t="s">
        <v>16</v>
      </c>
      <c r="C1032">
        <v>4.51</v>
      </c>
      <c r="D1032">
        <v>318.13</v>
      </c>
      <c r="E1032">
        <v>1.81</v>
      </c>
      <c r="F1032">
        <v>1.85</v>
      </c>
      <c r="G1032">
        <v>0.55000000000000004</v>
      </c>
      <c r="H1032">
        <v>0.77</v>
      </c>
      <c r="I1032">
        <v>2.0249999999999999</v>
      </c>
      <c r="J1032">
        <v>49.3</v>
      </c>
      <c r="K1032" t="s">
        <v>45</v>
      </c>
      <c r="L1032" t="s">
        <v>149</v>
      </c>
      <c r="M1032">
        <v>3</v>
      </c>
      <c r="N1032">
        <v>61.002000000000002</v>
      </c>
      <c r="O1032">
        <v>7.75</v>
      </c>
      <c r="P1032" s="13">
        <v>1.6225000000000001</v>
      </c>
      <c r="Q1032" t="s">
        <v>52</v>
      </c>
      <c r="R1032">
        <v>60</v>
      </c>
      <c r="S1032">
        <v>24</v>
      </c>
      <c r="T1032">
        <v>400</v>
      </c>
      <c r="U1032">
        <v>4</v>
      </c>
      <c r="V1032" s="7">
        <v>0.75191335925997893</v>
      </c>
      <c r="W1032">
        <v>100</v>
      </c>
      <c r="X1032">
        <v>4.1000000000000003E-3</v>
      </c>
      <c r="Y1032">
        <v>1.64</v>
      </c>
      <c r="Z1032">
        <v>7.5</v>
      </c>
      <c r="AA1032">
        <v>4.2</v>
      </c>
      <c r="AB1032">
        <v>25</v>
      </c>
      <c r="AC1032" s="18">
        <v>3</v>
      </c>
      <c r="AD1032">
        <f t="shared" si="33"/>
        <v>0.1</v>
      </c>
      <c r="AE1032">
        <v>24</v>
      </c>
      <c r="AF1032" s="11">
        <v>0.35920833333333335</v>
      </c>
    </row>
    <row r="1033" spans="1:32" x14ac:dyDescent="0.3">
      <c r="A1033" t="s">
        <v>148</v>
      </c>
      <c r="B1033" t="s">
        <v>16</v>
      </c>
      <c r="C1033">
        <v>4.51</v>
      </c>
      <c r="D1033">
        <v>318.13</v>
      </c>
      <c r="E1033">
        <v>1.81</v>
      </c>
      <c r="F1033">
        <v>1.85</v>
      </c>
      <c r="G1033">
        <v>0.55000000000000004</v>
      </c>
      <c r="H1033">
        <v>0.77</v>
      </c>
      <c r="I1033">
        <v>2.0249999999999999</v>
      </c>
      <c r="J1033">
        <v>49.3</v>
      </c>
      <c r="K1033" t="s">
        <v>45</v>
      </c>
      <c r="L1033" t="s">
        <v>149</v>
      </c>
      <c r="M1033">
        <v>3</v>
      </c>
      <c r="N1033">
        <v>61.002000000000002</v>
      </c>
      <c r="O1033">
        <v>7.75</v>
      </c>
      <c r="P1033" s="13">
        <v>1.6225000000000001</v>
      </c>
      <c r="Q1033" t="s">
        <v>52</v>
      </c>
      <c r="R1033">
        <v>60</v>
      </c>
      <c r="S1033">
        <v>24</v>
      </c>
      <c r="T1033">
        <v>400</v>
      </c>
      <c r="U1033">
        <v>4</v>
      </c>
      <c r="V1033" s="7">
        <v>0.75191335925997893</v>
      </c>
      <c r="W1033">
        <v>100</v>
      </c>
      <c r="X1033">
        <v>4.1000000000000003E-3</v>
      </c>
      <c r="Y1033">
        <v>1.64</v>
      </c>
      <c r="Z1033">
        <v>7.5</v>
      </c>
      <c r="AA1033">
        <v>4.2</v>
      </c>
      <c r="AB1033">
        <v>25</v>
      </c>
      <c r="AC1033" s="18">
        <v>4</v>
      </c>
      <c r="AD1033">
        <f t="shared" si="33"/>
        <v>0.1</v>
      </c>
      <c r="AE1033">
        <v>24</v>
      </c>
      <c r="AF1033" s="11">
        <v>0.357875</v>
      </c>
    </row>
    <row r="1034" spans="1:32" x14ac:dyDescent="0.3">
      <c r="A1034" t="s">
        <v>148</v>
      </c>
      <c r="B1034" t="s">
        <v>16</v>
      </c>
      <c r="C1034">
        <v>4.51</v>
      </c>
      <c r="D1034">
        <v>318.13</v>
      </c>
      <c r="E1034">
        <v>1.81</v>
      </c>
      <c r="F1034">
        <v>1.85</v>
      </c>
      <c r="G1034">
        <v>0.55000000000000004</v>
      </c>
      <c r="H1034">
        <v>0.77</v>
      </c>
      <c r="I1034">
        <v>2.0249999999999999</v>
      </c>
      <c r="J1034">
        <v>49.3</v>
      </c>
      <c r="K1034" t="s">
        <v>45</v>
      </c>
      <c r="L1034" t="s">
        <v>149</v>
      </c>
      <c r="M1034">
        <v>3</v>
      </c>
      <c r="N1034">
        <v>61.002000000000002</v>
      </c>
      <c r="O1034">
        <v>7.75</v>
      </c>
      <c r="P1034" s="13">
        <v>1.6225000000000001</v>
      </c>
      <c r="Q1034" t="s">
        <v>52</v>
      </c>
      <c r="R1034">
        <v>60</v>
      </c>
      <c r="S1034">
        <v>24</v>
      </c>
      <c r="T1034">
        <v>400</v>
      </c>
      <c r="U1034">
        <v>4</v>
      </c>
      <c r="V1034" s="7">
        <v>0.75191335925997893</v>
      </c>
      <c r="W1034">
        <v>100</v>
      </c>
      <c r="X1034">
        <v>4.1000000000000003E-3</v>
      </c>
      <c r="Y1034">
        <v>1.64</v>
      </c>
      <c r="Z1034">
        <v>7.5</v>
      </c>
      <c r="AA1034">
        <v>4.2</v>
      </c>
      <c r="AB1034">
        <v>25</v>
      </c>
      <c r="AC1034" s="18">
        <v>5</v>
      </c>
      <c r="AD1034">
        <f t="shared" si="33"/>
        <v>0.1</v>
      </c>
      <c r="AE1034">
        <v>24</v>
      </c>
      <c r="AF1034" s="11">
        <v>0.36320833333333336</v>
      </c>
    </row>
    <row r="1035" spans="1:32" x14ac:dyDescent="0.3">
      <c r="A1035" t="s">
        <v>148</v>
      </c>
      <c r="B1035" t="s">
        <v>16</v>
      </c>
      <c r="C1035">
        <v>4.51</v>
      </c>
      <c r="D1035">
        <v>318.13</v>
      </c>
      <c r="E1035">
        <v>1.81</v>
      </c>
      <c r="F1035">
        <v>1.85</v>
      </c>
      <c r="G1035">
        <v>0.55000000000000004</v>
      </c>
      <c r="H1035">
        <v>0.77</v>
      </c>
      <c r="I1035">
        <v>2.0249999999999999</v>
      </c>
      <c r="J1035">
        <v>49.3</v>
      </c>
      <c r="K1035" t="s">
        <v>45</v>
      </c>
      <c r="L1035" t="s">
        <v>149</v>
      </c>
      <c r="M1035">
        <v>3</v>
      </c>
      <c r="N1035">
        <v>61.002000000000002</v>
      </c>
      <c r="O1035">
        <v>7.75</v>
      </c>
      <c r="P1035" s="13">
        <v>1.6225000000000001</v>
      </c>
      <c r="Q1035" t="s">
        <v>52</v>
      </c>
      <c r="R1035">
        <v>60</v>
      </c>
      <c r="S1035">
        <v>24</v>
      </c>
      <c r="T1035">
        <v>400</v>
      </c>
      <c r="U1035">
        <v>4</v>
      </c>
      <c r="V1035" s="7">
        <v>0.75191335925997893</v>
      </c>
      <c r="W1035">
        <v>100</v>
      </c>
      <c r="X1035">
        <v>4.1000000000000003E-3</v>
      </c>
      <c r="Y1035">
        <v>1.64</v>
      </c>
      <c r="Z1035">
        <v>7.5</v>
      </c>
      <c r="AA1035">
        <v>4.2</v>
      </c>
      <c r="AB1035">
        <v>25</v>
      </c>
      <c r="AC1035" s="18">
        <v>8</v>
      </c>
      <c r="AD1035">
        <f t="shared" si="33"/>
        <v>0.1</v>
      </c>
      <c r="AE1035">
        <v>24</v>
      </c>
      <c r="AF1035" s="11">
        <v>0.3605416666666667</v>
      </c>
    </row>
    <row r="1036" spans="1:32" x14ac:dyDescent="0.3">
      <c r="A1036" t="s">
        <v>148</v>
      </c>
      <c r="B1036" t="s">
        <v>16</v>
      </c>
      <c r="C1036">
        <v>4.51</v>
      </c>
      <c r="D1036">
        <v>318.13</v>
      </c>
      <c r="E1036">
        <v>1.81</v>
      </c>
      <c r="F1036">
        <v>1.85</v>
      </c>
      <c r="G1036">
        <v>0.55000000000000004</v>
      </c>
      <c r="H1036">
        <v>0.77</v>
      </c>
      <c r="I1036">
        <v>2.0249999999999999</v>
      </c>
      <c r="J1036">
        <v>49.3</v>
      </c>
      <c r="K1036" t="s">
        <v>45</v>
      </c>
      <c r="L1036" t="s">
        <v>149</v>
      </c>
      <c r="M1036">
        <v>3</v>
      </c>
      <c r="N1036">
        <v>61.002000000000002</v>
      </c>
      <c r="O1036">
        <v>7.75</v>
      </c>
      <c r="P1036" s="13">
        <v>1.6225000000000001</v>
      </c>
      <c r="Q1036" t="s">
        <v>52</v>
      </c>
      <c r="R1036">
        <v>60</v>
      </c>
      <c r="S1036">
        <v>24</v>
      </c>
      <c r="T1036">
        <v>400</v>
      </c>
      <c r="U1036">
        <v>4</v>
      </c>
      <c r="V1036" s="7">
        <v>0.75191335925997893</v>
      </c>
      <c r="W1036">
        <v>100</v>
      </c>
      <c r="X1036">
        <v>4.1000000000000003E-3</v>
      </c>
      <c r="Y1036">
        <v>1.64</v>
      </c>
      <c r="Z1036">
        <v>7.5</v>
      </c>
      <c r="AA1036">
        <v>4.2</v>
      </c>
      <c r="AB1036">
        <v>25</v>
      </c>
      <c r="AC1036" s="21">
        <v>0.17</v>
      </c>
      <c r="AD1036">
        <f t="shared" ref="AD1036:AD1048" si="34">50/250</f>
        <v>0.2</v>
      </c>
      <c r="AE1036">
        <v>24</v>
      </c>
      <c r="AF1036" s="11">
        <v>6.3666666666666608E-2</v>
      </c>
    </row>
    <row r="1037" spans="1:32" x14ac:dyDescent="0.3">
      <c r="A1037" t="s">
        <v>148</v>
      </c>
      <c r="B1037" t="s">
        <v>16</v>
      </c>
      <c r="C1037">
        <v>4.51</v>
      </c>
      <c r="D1037">
        <v>318.13</v>
      </c>
      <c r="E1037">
        <v>1.81</v>
      </c>
      <c r="F1037">
        <v>1.85</v>
      </c>
      <c r="G1037">
        <v>0.55000000000000004</v>
      </c>
      <c r="H1037">
        <v>0.77</v>
      </c>
      <c r="I1037">
        <v>2.0249999999999999</v>
      </c>
      <c r="J1037">
        <v>49.3</v>
      </c>
      <c r="K1037" t="s">
        <v>45</v>
      </c>
      <c r="L1037" t="s">
        <v>149</v>
      </c>
      <c r="M1037">
        <v>3</v>
      </c>
      <c r="N1037">
        <v>61.002000000000002</v>
      </c>
      <c r="O1037">
        <v>7.75</v>
      </c>
      <c r="P1037" s="13">
        <v>1.6225000000000001</v>
      </c>
      <c r="Q1037" t="s">
        <v>52</v>
      </c>
      <c r="R1037">
        <v>60</v>
      </c>
      <c r="S1037">
        <v>24</v>
      </c>
      <c r="T1037">
        <v>400</v>
      </c>
      <c r="U1037">
        <v>4</v>
      </c>
      <c r="V1037" s="7">
        <v>0.75191335925997893</v>
      </c>
      <c r="W1037">
        <v>100</v>
      </c>
      <c r="X1037">
        <v>4.1000000000000003E-3</v>
      </c>
      <c r="Y1037">
        <v>1.64</v>
      </c>
      <c r="Z1037">
        <v>7.5</v>
      </c>
      <c r="AA1037">
        <v>4.2</v>
      </c>
      <c r="AB1037">
        <v>25</v>
      </c>
      <c r="AC1037" s="21">
        <v>0.33</v>
      </c>
      <c r="AD1037">
        <f t="shared" si="34"/>
        <v>0.2</v>
      </c>
      <c r="AE1037">
        <v>24</v>
      </c>
      <c r="AF1037" s="11">
        <v>0.1961666666666666</v>
      </c>
    </row>
    <row r="1038" spans="1:32" x14ac:dyDescent="0.3">
      <c r="A1038" t="s">
        <v>148</v>
      </c>
      <c r="B1038" t="s">
        <v>16</v>
      </c>
      <c r="C1038">
        <v>4.51</v>
      </c>
      <c r="D1038">
        <v>318.13</v>
      </c>
      <c r="E1038">
        <v>1.81</v>
      </c>
      <c r="F1038">
        <v>1.85</v>
      </c>
      <c r="G1038">
        <v>0.55000000000000004</v>
      </c>
      <c r="H1038">
        <v>0.77</v>
      </c>
      <c r="I1038">
        <v>2.0249999999999999</v>
      </c>
      <c r="J1038">
        <v>49.3</v>
      </c>
      <c r="K1038" t="s">
        <v>45</v>
      </c>
      <c r="L1038" t="s">
        <v>149</v>
      </c>
      <c r="M1038">
        <v>3</v>
      </c>
      <c r="N1038">
        <v>61.002000000000002</v>
      </c>
      <c r="O1038">
        <v>7.75</v>
      </c>
      <c r="P1038" s="13">
        <v>1.6225000000000001</v>
      </c>
      <c r="Q1038" t="s">
        <v>52</v>
      </c>
      <c r="R1038">
        <v>60</v>
      </c>
      <c r="S1038">
        <v>24</v>
      </c>
      <c r="T1038">
        <v>400</v>
      </c>
      <c r="U1038">
        <v>4</v>
      </c>
      <c r="V1038" s="7">
        <v>0.75191335925997893</v>
      </c>
      <c r="W1038">
        <v>100</v>
      </c>
      <c r="X1038">
        <v>4.1000000000000003E-3</v>
      </c>
      <c r="Y1038">
        <v>1.64</v>
      </c>
      <c r="Z1038">
        <v>7.5</v>
      </c>
      <c r="AA1038">
        <v>4.2</v>
      </c>
      <c r="AB1038">
        <v>25</v>
      </c>
      <c r="AC1038" s="20">
        <v>0.5</v>
      </c>
      <c r="AD1038">
        <f t="shared" si="34"/>
        <v>0.2</v>
      </c>
      <c r="AE1038">
        <v>24</v>
      </c>
      <c r="AF1038" s="11">
        <v>0.2677500000000001</v>
      </c>
    </row>
    <row r="1039" spans="1:32" x14ac:dyDescent="0.3">
      <c r="A1039" t="s">
        <v>148</v>
      </c>
      <c r="B1039" t="s">
        <v>16</v>
      </c>
      <c r="C1039">
        <v>4.51</v>
      </c>
      <c r="D1039">
        <v>318.13</v>
      </c>
      <c r="E1039">
        <v>1.81</v>
      </c>
      <c r="F1039">
        <v>1.85</v>
      </c>
      <c r="G1039">
        <v>0.55000000000000004</v>
      </c>
      <c r="H1039">
        <v>0.77</v>
      </c>
      <c r="I1039">
        <v>2.0249999999999999</v>
      </c>
      <c r="J1039">
        <v>49.3</v>
      </c>
      <c r="K1039" t="s">
        <v>45</v>
      </c>
      <c r="L1039" t="s">
        <v>149</v>
      </c>
      <c r="M1039">
        <v>3</v>
      </c>
      <c r="N1039">
        <v>61.002000000000002</v>
      </c>
      <c r="O1039">
        <v>7.75</v>
      </c>
      <c r="P1039" s="13">
        <v>1.6225000000000001</v>
      </c>
      <c r="Q1039" t="s">
        <v>52</v>
      </c>
      <c r="R1039">
        <v>60</v>
      </c>
      <c r="S1039">
        <v>24</v>
      </c>
      <c r="T1039">
        <v>400</v>
      </c>
      <c r="U1039">
        <v>4</v>
      </c>
      <c r="V1039" s="7">
        <v>0.75191335925997893</v>
      </c>
      <c r="W1039">
        <v>100</v>
      </c>
      <c r="X1039">
        <v>4.1000000000000003E-3</v>
      </c>
      <c r="Y1039">
        <v>1.64</v>
      </c>
      <c r="Z1039">
        <v>7.5</v>
      </c>
      <c r="AA1039">
        <v>4.2</v>
      </c>
      <c r="AB1039">
        <v>25</v>
      </c>
      <c r="AC1039" s="21">
        <v>0.67</v>
      </c>
      <c r="AD1039">
        <f t="shared" si="34"/>
        <v>0.2</v>
      </c>
      <c r="AE1039">
        <v>24</v>
      </c>
      <c r="AF1039" s="11">
        <v>0.31016666666666665</v>
      </c>
    </row>
    <row r="1040" spans="1:32" x14ac:dyDescent="0.3">
      <c r="A1040" t="s">
        <v>148</v>
      </c>
      <c r="B1040" t="s">
        <v>16</v>
      </c>
      <c r="C1040">
        <v>4.51</v>
      </c>
      <c r="D1040">
        <v>318.13</v>
      </c>
      <c r="E1040">
        <v>1.81</v>
      </c>
      <c r="F1040">
        <v>1.85</v>
      </c>
      <c r="G1040">
        <v>0.55000000000000004</v>
      </c>
      <c r="H1040">
        <v>0.77</v>
      </c>
      <c r="I1040">
        <v>2.0249999999999999</v>
      </c>
      <c r="J1040">
        <v>49.3</v>
      </c>
      <c r="K1040" t="s">
        <v>45</v>
      </c>
      <c r="L1040" t="s">
        <v>149</v>
      </c>
      <c r="M1040">
        <v>3</v>
      </c>
      <c r="N1040">
        <v>61.002000000000002</v>
      </c>
      <c r="O1040">
        <v>7.75</v>
      </c>
      <c r="P1040" s="13">
        <v>1.6225000000000001</v>
      </c>
      <c r="Q1040" t="s">
        <v>52</v>
      </c>
      <c r="R1040">
        <v>60</v>
      </c>
      <c r="S1040">
        <v>24</v>
      </c>
      <c r="T1040">
        <v>400</v>
      </c>
      <c r="U1040">
        <v>4</v>
      </c>
      <c r="V1040" s="7">
        <v>0.75191335925997893</v>
      </c>
      <c r="W1040">
        <v>100</v>
      </c>
      <c r="X1040">
        <v>4.1000000000000003E-3</v>
      </c>
      <c r="Y1040">
        <v>1.64</v>
      </c>
      <c r="Z1040">
        <v>7.5</v>
      </c>
      <c r="AA1040">
        <v>4.2</v>
      </c>
      <c r="AB1040">
        <v>25</v>
      </c>
      <c r="AC1040" s="21">
        <v>0.83</v>
      </c>
      <c r="AD1040">
        <f t="shared" si="34"/>
        <v>0.2</v>
      </c>
      <c r="AE1040">
        <v>24</v>
      </c>
      <c r="AF1040" s="11">
        <v>0.33666666666666667</v>
      </c>
    </row>
    <row r="1041" spans="1:32" x14ac:dyDescent="0.3">
      <c r="A1041" t="s">
        <v>148</v>
      </c>
      <c r="B1041" t="s">
        <v>16</v>
      </c>
      <c r="C1041">
        <v>4.51</v>
      </c>
      <c r="D1041">
        <v>318.13</v>
      </c>
      <c r="E1041">
        <v>1.81</v>
      </c>
      <c r="F1041">
        <v>1.85</v>
      </c>
      <c r="G1041">
        <v>0.55000000000000004</v>
      </c>
      <c r="H1041">
        <v>0.77</v>
      </c>
      <c r="I1041">
        <v>2.0249999999999999</v>
      </c>
      <c r="J1041">
        <v>49.3</v>
      </c>
      <c r="K1041" t="s">
        <v>45</v>
      </c>
      <c r="L1041" t="s">
        <v>149</v>
      </c>
      <c r="M1041">
        <v>3</v>
      </c>
      <c r="N1041">
        <v>61.002000000000002</v>
      </c>
      <c r="O1041">
        <v>7.75</v>
      </c>
      <c r="P1041" s="13">
        <v>1.6225000000000001</v>
      </c>
      <c r="Q1041" t="s">
        <v>52</v>
      </c>
      <c r="R1041">
        <v>60</v>
      </c>
      <c r="S1041">
        <v>24</v>
      </c>
      <c r="T1041">
        <v>400</v>
      </c>
      <c r="U1041">
        <v>4</v>
      </c>
      <c r="V1041" s="7">
        <v>0.75191335925997893</v>
      </c>
      <c r="W1041">
        <v>100</v>
      </c>
      <c r="X1041">
        <v>4.1000000000000003E-3</v>
      </c>
      <c r="Y1041">
        <v>1.64</v>
      </c>
      <c r="Z1041">
        <v>7.5</v>
      </c>
      <c r="AA1041">
        <v>4.2</v>
      </c>
      <c r="AB1041">
        <v>25</v>
      </c>
      <c r="AC1041" s="18">
        <v>1</v>
      </c>
      <c r="AD1041">
        <f t="shared" si="34"/>
        <v>0.2</v>
      </c>
      <c r="AE1041">
        <v>24</v>
      </c>
      <c r="AF1041" s="11">
        <v>0.36849999999999999</v>
      </c>
    </row>
    <row r="1042" spans="1:32" x14ac:dyDescent="0.3">
      <c r="A1042" t="s">
        <v>148</v>
      </c>
      <c r="B1042" t="s">
        <v>16</v>
      </c>
      <c r="C1042">
        <v>4.51</v>
      </c>
      <c r="D1042">
        <v>318.13</v>
      </c>
      <c r="E1042">
        <v>1.81</v>
      </c>
      <c r="F1042">
        <v>1.85</v>
      </c>
      <c r="G1042">
        <v>0.55000000000000004</v>
      </c>
      <c r="H1042">
        <v>0.77</v>
      </c>
      <c r="I1042">
        <v>2.0249999999999999</v>
      </c>
      <c r="J1042">
        <v>49.3</v>
      </c>
      <c r="K1042" t="s">
        <v>45</v>
      </c>
      <c r="L1042" t="s">
        <v>149</v>
      </c>
      <c r="M1042">
        <v>3</v>
      </c>
      <c r="N1042">
        <v>61.002000000000002</v>
      </c>
      <c r="O1042">
        <v>7.75</v>
      </c>
      <c r="P1042" s="13">
        <v>1.6225000000000001</v>
      </c>
      <c r="Q1042" t="s">
        <v>52</v>
      </c>
      <c r="R1042">
        <v>60</v>
      </c>
      <c r="S1042">
        <v>24</v>
      </c>
      <c r="T1042">
        <v>400</v>
      </c>
      <c r="U1042">
        <v>4</v>
      </c>
      <c r="V1042" s="7">
        <v>0.75191335925997893</v>
      </c>
      <c r="W1042">
        <v>100</v>
      </c>
      <c r="X1042">
        <v>4.1000000000000003E-3</v>
      </c>
      <c r="Y1042">
        <v>1.64</v>
      </c>
      <c r="Z1042">
        <v>7.5</v>
      </c>
      <c r="AA1042">
        <v>4.2</v>
      </c>
      <c r="AB1042">
        <v>25</v>
      </c>
      <c r="AC1042" s="20">
        <v>1.5</v>
      </c>
      <c r="AD1042">
        <f t="shared" si="34"/>
        <v>0.2</v>
      </c>
      <c r="AE1042">
        <v>24</v>
      </c>
      <c r="AF1042" s="11">
        <v>0.44008333333333338</v>
      </c>
    </row>
    <row r="1043" spans="1:32" x14ac:dyDescent="0.3">
      <c r="A1043" t="s">
        <v>148</v>
      </c>
      <c r="B1043" t="s">
        <v>16</v>
      </c>
      <c r="C1043">
        <v>4.51</v>
      </c>
      <c r="D1043">
        <v>318.13</v>
      </c>
      <c r="E1043">
        <v>1.81</v>
      </c>
      <c r="F1043">
        <v>1.85</v>
      </c>
      <c r="G1043">
        <v>0.55000000000000004</v>
      </c>
      <c r="H1043">
        <v>0.77</v>
      </c>
      <c r="I1043">
        <v>2.0249999999999999</v>
      </c>
      <c r="J1043">
        <v>49.3</v>
      </c>
      <c r="K1043" t="s">
        <v>45</v>
      </c>
      <c r="L1043" t="s">
        <v>149</v>
      </c>
      <c r="M1043">
        <v>3</v>
      </c>
      <c r="N1043">
        <v>61.002000000000002</v>
      </c>
      <c r="O1043">
        <v>7.75</v>
      </c>
      <c r="P1043" s="13">
        <v>1.6225000000000001</v>
      </c>
      <c r="Q1043" t="s">
        <v>52</v>
      </c>
      <c r="R1043">
        <v>60</v>
      </c>
      <c r="S1043">
        <v>24</v>
      </c>
      <c r="T1043">
        <v>400</v>
      </c>
      <c r="U1043">
        <v>4</v>
      </c>
      <c r="V1043" s="7">
        <v>0.75191335925997893</v>
      </c>
      <c r="W1043">
        <v>100</v>
      </c>
      <c r="X1043">
        <v>4.1000000000000003E-3</v>
      </c>
      <c r="Y1043">
        <v>1.64</v>
      </c>
      <c r="Z1043">
        <v>7.5</v>
      </c>
      <c r="AA1043">
        <v>4.2</v>
      </c>
      <c r="AB1043">
        <v>25</v>
      </c>
      <c r="AC1043" s="18">
        <v>2</v>
      </c>
      <c r="AD1043">
        <f t="shared" si="34"/>
        <v>0.2</v>
      </c>
      <c r="AE1043">
        <v>24</v>
      </c>
      <c r="AF1043" s="11">
        <v>0.50108333333333344</v>
      </c>
    </row>
    <row r="1044" spans="1:32" x14ac:dyDescent="0.3">
      <c r="A1044" t="s">
        <v>148</v>
      </c>
      <c r="B1044" t="s">
        <v>16</v>
      </c>
      <c r="C1044">
        <v>4.51</v>
      </c>
      <c r="D1044">
        <v>318.13</v>
      </c>
      <c r="E1044">
        <v>1.81</v>
      </c>
      <c r="F1044">
        <v>1.85</v>
      </c>
      <c r="G1044">
        <v>0.55000000000000004</v>
      </c>
      <c r="H1044">
        <v>0.77</v>
      </c>
      <c r="I1044">
        <v>2.0249999999999999</v>
      </c>
      <c r="J1044">
        <v>49.3</v>
      </c>
      <c r="K1044" t="s">
        <v>45</v>
      </c>
      <c r="L1044" t="s">
        <v>149</v>
      </c>
      <c r="M1044">
        <v>3</v>
      </c>
      <c r="N1044">
        <v>61.002000000000002</v>
      </c>
      <c r="O1044">
        <v>7.75</v>
      </c>
      <c r="P1044" s="13">
        <v>1.6225000000000001</v>
      </c>
      <c r="Q1044" t="s">
        <v>52</v>
      </c>
      <c r="R1044">
        <v>60</v>
      </c>
      <c r="S1044">
        <v>24</v>
      </c>
      <c r="T1044">
        <v>400</v>
      </c>
      <c r="U1044">
        <v>4</v>
      </c>
      <c r="V1044" s="7">
        <v>0.75191335925997893</v>
      </c>
      <c r="W1044">
        <v>100</v>
      </c>
      <c r="X1044">
        <v>4.1000000000000003E-3</v>
      </c>
      <c r="Y1044">
        <v>1.64</v>
      </c>
      <c r="Z1044">
        <v>7.5</v>
      </c>
      <c r="AA1044">
        <v>4.2</v>
      </c>
      <c r="AB1044">
        <v>25</v>
      </c>
      <c r="AC1044" s="18">
        <v>3</v>
      </c>
      <c r="AD1044">
        <f t="shared" si="34"/>
        <v>0.2</v>
      </c>
      <c r="AE1044">
        <v>24</v>
      </c>
      <c r="AF1044" s="11">
        <v>0.55408333333333337</v>
      </c>
    </row>
    <row r="1045" spans="1:32" x14ac:dyDescent="0.3">
      <c r="A1045" t="s">
        <v>148</v>
      </c>
      <c r="B1045" t="s">
        <v>16</v>
      </c>
      <c r="C1045">
        <v>4.51</v>
      </c>
      <c r="D1045">
        <v>318.13</v>
      </c>
      <c r="E1045">
        <v>1.81</v>
      </c>
      <c r="F1045">
        <v>1.85</v>
      </c>
      <c r="G1045">
        <v>0.55000000000000004</v>
      </c>
      <c r="H1045">
        <v>0.77</v>
      </c>
      <c r="I1045">
        <v>2.0249999999999999</v>
      </c>
      <c r="J1045">
        <v>49.3</v>
      </c>
      <c r="K1045" t="s">
        <v>45</v>
      </c>
      <c r="L1045" t="s">
        <v>149</v>
      </c>
      <c r="M1045">
        <v>3</v>
      </c>
      <c r="N1045">
        <v>61.002000000000002</v>
      </c>
      <c r="O1045">
        <v>7.75</v>
      </c>
      <c r="P1045" s="13">
        <v>1.6225000000000001</v>
      </c>
      <c r="Q1045" t="s">
        <v>52</v>
      </c>
      <c r="R1045">
        <v>60</v>
      </c>
      <c r="S1045">
        <v>24</v>
      </c>
      <c r="T1045">
        <v>400</v>
      </c>
      <c r="U1045">
        <v>4</v>
      </c>
      <c r="V1045" s="7">
        <v>0.75191335925997893</v>
      </c>
      <c r="W1045">
        <v>100</v>
      </c>
      <c r="X1045">
        <v>4.1000000000000003E-3</v>
      </c>
      <c r="Y1045">
        <v>1.64</v>
      </c>
      <c r="Z1045">
        <v>7.5</v>
      </c>
      <c r="AA1045">
        <v>4.2</v>
      </c>
      <c r="AB1045">
        <v>25</v>
      </c>
      <c r="AC1045" s="18">
        <v>4</v>
      </c>
      <c r="AD1045">
        <f t="shared" si="34"/>
        <v>0.2</v>
      </c>
      <c r="AE1045">
        <v>24</v>
      </c>
      <c r="AF1045" s="11">
        <v>0.58058333333333334</v>
      </c>
    </row>
    <row r="1046" spans="1:32" x14ac:dyDescent="0.3">
      <c r="A1046" t="s">
        <v>148</v>
      </c>
      <c r="B1046" t="s">
        <v>16</v>
      </c>
      <c r="C1046">
        <v>4.51</v>
      </c>
      <c r="D1046">
        <v>318.13</v>
      </c>
      <c r="E1046">
        <v>1.81</v>
      </c>
      <c r="F1046">
        <v>1.85</v>
      </c>
      <c r="G1046">
        <v>0.55000000000000004</v>
      </c>
      <c r="H1046">
        <v>0.77</v>
      </c>
      <c r="I1046">
        <v>2.0249999999999999</v>
      </c>
      <c r="J1046">
        <v>49.3</v>
      </c>
      <c r="K1046" t="s">
        <v>45</v>
      </c>
      <c r="L1046" t="s">
        <v>149</v>
      </c>
      <c r="M1046">
        <v>3</v>
      </c>
      <c r="N1046">
        <v>61.002000000000002</v>
      </c>
      <c r="O1046">
        <v>7.75</v>
      </c>
      <c r="P1046" s="13">
        <v>1.6225000000000001</v>
      </c>
      <c r="Q1046" t="s">
        <v>52</v>
      </c>
      <c r="R1046">
        <v>60</v>
      </c>
      <c r="S1046">
        <v>24</v>
      </c>
      <c r="T1046">
        <v>400</v>
      </c>
      <c r="U1046">
        <v>4</v>
      </c>
      <c r="V1046" s="7">
        <v>0.75191335925997893</v>
      </c>
      <c r="W1046">
        <v>100</v>
      </c>
      <c r="X1046">
        <v>4.1000000000000003E-3</v>
      </c>
      <c r="Y1046">
        <v>1.64</v>
      </c>
      <c r="Z1046">
        <v>7.5</v>
      </c>
      <c r="AA1046">
        <v>4.2</v>
      </c>
      <c r="AB1046">
        <v>25</v>
      </c>
      <c r="AC1046" s="18">
        <v>5</v>
      </c>
      <c r="AD1046">
        <f t="shared" si="34"/>
        <v>0.2</v>
      </c>
      <c r="AE1046">
        <v>24</v>
      </c>
      <c r="AF1046" s="11">
        <v>0.59383333333333344</v>
      </c>
    </row>
    <row r="1047" spans="1:32" x14ac:dyDescent="0.3">
      <c r="A1047" t="s">
        <v>148</v>
      </c>
      <c r="B1047" t="s">
        <v>16</v>
      </c>
      <c r="C1047">
        <v>4.51</v>
      </c>
      <c r="D1047">
        <v>318.13</v>
      </c>
      <c r="E1047">
        <v>1.81</v>
      </c>
      <c r="F1047">
        <v>1.85</v>
      </c>
      <c r="G1047">
        <v>0.55000000000000004</v>
      </c>
      <c r="H1047">
        <v>0.77</v>
      </c>
      <c r="I1047">
        <v>2.0249999999999999</v>
      </c>
      <c r="J1047">
        <v>49.3</v>
      </c>
      <c r="K1047" t="s">
        <v>45</v>
      </c>
      <c r="L1047" t="s">
        <v>149</v>
      </c>
      <c r="M1047">
        <v>3</v>
      </c>
      <c r="N1047">
        <v>61.002000000000002</v>
      </c>
      <c r="O1047">
        <v>7.75</v>
      </c>
      <c r="P1047" s="13">
        <v>1.6225000000000001</v>
      </c>
      <c r="Q1047" t="s">
        <v>52</v>
      </c>
      <c r="R1047">
        <v>60</v>
      </c>
      <c r="S1047">
        <v>24</v>
      </c>
      <c r="T1047">
        <v>400</v>
      </c>
      <c r="U1047">
        <v>4</v>
      </c>
      <c r="V1047" s="7">
        <v>0.75191335925997893</v>
      </c>
      <c r="W1047">
        <v>100</v>
      </c>
      <c r="X1047">
        <v>4.1000000000000003E-3</v>
      </c>
      <c r="Y1047">
        <v>1.64</v>
      </c>
      <c r="Z1047">
        <v>7.5</v>
      </c>
      <c r="AA1047">
        <v>4.2</v>
      </c>
      <c r="AB1047">
        <v>25</v>
      </c>
      <c r="AC1047" s="18">
        <v>6</v>
      </c>
      <c r="AD1047">
        <f t="shared" si="34"/>
        <v>0.2</v>
      </c>
      <c r="AE1047">
        <v>24</v>
      </c>
      <c r="AF1047" s="11">
        <v>0.60183333333333333</v>
      </c>
    </row>
    <row r="1048" spans="1:32" x14ac:dyDescent="0.3">
      <c r="A1048" t="s">
        <v>148</v>
      </c>
      <c r="B1048" t="s">
        <v>16</v>
      </c>
      <c r="C1048">
        <v>4.51</v>
      </c>
      <c r="D1048">
        <v>318.13</v>
      </c>
      <c r="E1048">
        <v>1.81</v>
      </c>
      <c r="F1048">
        <v>1.85</v>
      </c>
      <c r="G1048">
        <v>0.55000000000000004</v>
      </c>
      <c r="H1048">
        <v>0.77</v>
      </c>
      <c r="I1048">
        <v>2.0249999999999999</v>
      </c>
      <c r="J1048">
        <v>49.3</v>
      </c>
      <c r="K1048" t="s">
        <v>45</v>
      </c>
      <c r="L1048" t="s">
        <v>149</v>
      </c>
      <c r="M1048">
        <v>3</v>
      </c>
      <c r="N1048">
        <v>61.002000000000002</v>
      </c>
      <c r="O1048">
        <v>7.75</v>
      </c>
      <c r="P1048" s="13">
        <v>1.6225000000000001</v>
      </c>
      <c r="Q1048" t="s">
        <v>52</v>
      </c>
      <c r="R1048">
        <v>60</v>
      </c>
      <c r="S1048">
        <v>24</v>
      </c>
      <c r="T1048">
        <v>400</v>
      </c>
      <c r="U1048">
        <v>4</v>
      </c>
      <c r="V1048" s="7">
        <v>0.75191335925997893</v>
      </c>
      <c r="W1048">
        <v>100</v>
      </c>
      <c r="X1048">
        <v>4.1000000000000003E-3</v>
      </c>
      <c r="Y1048">
        <v>1.64</v>
      </c>
      <c r="Z1048">
        <v>7.5</v>
      </c>
      <c r="AA1048">
        <v>4.2</v>
      </c>
      <c r="AB1048">
        <v>25</v>
      </c>
      <c r="AC1048" s="18">
        <v>7</v>
      </c>
      <c r="AD1048">
        <f t="shared" si="34"/>
        <v>0.2</v>
      </c>
      <c r="AE1048">
        <v>24</v>
      </c>
      <c r="AF1048" s="11">
        <v>0.59916666666666674</v>
      </c>
    </row>
    <row r="1049" spans="1:32" x14ac:dyDescent="0.3">
      <c r="A1049" t="s">
        <v>148</v>
      </c>
      <c r="B1049" t="s">
        <v>16</v>
      </c>
      <c r="C1049">
        <v>4.51</v>
      </c>
      <c r="D1049">
        <v>318.13</v>
      </c>
      <c r="E1049">
        <v>1.81</v>
      </c>
      <c r="F1049">
        <v>1.85</v>
      </c>
      <c r="G1049">
        <v>0.55000000000000004</v>
      </c>
      <c r="H1049">
        <v>0.77</v>
      </c>
      <c r="I1049">
        <v>2.0249999999999999</v>
      </c>
      <c r="J1049">
        <v>49.3</v>
      </c>
      <c r="K1049" t="s">
        <v>45</v>
      </c>
      <c r="L1049" t="s">
        <v>149</v>
      </c>
      <c r="M1049">
        <v>3</v>
      </c>
      <c r="N1049">
        <v>61.002000000000002</v>
      </c>
      <c r="O1049">
        <v>7.75</v>
      </c>
      <c r="P1049" s="13">
        <v>1.6225000000000001</v>
      </c>
      <c r="Q1049" t="s">
        <v>52</v>
      </c>
      <c r="R1049">
        <v>60</v>
      </c>
      <c r="S1049">
        <v>24</v>
      </c>
      <c r="T1049">
        <v>400</v>
      </c>
      <c r="U1049">
        <v>4</v>
      </c>
      <c r="V1049" s="7">
        <v>0.75191335925997893</v>
      </c>
      <c r="W1049">
        <v>100</v>
      </c>
      <c r="X1049">
        <v>4.1000000000000003E-3</v>
      </c>
      <c r="Y1049">
        <v>1.64</v>
      </c>
      <c r="Z1049">
        <v>7.5</v>
      </c>
      <c r="AA1049">
        <v>4.2</v>
      </c>
      <c r="AB1049">
        <v>25</v>
      </c>
      <c r="AC1049" s="21">
        <v>0.17</v>
      </c>
      <c r="AD1049">
        <f t="shared" ref="AD1049:AD1064" si="35">100/250</f>
        <v>0.4</v>
      </c>
      <c r="AE1049">
        <v>24</v>
      </c>
      <c r="AF1049" s="11">
        <v>0.10600000000000002</v>
      </c>
    </row>
    <row r="1050" spans="1:32" x14ac:dyDescent="0.3">
      <c r="A1050" t="s">
        <v>148</v>
      </c>
      <c r="B1050" t="s">
        <v>16</v>
      </c>
      <c r="C1050">
        <v>4.51</v>
      </c>
      <c r="D1050">
        <v>318.13</v>
      </c>
      <c r="E1050">
        <v>1.81</v>
      </c>
      <c r="F1050">
        <v>1.85</v>
      </c>
      <c r="G1050">
        <v>0.55000000000000004</v>
      </c>
      <c r="H1050">
        <v>0.77</v>
      </c>
      <c r="I1050">
        <v>2.0249999999999999</v>
      </c>
      <c r="J1050">
        <v>49.3</v>
      </c>
      <c r="K1050" t="s">
        <v>45</v>
      </c>
      <c r="L1050" t="s">
        <v>149</v>
      </c>
      <c r="M1050">
        <v>3</v>
      </c>
      <c r="N1050">
        <v>61.002000000000002</v>
      </c>
      <c r="O1050">
        <v>7.75</v>
      </c>
      <c r="P1050" s="13">
        <v>1.6225000000000001</v>
      </c>
      <c r="Q1050" t="s">
        <v>52</v>
      </c>
      <c r="R1050">
        <v>60</v>
      </c>
      <c r="S1050">
        <v>24</v>
      </c>
      <c r="T1050">
        <v>400</v>
      </c>
      <c r="U1050">
        <v>4</v>
      </c>
      <c r="V1050" s="7">
        <v>0.75191335925997893</v>
      </c>
      <c r="W1050">
        <v>100</v>
      </c>
      <c r="X1050">
        <v>4.1000000000000003E-3</v>
      </c>
      <c r="Y1050">
        <v>1.64</v>
      </c>
      <c r="Z1050">
        <v>7.5</v>
      </c>
      <c r="AA1050">
        <v>4.2</v>
      </c>
      <c r="AB1050">
        <v>25</v>
      </c>
      <c r="AC1050" s="21">
        <v>0.33</v>
      </c>
      <c r="AD1050">
        <f t="shared" si="35"/>
        <v>0.4</v>
      </c>
      <c r="AE1050">
        <v>24</v>
      </c>
      <c r="AF1050" s="11">
        <v>0.14849999999999999</v>
      </c>
    </row>
    <row r="1051" spans="1:32" x14ac:dyDescent="0.3">
      <c r="A1051" t="s">
        <v>148</v>
      </c>
      <c r="B1051" t="s">
        <v>16</v>
      </c>
      <c r="C1051">
        <v>4.51</v>
      </c>
      <c r="D1051">
        <v>318.13</v>
      </c>
      <c r="E1051">
        <v>1.81</v>
      </c>
      <c r="F1051">
        <v>1.85</v>
      </c>
      <c r="G1051">
        <v>0.55000000000000004</v>
      </c>
      <c r="H1051">
        <v>0.77</v>
      </c>
      <c r="I1051">
        <v>2.0249999999999999</v>
      </c>
      <c r="J1051">
        <v>49.3</v>
      </c>
      <c r="K1051" t="s">
        <v>45</v>
      </c>
      <c r="L1051" t="s">
        <v>149</v>
      </c>
      <c r="M1051">
        <v>3</v>
      </c>
      <c r="N1051">
        <v>61.002000000000002</v>
      </c>
      <c r="O1051">
        <v>7.75</v>
      </c>
      <c r="P1051" s="13">
        <v>1.6225000000000001</v>
      </c>
      <c r="Q1051" t="s">
        <v>52</v>
      </c>
      <c r="R1051">
        <v>60</v>
      </c>
      <c r="S1051">
        <v>24</v>
      </c>
      <c r="T1051">
        <v>400</v>
      </c>
      <c r="U1051">
        <v>4</v>
      </c>
      <c r="V1051" s="7">
        <v>0.75191335925997893</v>
      </c>
      <c r="W1051">
        <v>100</v>
      </c>
      <c r="X1051">
        <v>4.1000000000000003E-3</v>
      </c>
      <c r="Y1051">
        <v>1.64</v>
      </c>
      <c r="Z1051">
        <v>7.5</v>
      </c>
      <c r="AA1051">
        <v>4.2</v>
      </c>
      <c r="AB1051">
        <v>25</v>
      </c>
      <c r="AC1051" s="20">
        <v>0.5</v>
      </c>
      <c r="AD1051">
        <f t="shared" si="35"/>
        <v>0.4</v>
      </c>
      <c r="AE1051">
        <v>24</v>
      </c>
      <c r="AF1051" s="11">
        <v>0.1643333333333333</v>
      </c>
    </row>
    <row r="1052" spans="1:32" x14ac:dyDescent="0.3">
      <c r="A1052" t="s">
        <v>148</v>
      </c>
      <c r="B1052" t="s">
        <v>16</v>
      </c>
      <c r="C1052">
        <v>4.51</v>
      </c>
      <c r="D1052">
        <v>318.13</v>
      </c>
      <c r="E1052">
        <v>1.81</v>
      </c>
      <c r="F1052">
        <v>1.85</v>
      </c>
      <c r="G1052">
        <v>0.55000000000000004</v>
      </c>
      <c r="H1052">
        <v>0.77</v>
      </c>
      <c r="I1052">
        <v>2.0249999999999999</v>
      </c>
      <c r="J1052">
        <v>49.3</v>
      </c>
      <c r="K1052" t="s">
        <v>45</v>
      </c>
      <c r="L1052" t="s">
        <v>149</v>
      </c>
      <c r="M1052">
        <v>3</v>
      </c>
      <c r="N1052">
        <v>61.002000000000002</v>
      </c>
      <c r="O1052">
        <v>7.75</v>
      </c>
      <c r="P1052" s="13">
        <v>1.6225000000000001</v>
      </c>
      <c r="Q1052" t="s">
        <v>52</v>
      </c>
      <c r="R1052">
        <v>60</v>
      </c>
      <c r="S1052">
        <v>24</v>
      </c>
      <c r="T1052">
        <v>400</v>
      </c>
      <c r="U1052">
        <v>4</v>
      </c>
      <c r="V1052" s="7">
        <v>0.75191335925997893</v>
      </c>
      <c r="W1052">
        <v>100</v>
      </c>
      <c r="X1052">
        <v>4.1000000000000003E-3</v>
      </c>
      <c r="Y1052">
        <v>1.64</v>
      </c>
      <c r="Z1052">
        <v>7.5</v>
      </c>
      <c r="AA1052">
        <v>4.2</v>
      </c>
      <c r="AB1052">
        <v>25</v>
      </c>
      <c r="AC1052" s="18">
        <v>1</v>
      </c>
      <c r="AD1052">
        <f t="shared" si="35"/>
        <v>0.4</v>
      </c>
      <c r="AE1052">
        <v>24</v>
      </c>
      <c r="AF1052" s="11">
        <v>0.18033333333333332</v>
      </c>
    </row>
    <row r="1053" spans="1:32" x14ac:dyDescent="0.3">
      <c r="A1053" t="s">
        <v>148</v>
      </c>
      <c r="B1053" t="s">
        <v>16</v>
      </c>
      <c r="C1053">
        <v>4.51</v>
      </c>
      <c r="D1053">
        <v>318.13</v>
      </c>
      <c r="E1053">
        <v>1.81</v>
      </c>
      <c r="F1053">
        <v>1.85</v>
      </c>
      <c r="G1053">
        <v>0.55000000000000004</v>
      </c>
      <c r="H1053">
        <v>0.77</v>
      </c>
      <c r="I1053">
        <v>2.0249999999999999</v>
      </c>
      <c r="J1053">
        <v>49.3</v>
      </c>
      <c r="K1053" t="s">
        <v>45</v>
      </c>
      <c r="L1053" t="s">
        <v>149</v>
      </c>
      <c r="M1053">
        <v>3</v>
      </c>
      <c r="N1053">
        <v>61.002000000000002</v>
      </c>
      <c r="O1053">
        <v>7.75</v>
      </c>
      <c r="P1053" s="13">
        <v>1.6225000000000001</v>
      </c>
      <c r="Q1053" t="s">
        <v>52</v>
      </c>
      <c r="R1053">
        <v>60</v>
      </c>
      <c r="S1053">
        <v>24</v>
      </c>
      <c r="T1053">
        <v>400</v>
      </c>
      <c r="U1053">
        <v>4</v>
      </c>
      <c r="V1053" s="7">
        <v>0.75191335925997893</v>
      </c>
      <c r="W1053">
        <v>100</v>
      </c>
      <c r="X1053">
        <v>4.1000000000000003E-3</v>
      </c>
      <c r="Y1053">
        <v>1.64</v>
      </c>
      <c r="Z1053">
        <v>7.5</v>
      </c>
      <c r="AA1053">
        <v>4.2</v>
      </c>
      <c r="AB1053">
        <v>25</v>
      </c>
      <c r="AC1053" s="20">
        <v>1.5</v>
      </c>
      <c r="AD1053">
        <f t="shared" si="35"/>
        <v>0.4</v>
      </c>
      <c r="AE1053">
        <v>24</v>
      </c>
      <c r="AF1053" s="11">
        <v>0.22800000000000006</v>
      </c>
    </row>
    <row r="1054" spans="1:32" x14ac:dyDescent="0.3">
      <c r="A1054" t="s">
        <v>148</v>
      </c>
      <c r="B1054" t="s">
        <v>16</v>
      </c>
      <c r="C1054">
        <v>4.51</v>
      </c>
      <c r="D1054">
        <v>318.13</v>
      </c>
      <c r="E1054">
        <v>1.81</v>
      </c>
      <c r="F1054">
        <v>1.85</v>
      </c>
      <c r="G1054">
        <v>0.55000000000000004</v>
      </c>
      <c r="H1054">
        <v>0.77</v>
      </c>
      <c r="I1054">
        <v>2.0249999999999999</v>
      </c>
      <c r="J1054">
        <v>49.3</v>
      </c>
      <c r="K1054" t="s">
        <v>45</v>
      </c>
      <c r="L1054" t="s">
        <v>149</v>
      </c>
      <c r="M1054">
        <v>3</v>
      </c>
      <c r="N1054">
        <v>61.002000000000002</v>
      </c>
      <c r="O1054">
        <v>7.75</v>
      </c>
      <c r="P1054" s="13">
        <v>1.6225000000000001</v>
      </c>
      <c r="Q1054" t="s">
        <v>52</v>
      </c>
      <c r="R1054">
        <v>60</v>
      </c>
      <c r="S1054">
        <v>24</v>
      </c>
      <c r="T1054">
        <v>400</v>
      </c>
      <c r="U1054">
        <v>4</v>
      </c>
      <c r="V1054" s="7">
        <v>0.75191335925997893</v>
      </c>
      <c r="W1054">
        <v>100</v>
      </c>
      <c r="X1054">
        <v>4.1000000000000003E-3</v>
      </c>
      <c r="Y1054">
        <v>1.64</v>
      </c>
      <c r="Z1054">
        <v>7.5</v>
      </c>
      <c r="AA1054">
        <v>4.2</v>
      </c>
      <c r="AB1054">
        <v>25</v>
      </c>
      <c r="AC1054" s="18">
        <v>2</v>
      </c>
      <c r="AD1054">
        <f t="shared" si="35"/>
        <v>0.4</v>
      </c>
      <c r="AE1054">
        <v>24</v>
      </c>
      <c r="AF1054" s="11">
        <v>0.2545</v>
      </c>
    </row>
    <row r="1055" spans="1:32" x14ac:dyDescent="0.3">
      <c r="A1055" t="s">
        <v>148</v>
      </c>
      <c r="B1055" t="s">
        <v>16</v>
      </c>
      <c r="C1055">
        <v>4.51</v>
      </c>
      <c r="D1055">
        <v>318.13</v>
      </c>
      <c r="E1055">
        <v>1.81</v>
      </c>
      <c r="F1055">
        <v>1.85</v>
      </c>
      <c r="G1055">
        <v>0.55000000000000004</v>
      </c>
      <c r="H1055">
        <v>0.77</v>
      </c>
      <c r="I1055">
        <v>2.0249999999999999</v>
      </c>
      <c r="J1055">
        <v>49.3</v>
      </c>
      <c r="K1055" t="s">
        <v>45</v>
      </c>
      <c r="L1055" t="s">
        <v>149</v>
      </c>
      <c r="M1055">
        <v>3</v>
      </c>
      <c r="N1055">
        <v>61.002000000000002</v>
      </c>
      <c r="O1055">
        <v>7.75</v>
      </c>
      <c r="P1055" s="13">
        <v>1.6225000000000001</v>
      </c>
      <c r="Q1055" t="s">
        <v>52</v>
      </c>
      <c r="R1055">
        <v>60</v>
      </c>
      <c r="S1055">
        <v>24</v>
      </c>
      <c r="T1055">
        <v>400</v>
      </c>
      <c r="U1055">
        <v>4</v>
      </c>
      <c r="V1055" s="7">
        <v>0.75191335925997893</v>
      </c>
      <c r="W1055">
        <v>100</v>
      </c>
      <c r="X1055">
        <v>4.1000000000000003E-3</v>
      </c>
      <c r="Y1055">
        <v>1.64</v>
      </c>
      <c r="Z1055">
        <v>7.5</v>
      </c>
      <c r="AA1055">
        <v>4.2</v>
      </c>
      <c r="AB1055">
        <v>25</v>
      </c>
      <c r="AC1055" s="20">
        <v>2.5</v>
      </c>
      <c r="AD1055">
        <f t="shared" si="35"/>
        <v>0.4</v>
      </c>
      <c r="AE1055">
        <v>24</v>
      </c>
      <c r="AF1055" s="11">
        <v>0.30216666666666664</v>
      </c>
    </row>
    <row r="1056" spans="1:32" x14ac:dyDescent="0.3">
      <c r="A1056" t="s">
        <v>148</v>
      </c>
      <c r="B1056" t="s">
        <v>16</v>
      </c>
      <c r="C1056">
        <v>4.51</v>
      </c>
      <c r="D1056">
        <v>318.13</v>
      </c>
      <c r="E1056">
        <v>1.81</v>
      </c>
      <c r="F1056">
        <v>1.85</v>
      </c>
      <c r="G1056">
        <v>0.55000000000000004</v>
      </c>
      <c r="H1056">
        <v>0.77</v>
      </c>
      <c r="I1056">
        <v>2.0249999999999999</v>
      </c>
      <c r="J1056">
        <v>49.3</v>
      </c>
      <c r="K1056" t="s">
        <v>45</v>
      </c>
      <c r="L1056" t="s">
        <v>149</v>
      </c>
      <c r="M1056">
        <v>3</v>
      </c>
      <c r="N1056">
        <v>61.002000000000002</v>
      </c>
      <c r="O1056">
        <v>7.75</v>
      </c>
      <c r="P1056" s="13">
        <v>1.6225000000000001</v>
      </c>
      <c r="Q1056" t="s">
        <v>52</v>
      </c>
      <c r="R1056">
        <v>60</v>
      </c>
      <c r="S1056">
        <v>24</v>
      </c>
      <c r="T1056">
        <v>400</v>
      </c>
      <c r="U1056">
        <v>4</v>
      </c>
      <c r="V1056" s="7">
        <v>0.75191335925997893</v>
      </c>
      <c r="W1056">
        <v>100</v>
      </c>
      <c r="X1056">
        <v>4.1000000000000003E-3</v>
      </c>
      <c r="Y1056">
        <v>1.64</v>
      </c>
      <c r="Z1056">
        <v>7.5</v>
      </c>
      <c r="AA1056">
        <v>4.2</v>
      </c>
      <c r="AB1056">
        <v>25</v>
      </c>
      <c r="AC1056" s="18">
        <v>3</v>
      </c>
      <c r="AD1056">
        <f t="shared" si="35"/>
        <v>0.4</v>
      </c>
      <c r="AE1056">
        <v>24</v>
      </c>
      <c r="AF1056" s="11">
        <v>0.32866666666666661</v>
      </c>
    </row>
    <row r="1057" spans="1:32" x14ac:dyDescent="0.3">
      <c r="A1057" t="s">
        <v>148</v>
      </c>
      <c r="B1057" t="s">
        <v>16</v>
      </c>
      <c r="C1057">
        <v>4.51</v>
      </c>
      <c r="D1057">
        <v>318.13</v>
      </c>
      <c r="E1057">
        <v>1.81</v>
      </c>
      <c r="F1057">
        <v>1.85</v>
      </c>
      <c r="G1057">
        <v>0.55000000000000004</v>
      </c>
      <c r="H1057">
        <v>0.77</v>
      </c>
      <c r="I1057">
        <v>2.0249999999999999</v>
      </c>
      <c r="J1057">
        <v>49.3</v>
      </c>
      <c r="K1057" t="s">
        <v>45</v>
      </c>
      <c r="L1057" t="s">
        <v>149</v>
      </c>
      <c r="M1057">
        <v>3</v>
      </c>
      <c r="N1057">
        <v>61.002000000000002</v>
      </c>
      <c r="O1057">
        <v>7.75</v>
      </c>
      <c r="P1057" s="13">
        <v>1.6225000000000001</v>
      </c>
      <c r="Q1057" t="s">
        <v>52</v>
      </c>
      <c r="R1057">
        <v>60</v>
      </c>
      <c r="S1057">
        <v>24</v>
      </c>
      <c r="T1057">
        <v>400</v>
      </c>
      <c r="U1057">
        <v>4</v>
      </c>
      <c r="V1057" s="7">
        <v>0.75191335925997893</v>
      </c>
      <c r="W1057">
        <v>100</v>
      </c>
      <c r="X1057">
        <v>4.1000000000000003E-3</v>
      </c>
      <c r="Y1057">
        <v>1.64</v>
      </c>
      <c r="Z1057">
        <v>7.5</v>
      </c>
      <c r="AA1057">
        <v>4.2</v>
      </c>
      <c r="AB1057">
        <v>25</v>
      </c>
      <c r="AC1057" s="18">
        <v>4</v>
      </c>
      <c r="AD1057">
        <f t="shared" si="35"/>
        <v>0.4</v>
      </c>
      <c r="AE1057">
        <v>24</v>
      </c>
      <c r="AF1057" s="11">
        <v>0.3818333333333333</v>
      </c>
    </row>
    <row r="1058" spans="1:32" x14ac:dyDescent="0.3">
      <c r="A1058" t="s">
        <v>148</v>
      </c>
      <c r="B1058" t="s">
        <v>16</v>
      </c>
      <c r="C1058">
        <v>4.51</v>
      </c>
      <c r="D1058">
        <v>318.13</v>
      </c>
      <c r="E1058">
        <v>1.81</v>
      </c>
      <c r="F1058">
        <v>1.85</v>
      </c>
      <c r="G1058">
        <v>0.55000000000000004</v>
      </c>
      <c r="H1058">
        <v>0.77</v>
      </c>
      <c r="I1058">
        <v>2.0249999999999999</v>
      </c>
      <c r="J1058">
        <v>49.3</v>
      </c>
      <c r="K1058" t="s">
        <v>45</v>
      </c>
      <c r="L1058" t="s">
        <v>149</v>
      </c>
      <c r="M1058">
        <v>3</v>
      </c>
      <c r="N1058">
        <v>61.002000000000002</v>
      </c>
      <c r="O1058">
        <v>7.75</v>
      </c>
      <c r="P1058" s="13">
        <v>1.6225000000000001</v>
      </c>
      <c r="Q1058" t="s">
        <v>52</v>
      </c>
      <c r="R1058">
        <v>60</v>
      </c>
      <c r="S1058">
        <v>24</v>
      </c>
      <c r="T1058">
        <v>400</v>
      </c>
      <c r="U1058">
        <v>4</v>
      </c>
      <c r="V1058" s="7">
        <v>0.75191335925997893</v>
      </c>
      <c r="W1058">
        <v>100</v>
      </c>
      <c r="X1058">
        <v>4.1000000000000003E-3</v>
      </c>
      <c r="Y1058">
        <v>1.64</v>
      </c>
      <c r="Z1058">
        <v>7.5</v>
      </c>
      <c r="AA1058">
        <v>4.2</v>
      </c>
      <c r="AB1058">
        <v>25</v>
      </c>
      <c r="AC1058" s="18">
        <v>5</v>
      </c>
      <c r="AD1058">
        <f t="shared" si="35"/>
        <v>0.4</v>
      </c>
      <c r="AE1058">
        <v>24</v>
      </c>
      <c r="AF1058" s="11">
        <v>0.44</v>
      </c>
    </row>
    <row r="1059" spans="1:32" x14ac:dyDescent="0.3">
      <c r="A1059" t="s">
        <v>148</v>
      </c>
      <c r="B1059" t="s">
        <v>16</v>
      </c>
      <c r="C1059">
        <v>4.51</v>
      </c>
      <c r="D1059">
        <v>318.13</v>
      </c>
      <c r="E1059">
        <v>1.81</v>
      </c>
      <c r="F1059">
        <v>1.85</v>
      </c>
      <c r="G1059">
        <v>0.55000000000000004</v>
      </c>
      <c r="H1059">
        <v>0.77</v>
      </c>
      <c r="I1059">
        <v>2.0249999999999999</v>
      </c>
      <c r="J1059">
        <v>49.3</v>
      </c>
      <c r="K1059" t="s">
        <v>45</v>
      </c>
      <c r="L1059" t="s">
        <v>149</v>
      </c>
      <c r="M1059">
        <v>3</v>
      </c>
      <c r="N1059">
        <v>61.002000000000002</v>
      </c>
      <c r="O1059">
        <v>7.75</v>
      </c>
      <c r="P1059" s="13">
        <v>1.6225000000000001</v>
      </c>
      <c r="Q1059" t="s">
        <v>52</v>
      </c>
      <c r="R1059">
        <v>60</v>
      </c>
      <c r="S1059">
        <v>24</v>
      </c>
      <c r="T1059">
        <v>400</v>
      </c>
      <c r="U1059">
        <v>4</v>
      </c>
      <c r="V1059" s="7">
        <v>0.75191335925997893</v>
      </c>
      <c r="W1059">
        <v>100</v>
      </c>
      <c r="X1059">
        <v>4.1000000000000003E-3</v>
      </c>
      <c r="Y1059">
        <v>1.64</v>
      </c>
      <c r="Z1059">
        <v>7.5</v>
      </c>
      <c r="AA1059">
        <v>4.2</v>
      </c>
      <c r="AB1059">
        <v>25</v>
      </c>
      <c r="AC1059" s="18">
        <v>6</v>
      </c>
      <c r="AD1059">
        <f t="shared" si="35"/>
        <v>0.4</v>
      </c>
      <c r="AE1059">
        <v>24</v>
      </c>
      <c r="AF1059" s="11">
        <v>0.47183333333333333</v>
      </c>
    </row>
    <row r="1060" spans="1:32" x14ac:dyDescent="0.3">
      <c r="A1060" t="s">
        <v>148</v>
      </c>
      <c r="B1060" t="s">
        <v>16</v>
      </c>
      <c r="C1060">
        <v>4.51</v>
      </c>
      <c r="D1060">
        <v>318.13</v>
      </c>
      <c r="E1060">
        <v>1.81</v>
      </c>
      <c r="F1060">
        <v>1.85</v>
      </c>
      <c r="G1060">
        <v>0.55000000000000004</v>
      </c>
      <c r="H1060">
        <v>0.77</v>
      </c>
      <c r="I1060">
        <v>2.0249999999999999</v>
      </c>
      <c r="J1060">
        <v>49.3</v>
      </c>
      <c r="K1060" t="s">
        <v>45</v>
      </c>
      <c r="L1060" t="s">
        <v>149</v>
      </c>
      <c r="M1060">
        <v>3</v>
      </c>
      <c r="N1060">
        <v>61.002000000000002</v>
      </c>
      <c r="O1060">
        <v>7.75</v>
      </c>
      <c r="P1060" s="13">
        <v>1.6225000000000001</v>
      </c>
      <c r="Q1060" t="s">
        <v>52</v>
      </c>
      <c r="R1060">
        <v>60</v>
      </c>
      <c r="S1060">
        <v>24</v>
      </c>
      <c r="T1060">
        <v>400</v>
      </c>
      <c r="U1060">
        <v>4</v>
      </c>
      <c r="V1060" s="7">
        <v>0.75191335925997893</v>
      </c>
      <c r="W1060">
        <v>100</v>
      </c>
      <c r="X1060">
        <v>4.1000000000000003E-3</v>
      </c>
      <c r="Y1060">
        <v>1.64</v>
      </c>
      <c r="Z1060">
        <v>7.5</v>
      </c>
      <c r="AA1060">
        <v>4.2</v>
      </c>
      <c r="AB1060">
        <v>25</v>
      </c>
      <c r="AC1060" s="18">
        <v>7</v>
      </c>
      <c r="AD1060">
        <f t="shared" si="35"/>
        <v>0.4</v>
      </c>
      <c r="AE1060">
        <v>24</v>
      </c>
      <c r="AF1060" s="11">
        <v>0.50366666666666671</v>
      </c>
    </row>
    <row r="1061" spans="1:32" x14ac:dyDescent="0.3">
      <c r="A1061" t="s">
        <v>148</v>
      </c>
      <c r="B1061" t="s">
        <v>16</v>
      </c>
      <c r="C1061">
        <v>4.51</v>
      </c>
      <c r="D1061">
        <v>318.13</v>
      </c>
      <c r="E1061">
        <v>1.81</v>
      </c>
      <c r="F1061">
        <v>1.85</v>
      </c>
      <c r="G1061">
        <v>0.55000000000000004</v>
      </c>
      <c r="H1061">
        <v>0.77</v>
      </c>
      <c r="I1061">
        <v>2.0249999999999999</v>
      </c>
      <c r="J1061">
        <v>49.3</v>
      </c>
      <c r="K1061" t="s">
        <v>45</v>
      </c>
      <c r="L1061" t="s">
        <v>149</v>
      </c>
      <c r="M1061">
        <v>3</v>
      </c>
      <c r="N1061">
        <v>61.002000000000002</v>
      </c>
      <c r="O1061">
        <v>7.75</v>
      </c>
      <c r="P1061" s="13">
        <v>1.6225000000000001</v>
      </c>
      <c r="Q1061" t="s">
        <v>52</v>
      </c>
      <c r="R1061">
        <v>60</v>
      </c>
      <c r="S1061">
        <v>24</v>
      </c>
      <c r="T1061">
        <v>400</v>
      </c>
      <c r="U1061">
        <v>4</v>
      </c>
      <c r="V1061" s="7">
        <v>0.75191335925997893</v>
      </c>
      <c r="W1061">
        <v>100</v>
      </c>
      <c r="X1061">
        <v>4.1000000000000003E-3</v>
      </c>
      <c r="Y1061">
        <v>1.64</v>
      </c>
      <c r="Z1061">
        <v>7.5</v>
      </c>
      <c r="AA1061">
        <v>4.2</v>
      </c>
      <c r="AB1061">
        <v>25</v>
      </c>
      <c r="AC1061" s="18">
        <v>8</v>
      </c>
      <c r="AD1061">
        <f t="shared" si="35"/>
        <v>0.4</v>
      </c>
      <c r="AE1061">
        <v>24</v>
      </c>
      <c r="AF1061" s="11">
        <v>0.53016666666666667</v>
      </c>
    </row>
    <row r="1062" spans="1:32" x14ac:dyDescent="0.3">
      <c r="A1062" t="s">
        <v>148</v>
      </c>
      <c r="B1062" t="s">
        <v>16</v>
      </c>
      <c r="C1062">
        <v>4.51</v>
      </c>
      <c r="D1062">
        <v>318.13</v>
      </c>
      <c r="E1062">
        <v>1.81</v>
      </c>
      <c r="F1062">
        <v>1.85</v>
      </c>
      <c r="G1062">
        <v>0.55000000000000004</v>
      </c>
      <c r="H1062">
        <v>0.77</v>
      </c>
      <c r="I1062">
        <v>2.0249999999999999</v>
      </c>
      <c r="J1062">
        <v>49.3</v>
      </c>
      <c r="K1062" t="s">
        <v>45</v>
      </c>
      <c r="L1062" t="s">
        <v>149</v>
      </c>
      <c r="M1062">
        <v>3</v>
      </c>
      <c r="N1062">
        <v>61.002000000000002</v>
      </c>
      <c r="O1062">
        <v>7.75</v>
      </c>
      <c r="P1062" s="13">
        <v>1.6225000000000001</v>
      </c>
      <c r="Q1062" t="s">
        <v>52</v>
      </c>
      <c r="R1062">
        <v>60</v>
      </c>
      <c r="S1062">
        <v>24</v>
      </c>
      <c r="T1062">
        <v>400</v>
      </c>
      <c r="U1062">
        <v>4</v>
      </c>
      <c r="V1062" s="7">
        <v>0.75191335925997893</v>
      </c>
      <c r="W1062">
        <v>100</v>
      </c>
      <c r="X1062">
        <v>4.1000000000000003E-3</v>
      </c>
      <c r="Y1062">
        <v>1.64</v>
      </c>
      <c r="Z1062">
        <v>7.5</v>
      </c>
      <c r="AA1062">
        <v>4.2</v>
      </c>
      <c r="AB1062">
        <v>25</v>
      </c>
      <c r="AC1062" s="20">
        <v>21.67</v>
      </c>
      <c r="AD1062">
        <f t="shared" si="35"/>
        <v>0.4</v>
      </c>
      <c r="AE1062">
        <v>24</v>
      </c>
      <c r="AF1062" s="11">
        <v>0.56199999999999994</v>
      </c>
    </row>
    <row r="1063" spans="1:32" x14ac:dyDescent="0.3">
      <c r="A1063" t="s">
        <v>148</v>
      </c>
      <c r="B1063" t="s">
        <v>16</v>
      </c>
      <c r="C1063">
        <v>4.51</v>
      </c>
      <c r="D1063">
        <v>318.13</v>
      </c>
      <c r="E1063">
        <v>1.81</v>
      </c>
      <c r="F1063">
        <v>1.85</v>
      </c>
      <c r="G1063">
        <v>0.55000000000000004</v>
      </c>
      <c r="H1063">
        <v>0.77</v>
      </c>
      <c r="I1063">
        <v>2.0249999999999999</v>
      </c>
      <c r="J1063">
        <v>49.3</v>
      </c>
      <c r="K1063" t="s">
        <v>45</v>
      </c>
      <c r="L1063" t="s">
        <v>149</v>
      </c>
      <c r="M1063">
        <v>3</v>
      </c>
      <c r="N1063">
        <v>61.002000000000002</v>
      </c>
      <c r="O1063">
        <v>7.75</v>
      </c>
      <c r="P1063" s="13">
        <v>1.6225000000000001</v>
      </c>
      <c r="Q1063" t="s">
        <v>52</v>
      </c>
      <c r="R1063">
        <v>60</v>
      </c>
      <c r="S1063">
        <v>24</v>
      </c>
      <c r="T1063">
        <v>400</v>
      </c>
      <c r="U1063">
        <v>4</v>
      </c>
      <c r="V1063" s="7">
        <v>0.75191335925997893</v>
      </c>
      <c r="W1063">
        <v>100</v>
      </c>
      <c r="X1063">
        <v>4.1000000000000003E-3</v>
      </c>
      <c r="Y1063">
        <v>1.64</v>
      </c>
      <c r="Z1063">
        <v>7.5</v>
      </c>
      <c r="AA1063">
        <v>4.2</v>
      </c>
      <c r="AB1063">
        <v>25</v>
      </c>
      <c r="AC1063" s="20">
        <v>23.33</v>
      </c>
      <c r="AD1063">
        <f t="shared" si="35"/>
        <v>0.4</v>
      </c>
      <c r="AE1063">
        <v>24</v>
      </c>
      <c r="AF1063" s="11">
        <v>0.56733333333333336</v>
      </c>
    </row>
    <row r="1064" spans="1:32" x14ac:dyDescent="0.3">
      <c r="A1064" t="s">
        <v>148</v>
      </c>
      <c r="B1064" t="s">
        <v>16</v>
      </c>
      <c r="C1064">
        <v>4.51</v>
      </c>
      <c r="D1064">
        <v>318.13</v>
      </c>
      <c r="E1064">
        <v>1.81</v>
      </c>
      <c r="F1064">
        <v>1.85</v>
      </c>
      <c r="G1064">
        <v>0.55000000000000004</v>
      </c>
      <c r="H1064">
        <v>0.77</v>
      </c>
      <c r="I1064">
        <v>2.0249999999999999</v>
      </c>
      <c r="J1064">
        <v>49.3</v>
      </c>
      <c r="K1064" t="s">
        <v>45</v>
      </c>
      <c r="L1064" t="s">
        <v>149</v>
      </c>
      <c r="M1064">
        <v>3</v>
      </c>
      <c r="N1064">
        <v>61.002000000000002</v>
      </c>
      <c r="O1064">
        <v>7.75</v>
      </c>
      <c r="P1064" s="13">
        <v>1.6225000000000001</v>
      </c>
      <c r="Q1064" t="s">
        <v>52</v>
      </c>
      <c r="R1064">
        <v>60</v>
      </c>
      <c r="S1064">
        <v>24</v>
      </c>
      <c r="T1064">
        <v>400</v>
      </c>
      <c r="U1064">
        <v>4</v>
      </c>
      <c r="V1064" s="7">
        <v>0.75191335925997893</v>
      </c>
      <c r="W1064">
        <v>100</v>
      </c>
      <c r="X1064">
        <v>4.1000000000000003E-3</v>
      </c>
      <c r="Y1064">
        <v>1.64</v>
      </c>
      <c r="Z1064">
        <v>7.5</v>
      </c>
      <c r="AA1064">
        <v>4.2</v>
      </c>
      <c r="AB1064">
        <v>25</v>
      </c>
      <c r="AC1064" s="18">
        <v>25</v>
      </c>
      <c r="AD1064">
        <f t="shared" si="35"/>
        <v>0.4</v>
      </c>
      <c r="AE1064">
        <v>24</v>
      </c>
      <c r="AF1064" s="11">
        <v>0.56199999999999994</v>
      </c>
    </row>
    <row r="1065" spans="1:32" x14ac:dyDescent="0.3">
      <c r="A1065" t="s">
        <v>148</v>
      </c>
      <c r="B1065" t="s">
        <v>16</v>
      </c>
      <c r="C1065">
        <v>4.51</v>
      </c>
      <c r="D1065">
        <v>318.13</v>
      </c>
      <c r="E1065">
        <v>1.81</v>
      </c>
      <c r="F1065">
        <v>1.85</v>
      </c>
      <c r="G1065">
        <v>0.55000000000000004</v>
      </c>
      <c r="H1065">
        <v>0.77</v>
      </c>
      <c r="I1065">
        <v>2.0249999999999999</v>
      </c>
      <c r="J1065">
        <v>49.3</v>
      </c>
      <c r="K1065" t="s">
        <v>45</v>
      </c>
      <c r="L1065" t="s">
        <v>149</v>
      </c>
      <c r="M1065">
        <v>3</v>
      </c>
      <c r="N1065">
        <v>61.002000000000002</v>
      </c>
      <c r="O1065">
        <v>7.75</v>
      </c>
      <c r="P1065" s="13">
        <v>1.6225000000000001</v>
      </c>
      <c r="Q1065" t="s">
        <v>52</v>
      </c>
      <c r="R1065">
        <v>60</v>
      </c>
      <c r="S1065">
        <v>24</v>
      </c>
      <c r="T1065">
        <v>400</v>
      </c>
      <c r="U1065">
        <v>4</v>
      </c>
      <c r="V1065" s="7">
        <v>0.75191335925997893</v>
      </c>
      <c r="W1065">
        <v>100</v>
      </c>
      <c r="X1065">
        <v>4.1000000000000003E-3</v>
      </c>
      <c r="Y1065">
        <v>1.64</v>
      </c>
      <c r="Z1065">
        <v>7.5</v>
      </c>
      <c r="AA1065">
        <v>4.2</v>
      </c>
      <c r="AB1065">
        <v>25</v>
      </c>
      <c r="AC1065" s="17">
        <v>0.17</v>
      </c>
      <c r="AD1065">
        <v>0.2</v>
      </c>
      <c r="AE1065">
        <v>8</v>
      </c>
      <c r="AF1065" s="11">
        <v>1.6000000000000014E-2</v>
      </c>
    </row>
    <row r="1066" spans="1:32" x14ac:dyDescent="0.3">
      <c r="A1066" t="s">
        <v>148</v>
      </c>
      <c r="B1066" t="s">
        <v>16</v>
      </c>
      <c r="C1066">
        <v>4.51</v>
      </c>
      <c r="D1066">
        <v>318.13</v>
      </c>
      <c r="E1066">
        <v>1.81</v>
      </c>
      <c r="F1066">
        <v>1.85</v>
      </c>
      <c r="G1066">
        <v>0.55000000000000004</v>
      </c>
      <c r="H1066">
        <v>0.77</v>
      </c>
      <c r="I1066">
        <v>2.0249999999999999</v>
      </c>
      <c r="J1066">
        <v>49.3</v>
      </c>
      <c r="K1066" t="s">
        <v>45</v>
      </c>
      <c r="L1066" t="s">
        <v>149</v>
      </c>
      <c r="M1066">
        <v>3</v>
      </c>
      <c r="N1066">
        <v>61.002000000000002</v>
      </c>
      <c r="O1066">
        <v>7.75</v>
      </c>
      <c r="P1066" s="13">
        <v>1.6225000000000001</v>
      </c>
      <c r="Q1066" t="s">
        <v>52</v>
      </c>
      <c r="R1066">
        <v>60</v>
      </c>
      <c r="S1066">
        <v>24</v>
      </c>
      <c r="T1066">
        <v>400</v>
      </c>
      <c r="U1066">
        <v>4</v>
      </c>
      <c r="V1066" s="7">
        <v>0.75191335925997893</v>
      </c>
      <c r="W1066">
        <v>100</v>
      </c>
      <c r="X1066">
        <v>4.1000000000000003E-3</v>
      </c>
      <c r="Y1066">
        <v>1.64</v>
      </c>
      <c r="Z1066">
        <v>7.5</v>
      </c>
      <c r="AA1066">
        <v>4.2</v>
      </c>
      <c r="AB1066">
        <v>25</v>
      </c>
      <c r="AC1066" s="17">
        <v>0.33</v>
      </c>
      <c r="AD1066">
        <v>0.2</v>
      </c>
      <c r="AE1066">
        <v>8</v>
      </c>
      <c r="AF1066" s="11">
        <v>4.7749999999999959E-2</v>
      </c>
    </row>
    <row r="1067" spans="1:32" x14ac:dyDescent="0.3">
      <c r="A1067" t="s">
        <v>148</v>
      </c>
      <c r="B1067" t="s">
        <v>16</v>
      </c>
      <c r="C1067">
        <v>4.51</v>
      </c>
      <c r="D1067">
        <v>318.13</v>
      </c>
      <c r="E1067">
        <v>1.81</v>
      </c>
      <c r="F1067">
        <v>1.85</v>
      </c>
      <c r="G1067">
        <v>0.55000000000000004</v>
      </c>
      <c r="H1067">
        <v>0.77</v>
      </c>
      <c r="I1067">
        <v>2.0249999999999999</v>
      </c>
      <c r="J1067">
        <v>49.3</v>
      </c>
      <c r="K1067" t="s">
        <v>45</v>
      </c>
      <c r="L1067" t="s">
        <v>149</v>
      </c>
      <c r="M1067">
        <v>3</v>
      </c>
      <c r="N1067">
        <v>61.002000000000002</v>
      </c>
      <c r="O1067">
        <v>7.75</v>
      </c>
      <c r="P1067" s="13">
        <v>1.6225000000000001</v>
      </c>
      <c r="Q1067" t="s">
        <v>52</v>
      </c>
      <c r="R1067">
        <v>60</v>
      </c>
      <c r="S1067">
        <v>24</v>
      </c>
      <c r="T1067">
        <v>400</v>
      </c>
      <c r="U1067">
        <v>4</v>
      </c>
      <c r="V1067" s="7">
        <v>0.75191335925997893</v>
      </c>
      <c r="W1067">
        <v>100</v>
      </c>
      <c r="X1067">
        <v>4.1000000000000003E-3</v>
      </c>
      <c r="Y1067">
        <v>1.64</v>
      </c>
      <c r="Z1067">
        <v>7.5</v>
      </c>
      <c r="AA1067">
        <v>4.2</v>
      </c>
      <c r="AB1067">
        <v>25</v>
      </c>
      <c r="AC1067" s="17">
        <v>0.5</v>
      </c>
      <c r="AD1067">
        <v>0.2</v>
      </c>
      <c r="AE1067">
        <v>8</v>
      </c>
      <c r="AF1067" s="11">
        <v>6.3749999999999973E-2</v>
      </c>
    </row>
    <row r="1068" spans="1:32" x14ac:dyDescent="0.3">
      <c r="A1068" t="s">
        <v>148</v>
      </c>
      <c r="B1068" t="s">
        <v>16</v>
      </c>
      <c r="C1068">
        <v>4.51</v>
      </c>
      <c r="D1068">
        <v>318.13</v>
      </c>
      <c r="E1068">
        <v>1.81</v>
      </c>
      <c r="F1068">
        <v>1.85</v>
      </c>
      <c r="G1068">
        <v>0.55000000000000004</v>
      </c>
      <c r="H1068">
        <v>0.77</v>
      </c>
      <c r="I1068">
        <v>2.0249999999999999</v>
      </c>
      <c r="J1068">
        <v>49.3</v>
      </c>
      <c r="K1068" t="s">
        <v>45</v>
      </c>
      <c r="L1068" t="s">
        <v>149</v>
      </c>
      <c r="M1068">
        <v>3</v>
      </c>
      <c r="N1068">
        <v>61.002000000000002</v>
      </c>
      <c r="O1068">
        <v>7.75</v>
      </c>
      <c r="P1068" s="13">
        <v>1.6225000000000001</v>
      </c>
      <c r="Q1068" t="s">
        <v>52</v>
      </c>
      <c r="R1068">
        <v>60</v>
      </c>
      <c r="S1068">
        <v>24</v>
      </c>
      <c r="T1068">
        <v>400</v>
      </c>
      <c r="U1068">
        <v>4</v>
      </c>
      <c r="V1068" s="7">
        <v>0.75191335925997893</v>
      </c>
      <c r="W1068">
        <v>100</v>
      </c>
      <c r="X1068">
        <v>4.1000000000000003E-3</v>
      </c>
      <c r="Y1068">
        <v>1.64</v>
      </c>
      <c r="Z1068">
        <v>7.5</v>
      </c>
      <c r="AA1068">
        <v>4.2</v>
      </c>
      <c r="AB1068">
        <v>25</v>
      </c>
      <c r="AC1068" s="17">
        <v>0.67</v>
      </c>
      <c r="AD1068">
        <v>0.2</v>
      </c>
      <c r="AE1068">
        <v>8</v>
      </c>
      <c r="AF1068" s="11">
        <v>0.11125000000000007</v>
      </c>
    </row>
    <row r="1069" spans="1:32" x14ac:dyDescent="0.3">
      <c r="A1069" t="s">
        <v>148</v>
      </c>
      <c r="B1069" t="s">
        <v>16</v>
      </c>
      <c r="C1069">
        <v>4.51</v>
      </c>
      <c r="D1069">
        <v>318.13</v>
      </c>
      <c r="E1069">
        <v>1.81</v>
      </c>
      <c r="F1069">
        <v>1.85</v>
      </c>
      <c r="G1069">
        <v>0.55000000000000004</v>
      </c>
      <c r="H1069">
        <v>0.77</v>
      </c>
      <c r="I1069">
        <v>2.0249999999999999</v>
      </c>
      <c r="J1069">
        <v>49.3</v>
      </c>
      <c r="K1069" t="s">
        <v>45</v>
      </c>
      <c r="L1069" t="s">
        <v>149</v>
      </c>
      <c r="M1069">
        <v>3</v>
      </c>
      <c r="N1069">
        <v>61.002000000000002</v>
      </c>
      <c r="O1069">
        <v>7.75</v>
      </c>
      <c r="P1069" s="13">
        <v>1.6225000000000001</v>
      </c>
      <c r="Q1069" t="s">
        <v>52</v>
      </c>
      <c r="R1069">
        <v>60</v>
      </c>
      <c r="S1069">
        <v>24</v>
      </c>
      <c r="T1069">
        <v>400</v>
      </c>
      <c r="U1069">
        <v>4</v>
      </c>
      <c r="V1069" s="7">
        <v>0.75191335925997893</v>
      </c>
      <c r="W1069">
        <v>100</v>
      </c>
      <c r="X1069">
        <v>4.1000000000000003E-3</v>
      </c>
      <c r="Y1069">
        <v>1.64</v>
      </c>
      <c r="Z1069">
        <v>7.5</v>
      </c>
      <c r="AA1069">
        <v>4.2</v>
      </c>
      <c r="AB1069">
        <v>25</v>
      </c>
      <c r="AC1069" s="17">
        <v>0.83</v>
      </c>
      <c r="AD1069">
        <v>0.2</v>
      </c>
      <c r="AE1069">
        <v>8</v>
      </c>
      <c r="AF1069" s="11">
        <v>0.11125000000000007</v>
      </c>
    </row>
    <row r="1070" spans="1:32" x14ac:dyDescent="0.3">
      <c r="A1070" t="s">
        <v>148</v>
      </c>
      <c r="B1070" t="s">
        <v>16</v>
      </c>
      <c r="C1070">
        <v>4.51</v>
      </c>
      <c r="D1070">
        <v>318.13</v>
      </c>
      <c r="E1070">
        <v>1.81</v>
      </c>
      <c r="F1070">
        <v>1.85</v>
      </c>
      <c r="G1070">
        <v>0.55000000000000004</v>
      </c>
      <c r="H1070">
        <v>0.77</v>
      </c>
      <c r="I1070">
        <v>2.0249999999999999</v>
      </c>
      <c r="J1070">
        <v>49.3</v>
      </c>
      <c r="K1070" t="s">
        <v>45</v>
      </c>
      <c r="L1070" t="s">
        <v>149</v>
      </c>
      <c r="M1070">
        <v>3</v>
      </c>
      <c r="N1070">
        <v>61.002000000000002</v>
      </c>
      <c r="O1070">
        <v>7.75</v>
      </c>
      <c r="P1070" s="13">
        <v>1.6225000000000001</v>
      </c>
      <c r="Q1070" t="s">
        <v>52</v>
      </c>
      <c r="R1070">
        <v>60</v>
      </c>
      <c r="S1070">
        <v>24</v>
      </c>
      <c r="T1070">
        <v>400</v>
      </c>
      <c r="U1070">
        <v>4</v>
      </c>
      <c r="V1070" s="7">
        <v>0.75191335925997893</v>
      </c>
      <c r="W1070">
        <v>100</v>
      </c>
      <c r="X1070">
        <v>4.1000000000000003E-3</v>
      </c>
      <c r="Y1070">
        <v>1.64</v>
      </c>
      <c r="Z1070">
        <v>7.5</v>
      </c>
      <c r="AA1070">
        <v>4.2</v>
      </c>
      <c r="AB1070">
        <v>25</v>
      </c>
      <c r="AC1070" s="17">
        <v>1</v>
      </c>
      <c r="AD1070">
        <v>0.2</v>
      </c>
      <c r="AE1070">
        <v>8</v>
      </c>
      <c r="AF1070" s="11">
        <v>0.10350000000000004</v>
      </c>
    </row>
    <row r="1071" spans="1:32" x14ac:dyDescent="0.3">
      <c r="A1071" t="s">
        <v>148</v>
      </c>
      <c r="B1071" t="s">
        <v>16</v>
      </c>
      <c r="C1071">
        <v>4.51</v>
      </c>
      <c r="D1071">
        <v>318.13</v>
      </c>
      <c r="E1071">
        <v>1.81</v>
      </c>
      <c r="F1071">
        <v>1.85</v>
      </c>
      <c r="G1071">
        <v>0.55000000000000004</v>
      </c>
      <c r="H1071">
        <v>0.77</v>
      </c>
      <c r="I1071">
        <v>2.0249999999999999</v>
      </c>
      <c r="J1071">
        <v>49.3</v>
      </c>
      <c r="K1071" t="s">
        <v>45</v>
      </c>
      <c r="L1071" t="s">
        <v>149</v>
      </c>
      <c r="M1071">
        <v>3</v>
      </c>
      <c r="N1071">
        <v>61.002000000000002</v>
      </c>
      <c r="O1071">
        <v>7.75</v>
      </c>
      <c r="P1071" s="13">
        <v>1.6225000000000001</v>
      </c>
      <c r="Q1071" t="s">
        <v>52</v>
      </c>
      <c r="R1071">
        <v>60</v>
      </c>
      <c r="S1071">
        <v>24</v>
      </c>
      <c r="T1071">
        <v>400</v>
      </c>
      <c r="U1071">
        <v>4</v>
      </c>
      <c r="V1071" s="7">
        <v>0.75191335925997893</v>
      </c>
      <c r="W1071">
        <v>100</v>
      </c>
      <c r="X1071">
        <v>4.1000000000000003E-3</v>
      </c>
      <c r="Y1071">
        <v>1.64</v>
      </c>
      <c r="Z1071">
        <v>7.5</v>
      </c>
      <c r="AA1071">
        <v>4.2</v>
      </c>
      <c r="AB1071">
        <v>25</v>
      </c>
      <c r="AC1071" s="17">
        <v>1.5</v>
      </c>
      <c r="AD1071">
        <v>0.2</v>
      </c>
      <c r="AE1071">
        <v>8</v>
      </c>
      <c r="AF1071" s="11">
        <v>0.11924999999999997</v>
      </c>
    </row>
    <row r="1072" spans="1:32" x14ac:dyDescent="0.3">
      <c r="A1072" t="s">
        <v>148</v>
      </c>
      <c r="B1072" t="s">
        <v>16</v>
      </c>
      <c r="C1072">
        <v>4.51</v>
      </c>
      <c r="D1072">
        <v>318.13</v>
      </c>
      <c r="E1072">
        <v>1.81</v>
      </c>
      <c r="F1072">
        <v>1.85</v>
      </c>
      <c r="G1072">
        <v>0.55000000000000004</v>
      </c>
      <c r="H1072">
        <v>0.77</v>
      </c>
      <c r="I1072">
        <v>2.0249999999999999</v>
      </c>
      <c r="J1072">
        <v>49.3</v>
      </c>
      <c r="K1072" t="s">
        <v>45</v>
      </c>
      <c r="L1072" t="s">
        <v>149</v>
      </c>
      <c r="M1072">
        <v>3</v>
      </c>
      <c r="N1072">
        <v>61.002000000000002</v>
      </c>
      <c r="O1072">
        <v>7.75</v>
      </c>
      <c r="P1072" s="13">
        <v>1.6225000000000001</v>
      </c>
      <c r="Q1072" t="s">
        <v>52</v>
      </c>
      <c r="R1072">
        <v>60</v>
      </c>
      <c r="S1072">
        <v>24</v>
      </c>
      <c r="T1072">
        <v>400</v>
      </c>
      <c r="U1072">
        <v>4</v>
      </c>
      <c r="V1072" s="7">
        <v>0.75191335925997893</v>
      </c>
      <c r="W1072">
        <v>100</v>
      </c>
      <c r="X1072">
        <v>4.1000000000000003E-3</v>
      </c>
      <c r="Y1072">
        <v>1.64</v>
      </c>
      <c r="Z1072">
        <v>7.5</v>
      </c>
      <c r="AA1072">
        <v>4.2</v>
      </c>
      <c r="AB1072">
        <v>25</v>
      </c>
      <c r="AC1072" s="17">
        <v>2</v>
      </c>
      <c r="AD1072">
        <v>0.2</v>
      </c>
      <c r="AE1072">
        <v>8</v>
      </c>
      <c r="AF1072" s="11">
        <v>0.15100000000000002</v>
      </c>
    </row>
    <row r="1073" spans="1:32" x14ac:dyDescent="0.3">
      <c r="A1073" t="s">
        <v>148</v>
      </c>
      <c r="B1073" t="s">
        <v>16</v>
      </c>
      <c r="C1073">
        <v>4.51</v>
      </c>
      <c r="D1073">
        <v>318.13</v>
      </c>
      <c r="E1073">
        <v>1.81</v>
      </c>
      <c r="F1073">
        <v>1.85</v>
      </c>
      <c r="G1073">
        <v>0.55000000000000004</v>
      </c>
      <c r="H1073">
        <v>0.77</v>
      </c>
      <c r="I1073">
        <v>2.0249999999999999</v>
      </c>
      <c r="J1073">
        <v>49.3</v>
      </c>
      <c r="K1073" t="s">
        <v>45</v>
      </c>
      <c r="L1073" t="s">
        <v>149</v>
      </c>
      <c r="M1073">
        <v>3</v>
      </c>
      <c r="N1073">
        <v>61.002000000000002</v>
      </c>
      <c r="O1073">
        <v>7.75</v>
      </c>
      <c r="P1073" s="13">
        <v>1.6225000000000001</v>
      </c>
      <c r="Q1073" t="s">
        <v>52</v>
      </c>
      <c r="R1073">
        <v>60</v>
      </c>
      <c r="S1073">
        <v>24</v>
      </c>
      <c r="T1073">
        <v>400</v>
      </c>
      <c r="U1073">
        <v>4</v>
      </c>
      <c r="V1073" s="7">
        <v>0.75191335925997893</v>
      </c>
      <c r="W1073">
        <v>100</v>
      </c>
      <c r="X1073">
        <v>4.1000000000000003E-3</v>
      </c>
      <c r="Y1073">
        <v>1.64</v>
      </c>
      <c r="Z1073">
        <v>7.5</v>
      </c>
      <c r="AA1073">
        <v>4.2</v>
      </c>
      <c r="AB1073">
        <v>25</v>
      </c>
      <c r="AC1073" s="17">
        <v>3</v>
      </c>
      <c r="AD1073">
        <v>0.2</v>
      </c>
      <c r="AE1073">
        <v>8</v>
      </c>
      <c r="AF1073" s="11">
        <v>0.16700000000000004</v>
      </c>
    </row>
    <row r="1074" spans="1:32" x14ac:dyDescent="0.3">
      <c r="A1074" t="s">
        <v>148</v>
      </c>
      <c r="B1074" t="s">
        <v>16</v>
      </c>
      <c r="C1074">
        <v>4.51</v>
      </c>
      <c r="D1074">
        <v>318.13</v>
      </c>
      <c r="E1074">
        <v>1.81</v>
      </c>
      <c r="F1074">
        <v>1.85</v>
      </c>
      <c r="G1074">
        <v>0.55000000000000004</v>
      </c>
      <c r="H1074">
        <v>0.77</v>
      </c>
      <c r="I1074">
        <v>2.0249999999999999</v>
      </c>
      <c r="J1074">
        <v>49.3</v>
      </c>
      <c r="K1074" t="s">
        <v>45</v>
      </c>
      <c r="L1074" t="s">
        <v>149</v>
      </c>
      <c r="M1074">
        <v>3</v>
      </c>
      <c r="N1074">
        <v>61.002000000000002</v>
      </c>
      <c r="O1074">
        <v>7.75</v>
      </c>
      <c r="P1074" s="13">
        <v>1.6225000000000001</v>
      </c>
      <c r="Q1074" t="s">
        <v>52</v>
      </c>
      <c r="R1074">
        <v>60</v>
      </c>
      <c r="S1074">
        <v>24</v>
      </c>
      <c r="T1074">
        <v>400</v>
      </c>
      <c r="U1074">
        <v>4</v>
      </c>
      <c r="V1074" s="7">
        <v>0.75191335925997893</v>
      </c>
      <c r="W1074">
        <v>100</v>
      </c>
      <c r="X1074">
        <v>4.1000000000000003E-3</v>
      </c>
      <c r="Y1074">
        <v>1.64</v>
      </c>
      <c r="Z1074">
        <v>7.5</v>
      </c>
      <c r="AA1074">
        <v>4.2</v>
      </c>
      <c r="AB1074">
        <v>25</v>
      </c>
      <c r="AC1074" s="17">
        <v>4</v>
      </c>
      <c r="AD1074">
        <v>0.2</v>
      </c>
      <c r="AE1074">
        <v>8</v>
      </c>
      <c r="AF1074" s="11">
        <v>0.15900000000000003</v>
      </c>
    </row>
    <row r="1075" spans="1:32" x14ac:dyDescent="0.3">
      <c r="A1075" t="s">
        <v>148</v>
      </c>
      <c r="B1075" t="s">
        <v>16</v>
      </c>
      <c r="C1075">
        <v>4.51</v>
      </c>
      <c r="D1075">
        <v>318.13</v>
      </c>
      <c r="E1075">
        <v>1.81</v>
      </c>
      <c r="F1075">
        <v>1.85</v>
      </c>
      <c r="G1075">
        <v>0.55000000000000004</v>
      </c>
      <c r="H1075">
        <v>0.77</v>
      </c>
      <c r="I1075">
        <v>2.0249999999999999</v>
      </c>
      <c r="J1075">
        <v>49.3</v>
      </c>
      <c r="K1075" t="s">
        <v>45</v>
      </c>
      <c r="L1075" t="s">
        <v>149</v>
      </c>
      <c r="M1075">
        <v>3</v>
      </c>
      <c r="N1075">
        <v>61.002000000000002</v>
      </c>
      <c r="O1075">
        <v>7.75</v>
      </c>
      <c r="P1075" s="13">
        <v>1.6225000000000001</v>
      </c>
      <c r="Q1075" t="s">
        <v>52</v>
      </c>
      <c r="R1075">
        <v>60</v>
      </c>
      <c r="S1075">
        <v>24</v>
      </c>
      <c r="T1075">
        <v>400</v>
      </c>
      <c r="U1075">
        <v>4</v>
      </c>
      <c r="V1075" s="7">
        <v>0.75191335925997893</v>
      </c>
      <c r="W1075">
        <v>100</v>
      </c>
      <c r="X1075">
        <v>4.1000000000000003E-3</v>
      </c>
      <c r="Y1075">
        <v>1.64</v>
      </c>
      <c r="Z1075">
        <v>7.5</v>
      </c>
      <c r="AA1075">
        <v>4.2</v>
      </c>
      <c r="AB1075">
        <v>25</v>
      </c>
      <c r="AC1075" s="17">
        <v>5.33</v>
      </c>
      <c r="AD1075">
        <v>0.2</v>
      </c>
      <c r="AE1075">
        <v>8</v>
      </c>
      <c r="AF1075" s="11">
        <v>0.18300000000000005</v>
      </c>
    </row>
    <row r="1076" spans="1:32" x14ac:dyDescent="0.3">
      <c r="A1076" t="s">
        <v>148</v>
      </c>
      <c r="B1076" t="s">
        <v>16</v>
      </c>
      <c r="C1076">
        <v>4.51</v>
      </c>
      <c r="D1076">
        <v>318.13</v>
      </c>
      <c r="E1076">
        <v>1.81</v>
      </c>
      <c r="F1076">
        <v>1.85</v>
      </c>
      <c r="G1076">
        <v>0.55000000000000004</v>
      </c>
      <c r="H1076">
        <v>0.77</v>
      </c>
      <c r="I1076">
        <v>2.0249999999999999</v>
      </c>
      <c r="J1076">
        <v>49.3</v>
      </c>
      <c r="K1076" t="s">
        <v>45</v>
      </c>
      <c r="L1076" t="s">
        <v>149</v>
      </c>
      <c r="M1076">
        <v>3</v>
      </c>
      <c r="N1076">
        <v>61.002000000000002</v>
      </c>
      <c r="O1076">
        <v>7.75</v>
      </c>
      <c r="P1076" s="13">
        <v>1.6225000000000001</v>
      </c>
      <c r="Q1076" t="s">
        <v>52</v>
      </c>
      <c r="R1076">
        <v>60</v>
      </c>
      <c r="S1076">
        <v>24</v>
      </c>
      <c r="T1076">
        <v>400</v>
      </c>
      <c r="U1076">
        <v>4</v>
      </c>
      <c r="V1076" s="7">
        <v>0.75191335925997893</v>
      </c>
      <c r="W1076">
        <v>100</v>
      </c>
      <c r="X1076">
        <v>4.1000000000000003E-3</v>
      </c>
      <c r="Y1076">
        <v>1.64</v>
      </c>
      <c r="Z1076">
        <v>7.5</v>
      </c>
      <c r="AA1076">
        <v>4.2</v>
      </c>
      <c r="AB1076">
        <v>25</v>
      </c>
      <c r="AC1076" s="17">
        <v>6</v>
      </c>
      <c r="AD1076">
        <v>0.2</v>
      </c>
      <c r="AE1076">
        <v>8</v>
      </c>
      <c r="AF1076" s="11">
        <v>0.19874999999999998</v>
      </c>
    </row>
    <row r="1077" spans="1:32" x14ac:dyDescent="0.3">
      <c r="A1077" t="s">
        <v>148</v>
      </c>
      <c r="B1077" t="s">
        <v>16</v>
      </c>
      <c r="C1077">
        <v>4.51</v>
      </c>
      <c r="D1077">
        <v>318.13</v>
      </c>
      <c r="E1077">
        <v>1.81</v>
      </c>
      <c r="F1077">
        <v>1.85</v>
      </c>
      <c r="G1077">
        <v>0.55000000000000004</v>
      </c>
      <c r="H1077">
        <v>0.77</v>
      </c>
      <c r="I1077">
        <v>2.0249999999999999</v>
      </c>
      <c r="J1077">
        <v>49.3</v>
      </c>
      <c r="K1077" t="s">
        <v>45</v>
      </c>
      <c r="L1077" t="s">
        <v>149</v>
      </c>
      <c r="M1077">
        <v>3</v>
      </c>
      <c r="N1077">
        <v>61.002000000000002</v>
      </c>
      <c r="O1077">
        <v>7.75</v>
      </c>
      <c r="P1077" s="13">
        <v>1.6225000000000001</v>
      </c>
      <c r="Q1077" t="s">
        <v>52</v>
      </c>
      <c r="R1077">
        <v>60</v>
      </c>
      <c r="S1077">
        <v>24</v>
      </c>
      <c r="T1077">
        <v>400</v>
      </c>
      <c r="U1077">
        <v>4</v>
      </c>
      <c r="V1077" s="7">
        <v>0.75191335925997893</v>
      </c>
      <c r="W1077">
        <v>100</v>
      </c>
      <c r="X1077">
        <v>4.1000000000000003E-3</v>
      </c>
      <c r="Y1077">
        <v>1.64</v>
      </c>
      <c r="Z1077">
        <v>7.5</v>
      </c>
      <c r="AA1077">
        <v>4.2</v>
      </c>
      <c r="AB1077">
        <v>25</v>
      </c>
      <c r="AC1077" s="17">
        <v>7</v>
      </c>
      <c r="AD1077">
        <v>0.2</v>
      </c>
      <c r="AE1077">
        <v>8</v>
      </c>
      <c r="AF1077" s="11">
        <v>0.20674999999999999</v>
      </c>
    </row>
    <row r="1078" spans="1:32" x14ac:dyDescent="0.3">
      <c r="A1078" t="s">
        <v>148</v>
      </c>
      <c r="B1078" t="s">
        <v>16</v>
      </c>
      <c r="C1078">
        <v>4.51</v>
      </c>
      <c r="D1078">
        <v>318.13</v>
      </c>
      <c r="E1078">
        <v>1.81</v>
      </c>
      <c r="F1078">
        <v>1.85</v>
      </c>
      <c r="G1078">
        <v>0.55000000000000004</v>
      </c>
      <c r="H1078">
        <v>0.77</v>
      </c>
      <c r="I1078">
        <v>2.0249999999999999</v>
      </c>
      <c r="J1078">
        <v>49.3</v>
      </c>
      <c r="K1078" t="s">
        <v>45</v>
      </c>
      <c r="L1078" t="s">
        <v>149</v>
      </c>
      <c r="M1078">
        <v>3</v>
      </c>
      <c r="N1078">
        <v>61.002000000000002</v>
      </c>
      <c r="O1078">
        <v>7.75</v>
      </c>
      <c r="P1078" s="13">
        <v>1.6225000000000001</v>
      </c>
      <c r="Q1078" t="s">
        <v>52</v>
      </c>
      <c r="R1078">
        <v>60</v>
      </c>
      <c r="S1078">
        <v>24</v>
      </c>
      <c r="T1078">
        <v>400</v>
      </c>
      <c r="U1078">
        <v>4</v>
      </c>
      <c r="V1078" s="7">
        <v>0.75191335925997893</v>
      </c>
      <c r="W1078">
        <v>100</v>
      </c>
      <c r="X1078">
        <v>4.1000000000000003E-3</v>
      </c>
      <c r="Y1078">
        <v>1.64</v>
      </c>
      <c r="Z1078">
        <v>7.5</v>
      </c>
      <c r="AA1078">
        <v>4.2</v>
      </c>
      <c r="AB1078">
        <v>25</v>
      </c>
      <c r="AC1078" s="17">
        <v>8</v>
      </c>
      <c r="AD1078">
        <v>0.2</v>
      </c>
      <c r="AE1078">
        <v>8</v>
      </c>
      <c r="AF1078" s="11">
        <v>0.20674999999999999</v>
      </c>
    </row>
    <row r="1079" spans="1:32" x14ac:dyDescent="0.3">
      <c r="A1079" t="s">
        <v>148</v>
      </c>
      <c r="B1079" t="s">
        <v>16</v>
      </c>
      <c r="C1079">
        <v>4.51</v>
      </c>
      <c r="D1079">
        <v>318.13</v>
      </c>
      <c r="E1079">
        <v>1.81</v>
      </c>
      <c r="F1079">
        <v>1.85</v>
      </c>
      <c r="G1079">
        <v>0.55000000000000004</v>
      </c>
      <c r="H1079">
        <v>0.77</v>
      </c>
      <c r="I1079">
        <v>2.0249999999999999</v>
      </c>
      <c r="J1079">
        <v>49.3</v>
      </c>
      <c r="K1079" t="s">
        <v>45</v>
      </c>
      <c r="L1079" t="s">
        <v>149</v>
      </c>
      <c r="M1079">
        <v>3</v>
      </c>
      <c r="N1079">
        <v>61.002000000000002</v>
      </c>
      <c r="O1079">
        <v>7.75</v>
      </c>
      <c r="P1079" s="13">
        <v>1.6225000000000001</v>
      </c>
      <c r="Q1079" t="s">
        <v>52</v>
      </c>
      <c r="R1079">
        <v>60</v>
      </c>
      <c r="S1079">
        <v>24</v>
      </c>
      <c r="T1079">
        <v>400</v>
      </c>
      <c r="U1079">
        <v>4</v>
      </c>
      <c r="V1079" s="7">
        <v>0.75191335925997893</v>
      </c>
      <c r="W1079">
        <v>100</v>
      </c>
      <c r="X1079">
        <v>4.1000000000000003E-3</v>
      </c>
      <c r="Y1079">
        <v>1.64</v>
      </c>
      <c r="Z1079">
        <v>7.5</v>
      </c>
      <c r="AA1079">
        <v>4.2</v>
      </c>
      <c r="AB1079">
        <v>25</v>
      </c>
      <c r="AC1079" s="17">
        <v>8.17</v>
      </c>
      <c r="AD1079">
        <v>0.2</v>
      </c>
      <c r="AE1079">
        <v>8</v>
      </c>
      <c r="AF1079" s="11">
        <v>0.20674999999999999</v>
      </c>
    </row>
    <row r="1080" spans="1:32" x14ac:dyDescent="0.3">
      <c r="A1080" t="s">
        <v>148</v>
      </c>
      <c r="B1080" t="s">
        <v>16</v>
      </c>
      <c r="C1080">
        <v>4.51</v>
      </c>
      <c r="D1080">
        <v>318.13</v>
      </c>
      <c r="E1080">
        <v>1.81</v>
      </c>
      <c r="F1080">
        <v>1.85</v>
      </c>
      <c r="G1080">
        <v>0.55000000000000004</v>
      </c>
      <c r="H1080">
        <v>0.77</v>
      </c>
      <c r="I1080">
        <v>2.0249999999999999</v>
      </c>
      <c r="J1080">
        <v>49.3</v>
      </c>
      <c r="K1080" t="s">
        <v>45</v>
      </c>
      <c r="L1080" t="s">
        <v>149</v>
      </c>
      <c r="M1080">
        <v>3</v>
      </c>
      <c r="N1080">
        <v>61.002000000000002</v>
      </c>
      <c r="O1080">
        <v>7.75</v>
      </c>
      <c r="P1080" s="13">
        <v>1.6225000000000001</v>
      </c>
      <c r="Q1080" t="s">
        <v>52</v>
      </c>
      <c r="R1080">
        <v>60</v>
      </c>
      <c r="S1080">
        <v>24</v>
      </c>
      <c r="T1080">
        <v>400</v>
      </c>
      <c r="U1080">
        <v>4</v>
      </c>
      <c r="V1080" s="7">
        <v>0.75191335925997893</v>
      </c>
      <c r="W1080">
        <v>100</v>
      </c>
      <c r="X1080">
        <v>4.1000000000000003E-3</v>
      </c>
      <c r="Y1080">
        <v>1.64</v>
      </c>
      <c r="Z1080">
        <v>7.5</v>
      </c>
      <c r="AA1080">
        <v>4.2</v>
      </c>
      <c r="AB1080">
        <v>25</v>
      </c>
      <c r="AC1080" s="17">
        <v>8.5</v>
      </c>
      <c r="AD1080">
        <v>0.2</v>
      </c>
      <c r="AE1080">
        <v>8</v>
      </c>
      <c r="AF1080" s="11">
        <v>0.20674999999999999</v>
      </c>
    </row>
    <row r="1081" spans="1:32" x14ac:dyDescent="0.3">
      <c r="A1081" t="s">
        <v>148</v>
      </c>
      <c r="B1081" t="s">
        <v>16</v>
      </c>
      <c r="C1081">
        <v>4.51</v>
      </c>
      <c r="D1081">
        <v>318.13</v>
      </c>
      <c r="E1081">
        <v>1.81</v>
      </c>
      <c r="F1081">
        <v>1.85</v>
      </c>
      <c r="G1081">
        <v>0.55000000000000004</v>
      </c>
      <c r="H1081">
        <v>0.77</v>
      </c>
      <c r="I1081">
        <v>2.0249999999999999</v>
      </c>
      <c r="J1081">
        <v>49.3</v>
      </c>
      <c r="K1081" t="s">
        <v>45</v>
      </c>
      <c r="L1081" t="s">
        <v>149</v>
      </c>
      <c r="M1081">
        <v>3</v>
      </c>
      <c r="N1081">
        <v>61.002000000000002</v>
      </c>
      <c r="O1081">
        <v>7.75</v>
      </c>
      <c r="P1081" s="13">
        <v>1.6225000000000001</v>
      </c>
      <c r="Q1081" t="s">
        <v>52</v>
      </c>
      <c r="R1081">
        <v>60</v>
      </c>
      <c r="S1081">
        <v>24</v>
      </c>
      <c r="T1081">
        <v>400</v>
      </c>
      <c r="U1081">
        <v>4</v>
      </c>
      <c r="V1081" s="7">
        <v>0.75191335925997893</v>
      </c>
      <c r="W1081">
        <v>100</v>
      </c>
      <c r="X1081">
        <v>4.1000000000000003E-3</v>
      </c>
      <c r="Y1081">
        <v>1.64</v>
      </c>
      <c r="Z1081">
        <v>7.5</v>
      </c>
      <c r="AA1081">
        <v>4.2</v>
      </c>
      <c r="AB1081">
        <v>25</v>
      </c>
      <c r="AC1081" s="17">
        <v>9</v>
      </c>
      <c r="AD1081">
        <v>0.2</v>
      </c>
      <c r="AE1081">
        <v>8</v>
      </c>
      <c r="AF1081" s="11">
        <v>0.20674999999999999</v>
      </c>
    </row>
    <row r="1082" spans="1:32" x14ac:dyDescent="0.3">
      <c r="A1082" t="s">
        <v>148</v>
      </c>
      <c r="B1082" t="s">
        <v>16</v>
      </c>
      <c r="C1082">
        <v>4.51</v>
      </c>
      <c r="D1082">
        <v>318.13</v>
      </c>
      <c r="E1082">
        <v>1.81</v>
      </c>
      <c r="F1082">
        <v>1.85</v>
      </c>
      <c r="G1082">
        <v>0.55000000000000004</v>
      </c>
      <c r="H1082">
        <v>0.77</v>
      </c>
      <c r="I1082">
        <v>2.0249999999999999</v>
      </c>
      <c r="J1082">
        <v>49.3</v>
      </c>
      <c r="K1082" t="s">
        <v>45</v>
      </c>
      <c r="L1082" t="s">
        <v>149</v>
      </c>
      <c r="M1082">
        <v>3</v>
      </c>
      <c r="N1082">
        <v>61.002000000000002</v>
      </c>
      <c r="O1082">
        <v>7.75</v>
      </c>
      <c r="P1082" s="13">
        <v>1.6225000000000001</v>
      </c>
      <c r="Q1082" t="s">
        <v>52</v>
      </c>
      <c r="R1082">
        <v>60</v>
      </c>
      <c r="S1082">
        <v>24</v>
      </c>
      <c r="T1082">
        <v>400</v>
      </c>
      <c r="U1082">
        <v>4</v>
      </c>
      <c r="V1082" s="7">
        <v>0.75191335925997893</v>
      </c>
      <c r="W1082">
        <v>100</v>
      </c>
      <c r="X1082">
        <v>4.1000000000000003E-3</v>
      </c>
      <c r="Y1082">
        <v>1.64</v>
      </c>
      <c r="Z1082">
        <v>7.5</v>
      </c>
      <c r="AA1082">
        <v>4.2</v>
      </c>
      <c r="AB1082">
        <v>25</v>
      </c>
      <c r="AC1082" s="17">
        <v>0.17</v>
      </c>
      <c r="AD1082">
        <v>0.2</v>
      </c>
      <c r="AE1082">
        <v>16</v>
      </c>
      <c r="AF1082" s="11">
        <v>0.17900000000000005</v>
      </c>
    </row>
    <row r="1083" spans="1:32" x14ac:dyDescent="0.3">
      <c r="A1083" t="s">
        <v>148</v>
      </c>
      <c r="B1083" t="s">
        <v>16</v>
      </c>
      <c r="C1083">
        <v>4.51</v>
      </c>
      <c r="D1083">
        <v>318.13</v>
      </c>
      <c r="E1083">
        <v>1.81</v>
      </c>
      <c r="F1083">
        <v>1.85</v>
      </c>
      <c r="G1083">
        <v>0.55000000000000004</v>
      </c>
      <c r="H1083">
        <v>0.77</v>
      </c>
      <c r="I1083">
        <v>2.0249999999999999</v>
      </c>
      <c r="J1083">
        <v>49.3</v>
      </c>
      <c r="K1083" t="s">
        <v>45</v>
      </c>
      <c r="L1083" t="s">
        <v>149</v>
      </c>
      <c r="M1083">
        <v>3</v>
      </c>
      <c r="N1083">
        <v>61.002000000000002</v>
      </c>
      <c r="O1083">
        <v>7.75</v>
      </c>
      <c r="P1083" s="13">
        <v>1.6225000000000001</v>
      </c>
      <c r="Q1083" t="s">
        <v>52</v>
      </c>
      <c r="R1083">
        <v>60</v>
      </c>
      <c r="S1083">
        <v>24</v>
      </c>
      <c r="T1083">
        <v>400</v>
      </c>
      <c r="U1083">
        <v>4</v>
      </c>
      <c r="V1083" s="7">
        <v>0.75191335925997893</v>
      </c>
      <c r="W1083">
        <v>100</v>
      </c>
      <c r="X1083">
        <v>4.1000000000000003E-3</v>
      </c>
      <c r="Y1083">
        <v>1.64</v>
      </c>
      <c r="Z1083">
        <v>7.5</v>
      </c>
      <c r="AA1083">
        <v>4.2</v>
      </c>
      <c r="AB1083">
        <v>25</v>
      </c>
      <c r="AC1083" s="17">
        <v>0.33</v>
      </c>
      <c r="AD1083">
        <v>0.2</v>
      </c>
      <c r="AE1083">
        <v>16</v>
      </c>
      <c r="AF1083" s="11">
        <v>0.25849999999999995</v>
      </c>
    </row>
    <row r="1084" spans="1:32" x14ac:dyDescent="0.3">
      <c r="A1084" t="s">
        <v>148</v>
      </c>
      <c r="B1084" t="s">
        <v>16</v>
      </c>
      <c r="C1084">
        <v>4.51</v>
      </c>
      <c r="D1084">
        <v>318.13</v>
      </c>
      <c r="E1084">
        <v>1.81</v>
      </c>
      <c r="F1084">
        <v>1.85</v>
      </c>
      <c r="G1084">
        <v>0.55000000000000004</v>
      </c>
      <c r="H1084">
        <v>0.77</v>
      </c>
      <c r="I1084">
        <v>2.0249999999999999</v>
      </c>
      <c r="J1084">
        <v>49.3</v>
      </c>
      <c r="K1084" t="s">
        <v>45</v>
      </c>
      <c r="L1084" t="s">
        <v>149</v>
      </c>
      <c r="M1084">
        <v>3</v>
      </c>
      <c r="N1084">
        <v>61.002000000000002</v>
      </c>
      <c r="O1084">
        <v>7.75</v>
      </c>
      <c r="P1084" s="13">
        <v>1.6225000000000001</v>
      </c>
      <c r="Q1084" t="s">
        <v>52</v>
      </c>
      <c r="R1084">
        <v>60</v>
      </c>
      <c r="S1084">
        <v>24</v>
      </c>
      <c r="T1084">
        <v>400</v>
      </c>
      <c r="U1084">
        <v>4</v>
      </c>
      <c r="V1084" s="7">
        <v>0.75191335925997893</v>
      </c>
      <c r="W1084">
        <v>100</v>
      </c>
      <c r="X1084">
        <v>4.1000000000000003E-3</v>
      </c>
      <c r="Y1084">
        <v>1.64</v>
      </c>
      <c r="Z1084">
        <v>7.5</v>
      </c>
      <c r="AA1084">
        <v>4.2</v>
      </c>
      <c r="AB1084">
        <v>25</v>
      </c>
      <c r="AC1084" s="17">
        <v>0.5</v>
      </c>
      <c r="AD1084">
        <v>0.2</v>
      </c>
      <c r="AE1084">
        <v>16</v>
      </c>
      <c r="AF1084" s="11">
        <v>0.33800000000000008</v>
      </c>
    </row>
    <row r="1085" spans="1:32" x14ac:dyDescent="0.3">
      <c r="A1085" t="s">
        <v>148</v>
      </c>
      <c r="B1085" t="s">
        <v>16</v>
      </c>
      <c r="C1085">
        <v>4.51</v>
      </c>
      <c r="D1085">
        <v>318.13</v>
      </c>
      <c r="E1085">
        <v>1.81</v>
      </c>
      <c r="F1085">
        <v>1.85</v>
      </c>
      <c r="G1085">
        <v>0.55000000000000004</v>
      </c>
      <c r="H1085">
        <v>0.77</v>
      </c>
      <c r="I1085">
        <v>2.0249999999999999</v>
      </c>
      <c r="J1085">
        <v>49.3</v>
      </c>
      <c r="K1085" t="s">
        <v>45</v>
      </c>
      <c r="L1085" t="s">
        <v>149</v>
      </c>
      <c r="M1085">
        <v>3</v>
      </c>
      <c r="N1085">
        <v>61.002000000000002</v>
      </c>
      <c r="O1085">
        <v>7.75</v>
      </c>
      <c r="P1085" s="13">
        <v>1.6225000000000001</v>
      </c>
      <c r="Q1085" t="s">
        <v>52</v>
      </c>
      <c r="R1085">
        <v>60</v>
      </c>
      <c r="S1085">
        <v>24</v>
      </c>
      <c r="T1085">
        <v>400</v>
      </c>
      <c r="U1085">
        <v>4</v>
      </c>
      <c r="V1085" s="7">
        <v>0.75191335925997893</v>
      </c>
      <c r="W1085">
        <v>100</v>
      </c>
      <c r="X1085">
        <v>4.1000000000000003E-3</v>
      </c>
      <c r="Y1085">
        <v>1.64</v>
      </c>
      <c r="Z1085">
        <v>7.5</v>
      </c>
      <c r="AA1085">
        <v>4.2</v>
      </c>
      <c r="AB1085">
        <v>25</v>
      </c>
      <c r="AC1085" s="17">
        <v>0.67</v>
      </c>
      <c r="AD1085">
        <v>0.2</v>
      </c>
      <c r="AE1085">
        <v>16</v>
      </c>
      <c r="AF1085" s="11">
        <v>0.33800000000000008</v>
      </c>
    </row>
    <row r="1086" spans="1:32" x14ac:dyDescent="0.3">
      <c r="A1086" t="s">
        <v>148</v>
      </c>
      <c r="B1086" t="s">
        <v>16</v>
      </c>
      <c r="C1086">
        <v>4.51</v>
      </c>
      <c r="D1086">
        <v>318.13</v>
      </c>
      <c r="E1086">
        <v>1.81</v>
      </c>
      <c r="F1086">
        <v>1.85</v>
      </c>
      <c r="G1086">
        <v>0.55000000000000004</v>
      </c>
      <c r="H1086">
        <v>0.77</v>
      </c>
      <c r="I1086">
        <v>2.0249999999999999</v>
      </c>
      <c r="J1086">
        <v>49.3</v>
      </c>
      <c r="K1086" t="s">
        <v>45</v>
      </c>
      <c r="L1086" t="s">
        <v>149</v>
      </c>
      <c r="M1086">
        <v>3</v>
      </c>
      <c r="N1086">
        <v>61.002000000000002</v>
      </c>
      <c r="O1086">
        <v>7.75</v>
      </c>
      <c r="P1086" s="13">
        <v>1.6225000000000001</v>
      </c>
      <c r="Q1086" t="s">
        <v>52</v>
      </c>
      <c r="R1086">
        <v>60</v>
      </c>
      <c r="S1086">
        <v>24</v>
      </c>
      <c r="T1086">
        <v>400</v>
      </c>
      <c r="U1086">
        <v>4</v>
      </c>
      <c r="V1086" s="7">
        <v>0.75191335925997893</v>
      </c>
      <c r="W1086">
        <v>100</v>
      </c>
      <c r="X1086">
        <v>4.1000000000000003E-3</v>
      </c>
      <c r="Y1086">
        <v>1.64</v>
      </c>
      <c r="Z1086">
        <v>7.5</v>
      </c>
      <c r="AA1086">
        <v>4.2</v>
      </c>
      <c r="AB1086">
        <v>25</v>
      </c>
      <c r="AC1086" s="17">
        <v>0.83</v>
      </c>
      <c r="AD1086">
        <v>0.2</v>
      </c>
      <c r="AE1086">
        <v>16</v>
      </c>
      <c r="AF1086" s="11">
        <v>0.37775000000000003</v>
      </c>
    </row>
    <row r="1087" spans="1:32" x14ac:dyDescent="0.3">
      <c r="A1087" t="s">
        <v>148</v>
      </c>
      <c r="B1087" t="s">
        <v>16</v>
      </c>
      <c r="C1087">
        <v>4.51</v>
      </c>
      <c r="D1087">
        <v>318.13</v>
      </c>
      <c r="E1087">
        <v>1.81</v>
      </c>
      <c r="F1087">
        <v>1.85</v>
      </c>
      <c r="G1087">
        <v>0.55000000000000004</v>
      </c>
      <c r="H1087">
        <v>0.77</v>
      </c>
      <c r="I1087">
        <v>2.0249999999999999</v>
      </c>
      <c r="J1087">
        <v>49.3</v>
      </c>
      <c r="K1087" t="s">
        <v>45</v>
      </c>
      <c r="L1087" t="s">
        <v>149</v>
      </c>
      <c r="M1087">
        <v>3</v>
      </c>
      <c r="N1087">
        <v>61.002000000000002</v>
      </c>
      <c r="O1087">
        <v>7.75</v>
      </c>
      <c r="P1087" s="13">
        <v>1.6225000000000001</v>
      </c>
      <c r="Q1087" t="s">
        <v>52</v>
      </c>
      <c r="R1087">
        <v>60</v>
      </c>
      <c r="S1087">
        <v>24</v>
      </c>
      <c r="T1087">
        <v>400</v>
      </c>
      <c r="U1087">
        <v>4</v>
      </c>
      <c r="V1087" s="7">
        <v>0.75191335925997893</v>
      </c>
      <c r="W1087">
        <v>100</v>
      </c>
      <c r="X1087">
        <v>4.1000000000000003E-3</v>
      </c>
      <c r="Y1087">
        <v>1.64</v>
      </c>
      <c r="Z1087">
        <v>7.5</v>
      </c>
      <c r="AA1087">
        <v>4.2</v>
      </c>
      <c r="AB1087">
        <v>25</v>
      </c>
      <c r="AC1087" s="17">
        <v>1</v>
      </c>
      <c r="AD1087">
        <v>0.2</v>
      </c>
      <c r="AE1087">
        <v>16</v>
      </c>
      <c r="AF1087" s="11">
        <v>0.39762500000000001</v>
      </c>
    </row>
    <row r="1088" spans="1:32" x14ac:dyDescent="0.3">
      <c r="A1088" t="s">
        <v>148</v>
      </c>
      <c r="B1088" t="s">
        <v>16</v>
      </c>
      <c r="C1088">
        <v>4.51</v>
      </c>
      <c r="D1088">
        <v>318.13</v>
      </c>
      <c r="E1088">
        <v>1.81</v>
      </c>
      <c r="F1088">
        <v>1.85</v>
      </c>
      <c r="G1088">
        <v>0.55000000000000004</v>
      </c>
      <c r="H1088">
        <v>0.77</v>
      </c>
      <c r="I1088">
        <v>2.0249999999999999</v>
      </c>
      <c r="J1088">
        <v>49.3</v>
      </c>
      <c r="K1088" t="s">
        <v>45</v>
      </c>
      <c r="L1088" t="s">
        <v>149</v>
      </c>
      <c r="M1088">
        <v>3</v>
      </c>
      <c r="N1088">
        <v>61.002000000000002</v>
      </c>
      <c r="O1088">
        <v>7.75</v>
      </c>
      <c r="P1088" s="13">
        <v>1.6225000000000001</v>
      </c>
      <c r="Q1088" t="s">
        <v>52</v>
      </c>
      <c r="R1088">
        <v>60</v>
      </c>
      <c r="S1088">
        <v>24</v>
      </c>
      <c r="T1088">
        <v>400</v>
      </c>
      <c r="U1088">
        <v>4</v>
      </c>
      <c r="V1088" s="7">
        <v>0.75191335925997893</v>
      </c>
      <c r="W1088">
        <v>100</v>
      </c>
      <c r="X1088">
        <v>4.1000000000000003E-3</v>
      </c>
      <c r="Y1088">
        <v>1.64</v>
      </c>
      <c r="Z1088">
        <v>7.5</v>
      </c>
      <c r="AA1088">
        <v>4.2</v>
      </c>
      <c r="AB1088">
        <v>25</v>
      </c>
      <c r="AC1088" s="17">
        <v>1.5</v>
      </c>
      <c r="AD1088">
        <v>0.2</v>
      </c>
      <c r="AE1088">
        <v>16</v>
      </c>
      <c r="AF1088" s="11">
        <v>0.46924999999999994</v>
      </c>
    </row>
    <row r="1089" spans="1:32" x14ac:dyDescent="0.3">
      <c r="A1089" t="s">
        <v>148</v>
      </c>
      <c r="B1089" t="s">
        <v>16</v>
      </c>
      <c r="C1089">
        <v>4.51</v>
      </c>
      <c r="D1089">
        <v>318.13</v>
      </c>
      <c r="E1089">
        <v>1.81</v>
      </c>
      <c r="F1089">
        <v>1.85</v>
      </c>
      <c r="G1089">
        <v>0.55000000000000004</v>
      </c>
      <c r="H1089">
        <v>0.77</v>
      </c>
      <c r="I1089">
        <v>2.0249999999999999</v>
      </c>
      <c r="J1089">
        <v>49.3</v>
      </c>
      <c r="K1089" t="s">
        <v>45</v>
      </c>
      <c r="L1089" t="s">
        <v>149</v>
      </c>
      <c r="M1089">
        <v>3</v>
      </c>
      <c r="N1089">
        <v>61.002000000000002</v>
      </c>
      <c r="O1089">
        <v>7.75</v>
      </c>
      <c r="P1089" s="13">
        <v>1.6225000000000001</v>
      </c>
      <c r="Q1089" t="s">
        <v>52</v>
      </c>
      <c r="R1089">
        <v>60</v>
      </c>
      <c r="S1089">
        <v>24</v>
      </c>
      <c r="T1089">
        <v>400</v>
      </c>
      <c r="U1089">
        <v>4</v>
      </c>
      <c r="V1089" s="7">
        <v>0.75191335925997893</v>
      </c>
      <c r="W1089">
        <v>100</v>
      </c>
      <c r="X1089">
        <v>4.1000000000000003E-3</v>
      </c>
      <c r="Y1089">
        <v>1.64</v>
      </c>
      <c r="Z1089">
        <v>7.5</v>
      </c>
      <c r="AA1089">
        <v>4.2</v>
      </c>
      <c r="AB1089">
        <v>25</v>
      </c>
      <c r="AC1089" s="17">
        <v>2</v>
      </c>
      <c r="AD1089">
        <v>0.2</v>
      </c>
      <c r="AE1089">
        <v>16</v>
      </c>
      <c r="AF1089" s="11">
        <v>0.50900000000000001</v>
      </c>
    </row>
    <row r="1090" spans="1:32" x14ac:dyDescent="0.3">
      <c r="A1090" t="s">
        <v>148</v>
      </c>
      <c r="B1090" t="s">
        <v>16</v>
      </c>
      <c r="C1090">
        <v>4.51</v>
      </c>
      <c r="D1090">
        <v>318.13</v>
      </c>
      <c r="E1090">
        <v>1.81</v>
      </c>
      <c r="F1090">
        <v>1.85</v>
      </c>
      <c r="G1090">
        <v>0.55000000000000004</v>
      </c>
      <c r="H1090">
        <v>0.77</v>
      </c>
      <c r="I1090">
        <v>2.0249999999999999</v>
      </c>
      <c r="J1090">
        <v>49.3</v>
      </c>
      <c r="K1090" t="s">
        <v>45</v>
      </c>
      <c r="L1090" t="s">
        <v>149</v>
      </c>
      <c r="M1090">
        <v>3</v>
      </c>
      <c r="N1090">
        <v>61.002000000000002</v>
      </c>
      <c r="O1090">
        <v>7.75</v>
      </c>
      <c r="P1090" s="13">
        <v>1.6225000000000001</v>
      </c>
      <c r="Q1090" t="s">
        <v>52</v>
      </c>
      <c r="R1090">
        <v>60</v>
      </c>
      <c r="S1090">
        <v>24</v>
      </c>
      <c r="T1090">
        <v>400</v>
      </c>
      <c r="U1090">
        <v>4</v>
      </c>
      <c r="V1090" s="7">
        <v>0.75191335925997893</v>
      </c>
      <c r="W1090">
        <v>100</v>
      </c>
      <c r="X1090">
        <v>4.1000000000000003E-3</v>
      </c>
      <c r="Y1090">
        <v>1.64</v>
      </c>
      <c r="Z1090">
        <v>7.5</v>
      </c>
      <c r="AA1090">
        <v>4.2</v>
      </c>
      <c r="AB1090">
        <v>25</v>
      </c>
      <c r="AC1090" s="17">
        <v>3</v>
      </c>
      <c r="AD1090">
        <v>0.2</v>
      </c>
      <c r="AE1090">
        <v>16</v>
      </c>
      <c r="AF1090" s="11">
        <v>0.58850000000000002</v>
      </c>
    </row>
    <row r="1091" spans="1:32" x14ac:dyDescent="0.3">
      <c r="A1091" t="s">
        <v>148</v>
      </c>
      <c r="B1091" t="s">
        <v>16</v>
      </c>
      <c r="C1091">
        <v>4.51</v>
      </c>
      <c r="D1091">
        <v>318.13</v>
      </c>
      <c r="E1091">
        <v>1.81</v>
      </c>
      <c r="F1091">
        <v>1.85</v>
      </c>
      <c r="G1091">
        <v>0.55000000000000004</v>
      </c>
      <c r="H1091">
        <v>0.77</v>
      </c>
      <c r="I1091">
        <v>2.0249999999999999</v>
      </c>
      <c r="J1091">
        <v>49.3</v>
      </c>
      <c r="K1091" t="s">
        <v>45</v>
      </c>
      <c r="L1091" t="s">
        <v>149</v>
      </c>
      <c r="M1091">
        <v>3</v>
      </c>
      <c r="N1091">
        <v>61.002000000000002</v>
      </c>
      <c r="O1091">
        <v>7.75</v>
      </c>
      <c r="P1091" s="13">
        <v>1.6225000000000001</v>
      </c>
      <c r="Q1091" t="s">
        <v>52</v>
      </c>
      <c r="R1091">
        <v>60</v>
      </c>
      <c r="S1091">
        <v>24</v>
      </c>
      <c r="T1091">
        <v>400</v>
      </c>
      <c r="U1091">
        <v>4</v>
      </c>
      <c r="V1091" s="7">
        <v>0.75191335925997893</v>
      </c>
      <c r="W1091">
        <v>100</v>
      </c>
      <c r="X1091">
        <v>4.1000000000000003E-3</v>
      </c>
      <c r="Y1091">
        <v>1.64</v>
      </c>
      <c r="Z1091">
        <v>7.5</v>
      </c>
      <c r="AA1091">
        <v>4.2</v>
      </c>
      <c r="AB1091">
        <v>25</v>
      </c>
      <c r="AC1091" s="17">
        <v>4</v>
      </c>
      <c r="AD1091">
        <v>0.2</v>
      </c>
      <c r="AE1091">
        <v>16</v>
      </c>
      <c r="AF1091" s="11">
        <v>0.60837500000000011</v>
      </c>
    </row>
    <row r="1092" spans="1:32" x14ac:dyDescent="0.3">
      <c r="A1092" t="s">
        <v>148</v>
      </c>
      <c r="B1092" t="s">
        <v>16</v>
      </c>
      <c r="C1092">
        <v>4.51</v>
      </c>
      <c r="D1092">
        <v>318.13</v>
      </c>
      <c r="E1092">
        <v>1.81</v>
      </c>
      <c r="F1092">
        <v>1.85</v>
      </c>
      <c r="G1092">
        <v>0.55000000000000004</v>
      </c>
      <c r="H1092">
        <v>0.77</v>
      </c>
      <c r="I1092">
        <v>2.0249999999999999</v>
      </c>
      <c r="J1092">
        <v>49.3</v>
      </c>
      <c r="K1092" t="s">
        <v>45</v>
      </c>
      <c r="L1092" t="s">
        <v>149</v>
      </c>
      <c r="M1092">
        <v>3</v>
      </c>
      <c r="N1092">
        <v>61.002000000000002</v>
      </c>
      <c r="O1092">
        <v>7.75</v>
      </c>
      <c r="P1092" s="13">
        <v>1.6225000000000001</v>
      </c>
      <c r="Q1092" t="s">
        <v>52</v>
      </c>
      <c r="R1092">
        <v>60</v>
      </c>
      <c r="S1092">
        <v>24</v>
      </c>
      <c r="T1092">
        <v>400</v>
      </c>
      <c r="U1092">
        <v>4</v>
      </c>
      <c r="V1092" s="7">
        <v>0.75191335925997893</v>
      </c>
      <c r="W1092">
        <v>100</v>
      </c>
      <c r="X1092">
        <v>4.1000000000000003E-3</v>
      </c>
      <c r="Y1092">
        <v>1.64</v>
      </c>
      <c r="Z1092">
        <v>7.5</v>
      </c>
      <c r="AA1092">
        <v>4.2</v>
      </c>
      <c r="AB1092">
        <v>25</v>
      </c>
      <c r="AC1092" s="17">
        <v>6</v>
      </c>
      <c r="AD1092">
        <v>0.2</v>
      </c>
      <c r="AE1092">
        <v>16</v>
      </c>
      <c r="AF1092" s="11">
        <v>0.64424999999999999</v>
      </c>
    </row>
    <row r="1093" spans="1:32" x14ac:dyDescent="0.3">
      <c r="A1093" t="s">
        <v>148</v>
      </c>
      <c r="B1093" t="s">
        <v>16</v>
      </c>
      <c r="C1093">
        <v>4.51</v>
      </c>
      <c r="D1093">
        <v>318.13</v>
      </c>
      <c r="E1093">
        <v>1.81</v>
      </c>
      <c r="F1093">
        <v>1.85</v>
      </c>
      <c r="G1093">
        <v>0.55000000000000004</v>
      </c>
      <c r="H1093">
        <v>0.77</v>
      </c>
      <c r="I1093">
        <v>2.0249999999999999</v>
      </c>
      <c r="J1093">
        <v>49.3</v>
      </c>
      <c r="K1093" t="s">
        <v>45</v>
      </c>
      <c r="L1093" t="s">
        <v>149</v>
      </c>
      <c r="M1093">
        <v>3</v>
      </c>
      <c r="N1093">
        <v>61.002000000000002</v>
      </c>
      <c r="O1093">
        <v>7.75</v>
      </c>
      <c r="P1093" s="13">
        <v>1.6225000000000001</v>
      </c>
      <c r="Q1093" t="s">
        <v>52</v>
      </c>
      <c r="R1093">
        <v>60</v>
      </c>
      <c r="S1093">
        <v>24</v>
      </c>
      <c r="T1093">
        <v>400</v>
      </c>
      <c r="U1093">
        <v>4</v>
      </c>
      <c r="V1093" s="7">
        <v>0.75191335925997893</v>
      </c>
      <c r="W1093">
        <v>100</v>
      </c>
      <c r="X1093">
        <v>4.1000000000000003E-3</v>
      </c>
      <c r="Y1093">
        <v>1.64</v>
      </c>
      <c r="Z1093">
        <v>7.5</v>
      </c>
      <c r="AA1093">
        <v>4.2</v>
      </c>
      <c r="AB1093">
        <v>25</v>
      </c>
      <c r="AC1093" s="17">
        <v>7</v>
      </c>
      <c r="AD1093">
        <v>0.2</v>
      </c>
      <c r="AE1093">
        <v>16</v>
      </c>
      <c r="AF1093" s="11">
        <v>0.66812500000000008</v>
      </c>
    </row>
    <row r="1094" spans="1:32" x14ac:dyDescent="0.3">
      <c r="A1094" t="s">
        <v>148</v>
      </c>
      <c r="B1094" t="s">
        <v>16</v>
      </c>
      <c r="C1094">
        <v>4.51</v>
      </c>
      <c r="D1094">
        <v>318.13</v>
      </c>
      <c r="E1094">
        <v>1.81</v>
      </c>
      <c r="F1094">
        <v>1.85</v>
      </c>
      <c r="G1094">
        <v>0.55000000000000004</v>
      </c>
      <c r="H1094">
        <v>0.77</v>
      </c>
      <c r="I1094">
        <v>2.0249999999999999</v>
      </c>
      <c r="J1094">
        <v>49.3</v>
      </c>
      <c r="K1094" t="s">
        <v>45</v>
      </c>
      <c r="L1094" t="s">
        <v>149</v>
      </c>
      <c r="M1094">
        <v>3</v>
      </c>
      <c r="N1094">
        <v>61.002000000000002</v>
      </c>
      <c r="O1094">
        <v>7.75</v>
      </c>
      <c r="P1094" s="13">
        <v>1.6225000000000001</v>
      </c>
      <c r="Q1094" t="s">
        <v>52</v>
      </c>
      <c r="R1094">
        <v>60</v>
      </c>
      <c r="S1094">
        <v>24</v>
      </c>
      <c r="T1094">
        <v>400</v>
      </c>
      <c r="U1094">
        <v>4</v>
      </c>
      <c r="V1094" s="7">
        <v>0.75191335925997893</v>
      </c>
      <c r="W1094">
        <v>100</v>
      </c>
      <c r="X1094">
        <v>4.1000000000000003E-3</v>
      </c>
      <c r="Y1094">
        <v>1.64</v>
      </c>
      <c r="Z1094">
        <v>7.5</v>
      </c>
      <c r="AA1094">
        <v>4.2</v>
      </c>
      <c r="AB1094">
        <v>25</v>
      </c>
      <c r="AC1094" s="17">
        <v>8</v>
      </c>
      <c r="AD1094">
        <v>0.2</v>
      </c>
      <c r="AE1094">
        <v>16</v>
      </c>
      <c r="AF1094" s="11">
        <v>0.66812500000000008</v>
      </c>
    </row>
    <row r="1095" spans="1:32" x14ac:dyDescent="0.3">
      <c r="A1095" t="s">
        <v>148</v>
      </c>
      <c r="B1095" t="s">
        <v>16</v>
      </c>
      <c r="C1095">
        <v>4.51</v>
      </c>
      <c r="D1095">
        <v>318.13</v>
      </c>
      <c r="E1095">
        <v>1.81</v>
      </c>
      <c r="F1095">
        <v>1.85</v>
      </c>
      <c r="G1095">
        <v>0.55000000000000004</v>
      </c>
      <c r="H1095">
        <v>0.77</v>
      </c>
      <c r="I1095">
        <v>2.0249999999999999</v>
      </c>
      <c r="J1095">
        <v>49.3</v>
      </c>
      <c r="K1095" t="s">
        <v>45</v>
      </c>
      <c r="L1095" t="s">
        <v>149</v>
      </c>
      <c r="M1095">
        <v>3</v>
      </c>
      <c r="N1095">
        <v>61.002000000000002</v>
      </c>
      <c r="O1095">
        <v>7.75</v>
      </c>
      <c r="P1095" s="13">
        <v>1.6225000000000001</v>
      </c>
      <c r="Q1095" t="s">
        <v>52</v>
      </c>
      <c r="R1095">
        <v>60</v>
      </c>
      <c r="S1095">
        <v>24</v>
      </c>
      <c r="T1095">
        <v>400</v>
      </c>
      <c r="U1095">
        <v>4</v>
      </c>
      <c r="V1095" s="7">
        <v>0.75191335925997893</v>
      </c>
      <c r="W1095">
        <v>100</v>
      </c>
      <c r="X1095">
        <v>4.1000000000000003E-3</v>
      </c>
      <c r="Y1095">
        <v>1.64</v>
      </c>
      <c r="Z1095">
        <v>7.5</v>
      </c>
      <c r="AA1095">
        <v>4.2</v>
      </c>
      <c r="AB1095">
        <v>25</v>
      </c>
      <c r="AC1095" s="17">
        <v>0.17</v>
      </c>
      <c r="AD1095">
        <v>0.2</v>
      </c>
      <c r="AE1095">
        <v>24</v>
      </c>
      <c r="AF1095" s="11">
        <v>0.14583333333333334</v>
      </c>
    </row>
    <row r="1096" spans="1:32" x14ac:dyDescent="0.3">
      <c r="A1096" t="s">
        <v>148</v>
      </c>
      <c r="B1096" t="s">
        <v>16</v>
      </c>
      <c r="C1096">
        <v>4.51</v>
      </c>
      <c r="D1096">
        <v>318.13</v>
      </c>
      <c r="E1096">
        <v>1.81</v>
      </c>
      <c r="F1096">
        <v>1.85</v>
      </c>
      <c r="G1096">
        <v>0.55000000000000004</v>
      </c>
      <c r="H1096">
        <v>0.77</v>
      </c>
      <c r="I1096">
        <v>2.0249999999999999</v>
      </c>
      <c r="J1096">
        <v>49.3</v>
      </c>
      <c r="K1096" t="s">
        <v>45</v>
      </c>
      <c r="L1096" t="s">
        <v>149</v>
      </c>
      <c r="M1096">
        <v>3</v>
      </c>
      <c r="N1096">
        <v>61.002000000000002</v>
      </c>
      <c r="O1096">
        <v>7.75</v>
      </c>
      <c r="P1096" s="13">
        <v>1.6225000000000001</v>
      </c>
      <c r="Q1096" t="s">
        <v>52</v>
      </c>
      <c r="R1096">
        <v>60</v>
      </c>
      <c r="S1096">
        <v>24</v>
      </c>
      <c r="T1096">
        <v>400</v>
      </c>
      <c r="U1096">
        <v>4</v>
      </c>
      <c r="V1096" s="7">
        <v>0.75191335925997893</v>
      </c>
      <c r="W1096">
        <v>100</v>
      </c>
      <c r="X1096">
        <v>4.1000000000000003E-3</v>
      </c>
      <c r="Y1096">
        <v>1.64</v>
      </c>
      <c r="Z1096">
        <v>7.5</v>
      </c>
      <c r="AA1096">
        <v>4.2</v>
      </c>
      <c r="AB1096">
        <v>25</v>
      </c>
      <c r="AC1096" s="17">
        <v>0.33</v>
      </c>
      <c r="AD1096">
        <v>0.2</v>
      </c>
      <c r="AE1096">
        <v>24</v>
      </c>
      <c r="AF1096" s="11">
        <v>0.19883333333333328</v>
      </c>
    </row>
    <row r="1097" spans="1:32" x14ac:dyDescent="0.3">
      <c r="A1097" t="s">
        <v>148</v>
      </c>
      <c r="B1097" t="s">
        <v>16</v>
      </c>
      <c r="C1097">
        <v>4.51</v>
      </c>
      <c r="D1097">
        <v>318.13</v>
      </c>
      <c r="E1097">
        <v>1.81</v>
      </c>
      <c r="F1097">
        <v>1.85</v>
      </c>
      <c r="G1097">
        <v>0.55000000000000004</v>
      </c>
      <c r="H1097">
        <v>0.77</v>
      </c>
      <c r="I1097">
        <v>2.0249999999999999</v>
      </c>
      <c r="J1097">
        <v>49.3</v>
      </c>
      <c r="K1097" t="s">
        <v>45</v>
      </c>
      <c r="L1097" t="s">
        <v>149</v>
      </c>
      <c r="M1097">
        <v>3</v>
      </c>
      <c r="N1097">
        <v>61.002000000000002</v>
      </c>
      <c r="O1097">
        <v>7.75</v>
      </c>
      <c r="P1097" s="13">
        <v>1.6225000000000001</v>
      </c>
      <c r="Q1097" t="s">
        <v>52</v>
      </c>
      <c r="R1097">
        <v>60</v>
      </c>
      <c r="S1097">
        <v>24</v>
      </c>
      <c r="T1097">
        <v>400</v>
      </c>
      <c r="U1097">
        <v>4</v>
      </c>
      <c r="V1097" s="7">
        <v>0.75191335925997893</v>
      </c>
      <c r="W1097">
        <v>100</v>
      </c>
      <c r="X1097">
        <v>4.1000000000000003E-3</v>
      </c>
      <c r="Y1097">
        <v>1.64</v>
      </c>
      <c r="Z1097">
        <v>7.5</v>
      </c>
      <c r="AA1097">
        <v>4.2</v>
      </c>
      <c r="AB1097">
        <v>25</v>
      </c>
      <c r="AC1097" s="17">
        <v>0.5</v>
      </c>
      <c r="AD1097">
        <v>0.2</v>
      </c>
      <c r="AE1097">
        <v>24</v>
      </c>
      <c r="AF1097" s="11">
        <v>0.27041666666666675</v>
      </c>
    </row>
    <row r="1098" spans="1:32" x14ac:dyDescent="0.3">
      <c r="A1098" t="s">
        <v>148</v>
      </c>
      <c r="B1098" t="s">
        <v>16</v>
      </c>
      <c r="C1098">
        <v>4.51</v>
      </c>
      <c r="D1098">
        <v>318.13</v>
      </c>
      <c r="E1098">
        <v>1.81</v>
      </c>
      <c r="F1098">
        <v>1.85</v>
      </c>
      <c r="G1098">
        <v>0.55000000000000004</v>
      </c>
      <c r="H1098">
        <v>0.77</v>
      </c>
      <c r="I1098">
        <v>2.0249999999999999</v>
      </c>
      <c r="J1098">
        <v>49.3</v>
      </c>
      <c r="K1098" t="s">
        <v>45</v>
      </c>
      <c r="L1098" t="s">
        <v>149</v>
      </c>
      <c r="M1098">
        <v>3</v>
      </c>
      <c r="N1098">
        <v>61.002000000000002</v>
      </c>
      <c r="O1098">
        <v>7.75</v>
      </c>
      <c r="P1098" s="13">
        <v>1.6225000000000001</v>
      </c>
      <c r="Q1098" t="s">
        <v>52</v>
      </c>
      <c r="R1098">
        <v>60</v>
      </c>
      <c r="S1098">
        <v>24</v>
      </c>
      <c r="T1098">
        <v>400</v>
      </c>
      <c r="U1098">
        <v>4</v>
      </c>
      <c r="V1098" s="7">
        <v>0.75191335925997893</v>
      </c>
      <c r="W1098">
        <v>100</v>
      </c>
      <c r="X1098">
        <v>4.1000000000000003E-3</v>
      </c>
      <c r="Y1098">
        <v>1.64</v>
      </c>
      <c r="Z1098">
        <v>7.5</v>
      </c>
      <c r="AA1098">
        <v>4.2</v>
      </c>
      <c r="AB1098">
        <v>25</v>
      </c>
      <c r="AC1098" s="17">
        <v>0.67</v>
      </c>
      <c r="AD1098">
        <v>0.2</v>
      </c>
      <c r="AE1098">
        <v>24</v>
      </c>
      <c r="AF1098" s="11">
        <v>0.3128333333333333</v>
      </c>
    </row>
    <row r="1099" spans="1:32" x14ac:dyDescent="0.3">
      <c r="A1099" t="s">
        <v>148</v>
      </c>
      <c r="B1099" t="s">
        <v>16</v>
      </c>
      <c r="C1099">
        <v>4.51</v>
      </c>
      <c r="D1099">
        <v>318.13</v>
      </c>
      <c r="E1099">
        <v>1.81</v>
      </c>
      <c r="F1099">
        <v>1.85</v>
      </c>
      <c r="G1099">
        <v>0.55000000000000004</v>
      </c>
      <c r="H1099">
        <v>0.77</v>
      </c>
      <c r="I1099">
        <v>2.0249999999999999</v>
      </c>
      <c r="J1099">
        <v>49.3</v>
      </c>
      <c r="K1099" t="s">
        <v>45</v>
      </c>
      <c r="L1099" t="s">
        <v>149</v>
      </c>
      <c r="M1099">
        <v>3</v>
      </c>
      <c r="N1099">
        <v>61.002000000000002</v>
      </c>
      <c r="O1099">
        <v>7.75</v>
      </c>
      <c r="P1099" s="13">
        <v>1.6225000000000001</v>
      </c>
      <c r="Q1099" t="s">
        <v>52</v>
      </c>
      <c r="R1099">
        <v>60</v>
      </c>
      <c r="S1099">
        <v>24</v>
      </c>
      <c r="T1099">
        <v>400</v>
      </c>
      <c r="U1099">
        <v>4</v>
      </c>
      <c r="V1099" s="7">
        <v>0.75191335925997893</v>
      </c>
      <c r="W1099">
        <v>100</v>
      </c>
      <c r="X1099">
        <v>4.1000000000000003E-3</v>
      </c>
      <c r="Y1099">
        <v>1.64</v>
      </c>
      <c r="Z1099">
        <v>7.5</v>
      </c>
      <c r="AA1099">
        <v>4.2</v>
      </c>
      <c r="AB1099">
        <v>25</v>
      </c>
      <c r="AC1099" s="17">
        <v>0.83</v>
      </c>
      <c r="AD1099">
        <v>0.2</v>
      </c>
      <c r="AE1099">
        <v>24</v>
      </c>
      <c r="AF1099" s="11">
        <v>0.33933333333333332</v>
      </c>
    </row>
    <row r="1100" spans="1:32" x14ac:dyDescent="0.3">
      <c r="A1100" t="s">
        <v>148</v>
      </c>
      <c r="B1100" t="s">
        <v>16</v>
      </c>
      <c r="C1100">
        <v>4.51</v>
      </c>
      <c r="D1100">
        <v>318.13</v>
      </c>
      <c r="E1100">
        <v>1.81</v>
      </c>
      <c r="F1100">
        <v>1.85</v>
      </c>
      <c r="G1100">
        <v>0.55000000000000004</v>
      </c>
      <c r="H1100">
        <v>0.77</v>
      </c>
      <c r="I1100">
        <v>2.0249999999999999</v>
      </c>
      <c r="J1100">
        <v>49.3</v>
      </c>
      <c r="K1100" t="s">
        <v>45</v>
      </c>
      <c r="L1100" t="s">
        <v>149</v>
      </c>
      <c r="M1100">
        <v>3</v>
      </c>
      <c r="N1100">
        <v>61.002000000000002</v>
      </c>
      <c r="O1100">
        <v>7.75</v>
      </c>
      <c r="P1100" s="13">
        <v>1.6225000000000001</v>
      </c>
      <c r="Q1100" t="s">
        <v>52</v>
      </c>
      <c r="R1100">
        <v>60</v>
      </c>
      <c r="S1100">
        <v>24</v>
      </c>
      <c r="T1100">
        <v>400</v>
      </c>
      <c r="U1100">
        <v>4</v>
      </c>
      <c r="V1100" s="7">
        <v>0.75191335925997893</v>
      </c>
      <c r="W1100">
        <v>100</v>
      </c>
      <c r="X1100">
        <v>4.1000000000000003E-3</v>
      </c>
      <c r="Y1100">
        <v>1.64</v>
      </c>
      <c r="Z1100">
        <v>7.5</v>
      </c>
      <c r="AA1100">
        <v>4.2</v>
      </c>
      <c r="AB1100">
        <v>25</v>
      </c>
      <c r="AC1100" s="17">
        <v>1</v>
      </c>
      <c r="AD1100">
        <v>0.2</v>
      </c>
      <c r="AE1100">
        <v>24</v>
      </c>
      <c r="AF1100" s="11">
        <v>0.37116666666666664</v>
      </c>
    </row>
    <row r="1101" spans="1:32" x14ac:dyDescent="0.3">
      <c r="A1101" t="s">
        <v>148</v>
      </c>
      <c r="B1101" t="s">
        <v>16</v>
      </c>
      <c r="C1101">
        <v>4.51</v>
      </c>
      <c r="D1101">
        <v>318.13</v>
      </c>
      <c r="E1101">
        <v>1.81</v>
      </c>
      <c r="F1101">
        <v>1.85</v>
      </c>
      <c r="G1101">
        <v>0.55000000000000004</v>
      </c>
      <c r="H1101">
        <v>0.77</v>
      </c>
      <c r="I1101">
        <v>2.0249999999999999</v>
      </c>
      <c r="J1101">
        <v>49.3</v>
      </c>
      <c r="K1101" t="s">
        <v>45</v>
      </c>
      <c r="L1101" t="s">
        <v>149</v>
      </c>
      <c r="M1101">
        <v>3</v>
      </c>
      <c r="N1101">
        <v>61.002000000000002</v>
      </c>
      <c r="O1101">
        <v>7.75</v>
      </c>
      <c r="P1101" s="13">
        <v>1.6225000000000001</v>
      </c>
      <c r="Q1101" t="s">
        <v>52</v>
      </c>
      <c r="R1101">
        <v>60</v>
      </c>
      <c r="S1101">
        <v>24</v>
      </c>
      <c r="T1101">
        <v>400</v>
      </c>
      <c r="U1101">
        <v>4</v>
      </c>
      <c r="V1101" s="7">
        <v>0.75191335925997893</v>
      </c>
      <c r="W1101">
        <v>100</v>
      </c>
      <c r="X1101">
        <v>4.1000000000000003E-3</v>
      </c>
      <c r="Y1101">
        <v>1.64</v>
      </c>
      <c r="Z1101">
        <v>7.5</v>
      </c>
      <c r="AA1101">
        <v>4.2</v>
      </c>
      <c r="AB1101">
        <v>25</v>
      </c>
      <c r="AC1101" s="17">
        <v>1.5</v>
      </c>
      <c r="AD1101">
        <v>0.2</v>
      </c>
      <c r="AE1101">
        <v>24</v>
      </c>
      <c r="AF1101" s="11">
        <v>0.44541666666666674</v>
      </c>
    </row>
    <row r="1102" spans="1:32" x14ac:dyDescent="0.3">
      <c r="A1102" t="s">
        <v>148</v>
      </c>
      <c r="B1102" t="s">
        <v>16</v>
      </c>
      <c r="C1102">
        <v>4.51</v>
      </c>
      <c r="D1102">
        <v>318.13</v>
      </c>
      <c r="E1102">
        <v>1.81</v>
      </c>
      <c r="F1102">
        <v>1.85</v>
      </c>
      <c r="G1102">
        <v>0.55000000000000004</v>
      </c>
      <c r="H1102">
        <v>0.77</v>
      </c>
      <c r="I1102">
        <v>2.0249999999999999</v>
      </c>
      <c r="J1102">
        <v>49.3</v>
      </c>
      <c r="K1102" t="s">
        <v>45</v>
      </c>
      <c r="L1102" t="s">
        <v>149</v>
      </c>
      <c r="M1102">
        <v>3</v>
      </c>
      <c r="N1102">
        <v>61.002000000000002</v>
      </c>
      <c r="O1102">
        <v>7.75</v>
      </c>
      <c r="P1102" s="13">
        <v>1.6225000000000001</v>
      </c>
      <c r="Q1102" t="s">
        <v>52</v>
      </c>
      <c r="R1102">
        <v>60</v>
      </c>
      <c r="S1102">
        <v>24</v>
      </c>
      <c r="T1102">
        <v>400</v>
      </c>
      <c r="U1102">
        <v>4</v>
      </c>
      <c r="V1102" s="7">
        <v>0.75191335925997893</v>
      </c>
      <c r="W1102">
        <v>100</v>
      </c>
      <c r="X1102">
        <v>4.1000000000000003E-3</v>
      </c>
      <c r="Y1102">
        <v>1.64</v>
      </c>
      <c r="Z1102">
        <v>7.5</v>
      </c>
      <c r="AA1102">
        <v>4.2</v>
      </c>
      <c r="AB1102">
        <v>25</v>
      </c>
      <c r="AC1102" s="17">
        <v>2</v>
      </c>
      <c r="AD1102">
        <v>0.2</v>
      </c>
      <c r="AE1102">
        <v>24</v>
      </c>
      <c r="AF1102" s="11">
        <v>0.50366666666666671</v>
      </c>
    </row>
    <row r="1103" spans="1:32" x14ac:dyDescent="0.3">
      <c r="A1103" t="s">
        <v>148</v>
      </c>
      <c r="B1103" t="s">
        <v>16</v>
      </c>
      <c r="C1103">
        <v>4.51</v>
      </c>
      <c r="D1103">
        <v>318.13</v>
      </c>
      <c r="E1103">
        <v>1.81</v>
      </c>
      <c r="F1103">
        <v>1.85</v>
      </c>
      <c r="G1103">
        <v>0.55000000000000004</v>
      </c>
      <c r="H1103">
        <v>0.77</v>
      </c>
      <c r="I1103">
        <v>2.0249999999999999</v>
      </c>
      <c r="J1103">
        <v>49.3</v>
      </c>
      <c r="K1103" t="s">
        <v>45</v>
      </c>
      <c r="L1103" t="s">
        <v>149</v>
      </c>
      <c r="M1103">
        <v>3</v>
      </c>
      <c r="N1103">
        <v>61.002000000000002</v>
      </c>
      <c r="O1103">
        <v>7.75</v>
      </c>
      <c r="P1103" s="13">
        <v>1.6225000000000001</v>
      </c>
      <c r="Q1103" t="s">
        <v>52</v>
      </c>
      <c r="R1103">
        <v>60</v>
      </c>
      <c r="S1103">
        <v>24</v>
      </c>
      <c r="T1103">
        <v>400</v>
      </c>
      <c r="U1103">
        <v>4</v>
      </c>
      <c r="V1103" s="7">
        <v>0.75191335925997893</v>
      </c>
      <c r="W1103">
        <v>100</v>
      </c>
      <c r="X1103">
        <v>4.1000000000000003E-3</v>
      </c>
      <c r="Y1103">
        <v>1.64</v>
      </c>
      <c r="Z1103">
        <v>7.5</v>
      </c>
      <c r="AA1103">
        <v>4.2</v>
      </c>
      <c r="AB1103">
        <v>25</v>
      </c>
      <c r="AC1103" s="17">
        <v>3</v>
      </c>
      <c r="AD1103">
        <v>0.2</v>
      </c>
      <c r="AE1103">
        <v>24</v>
      </c>
      <c r="AF1103" s="11">
        <v>0.55675000000000008</v>
      </c>
    </row>
    <row r="1104" spans="1:32" x14ac:dyDescent="0.3">
      <c r="A1104" t="s">
        <v>148</v>
      </c>
      <c r="B1104" t="s">
        <v>16</v>
      </c>
      <c r="C1104">
        <v>4.51</v>
      </c>
      <c r="D1104">
        <v>318.13</v>
      </c>
      <c r="E1104">
        <v>1.81</v>
      </c>
      <c r="F1104">
        <v>1.85</v>
      </c>
      <c r="G1104">
        <v>0.55000000000000004</v>
      </c>
      <c r="H1104">
        <v>0.77</v>
      </c>
      <c r="I1104">
        <v>2.0249999999999999</v>
      </c>
      <c r="J1104">
        <v>49.3</v>
      </c>
      <c r="K1104" t="s">
        <v>45</v>
      </c>
      <c r="L1104" t="s">
        <v>149</v>
      </c>
      <c r="M1104">
        <v>3</v>
      </c>
      <c r="N1104">
        <v>61.002000000000002</v>
      </c>
      <c r="O1104">
        <v>7.75</v>
      </c>
      <c r="P1104" s="13">
        <v>1.6225000000000001</v>
      </c>
      <c r="Q1104" t="s">
        <v>52</v>
      </c>
      <c r="R1104">
        <v>60</v>
      </c>
      <c r="S1104">
        <v>24</v>
      </c>
      <c r="T1104">
        <v>400</v>
      </c>
      <c r="U1104">
        <v>4</v>
      </c>
      <c r="V1104" s="7">
        <v>0.75191335925997893</v>
      </c>
      <c r="W1104">
        <v>100</v>
      </c>
      <c r="X1104">
        <v>4.1000000000000003E-3</v>
      </c>
      <c r="Y1104">
        <v>1.64</v>
      </c>
      <c r="Z1104">
        <v>7.5</v>
      </c>
      <c r="AA1104">
        <v>4.2</v>
      </c>
      <c r="AB1104">
        <v>25</v>
      </c>
      <c r="AC1104" s="17">
        <v>3.67</v>
      </c>
      <c r="AD1104">
        <v>0.2</v>
      </c>
      <c r="AE1104">
        <v>24</v>
      </c>
      <c r="AF1104" s="11">
        <v>0.57791666666666663</v>
      </c>
    </row>
    <row r="1105" spans="1:32" x14ac:dyDescent="0.3">
      <c r="A1105" t="s">
        <v>148</v>
      </c>
      <c r="B1105" t="s">
        <v>16</v>
      </c>
      <c r="C1105">
        <v>4.51</v>
      </c>
      <c r="D1105">
        <v>318.13</v>
      </c>
      <c r="E1105">
        <v>1.81</v>
      </c>
      <c r="F1105">
        <v>1.85</v>
      </c>
      <c r="G1105">
        <v>0.55000000000000004</v>
      </c>
      <c r="H1105">
        <v>0.77</v>
      </c>
      <c r="I1105">
        <v>2.0249999999999999</v>
      </c>
      <c r="J1105">
        <v>49.3</v>
      </c>
      <c r="K1105" t="s">
        <v>45</v>
      </c>
      <c r="L1105" t="s">
        <v>149</v>
      </c>
      <c r="M1105">
        <v>3</v>
      </c>
      <c r="N1105">
        <v>61.002000000000002</v>
      </c>
      <c r="O1105">
        <v>7.75</v>
      </c>
      <c r="P1105" s="13">
        <v>1.6225000000000001</v>
      </c>
      <c r="Q1105" t="s">
        <v>52</v>
      </c>
      <c r="R1105">
        <v>60</v>
      </c>
      <c r="S1105">
        <v>24</v>
      </c>
      <c r="T1105">
        <v>400</v>
      </c>
      <c r="U1105">
        <v>4</v>
      </c>
      <c r="V1105" s="7">
        <v>0.75191335925997893</v>
      </c>
      <c r="W1105">
        <v>100</v>
      </c>
      <c r="X1105">
        <v>4.1000000000000003E-3</v>
      </c>
      <c r="Y1105">
        <v>1.64</v>
      </c>
      <c r="Z1105">
        <v>7.5</v>
      </c>
      <c r="AA1105">
        <v>4.2</v>
      </c>
      <c r="AB1105">
        <v>25</v>
      </c>
      <c r="AC1105" s="17">
        <v>4.33</v>
      </c>
      <c r="AD1105">
        <v>0.2</v>
      </c>
      <c r="AE1105">
        <v>24</v>
      </c>
      <c r="AF1105" s="11">
        <v>0.59116666666666673</v>
      </c>
    </row>
    <row r="1106" spans="1:32" x14ac:dyDescent="0.3">
      <c r="A1106" t="s">
        <v>148</v>
      </c>
      <c r="B1106" t="s">
        <v>16</v>
      </c>
      <c r="C1106">
        <v>4.51</v>
      </c>
      <c r="D1106">
        <v>318.13</v>
      </c>
      <c r="E1106">
        <v>1.81</v>
      </c>
      <c r="F1106">
        <v>1.85</v>
      </c>
      <c r="G1106">
        <v>0.55000000000000004</v>
      </c>
      <c r="H1106">
        <v>0.77</v>
      </c>
      <c r="I1106">
        <v>2.0249999999999999</v>
      </c>
      <c r="J1106">
        <v>49.3</v>
      </c>
      <c r="K1106" t="s">
        <v>45</v>
      </c>
      <c r="L1106" t="s">
        <v>149</v>
      </c>
      <c r="M1106">
        <v>3</v>
      </c>
      <c r="N1106">
        <v>61.002000000000002</v>
      </c>
      <c r="O1106">
        <v>7.75</v>
      </c>
      <c r="P1106" s="13">
        <v>1.6225000000000001</v>
      </c>
      <c r="Q1106" t="s">
        <v>52</v>
      </c>
      <c r="R1106">
        <v>60</v>
      </c>
      <c r="S1106">
        <v>24</v>
      </c>
      <c r="T1106">
        <v>400</v>
      </c>
      <c r="U1106">
        <v>4</v>
      </c>
      <c r="V1106" s="7">
        <v>0.75191335925997893</v>
      </c>
      <c r="W1106">
        <v>100</v>
      </c>
      <c r="X1106">
        <v>4.1000000000000003E-3</v>
      </c>
      <c r="Y1106">
        <v>1.64</v>
      </c>
      <c r="Z1106">
        <v>7.5</v>
      </c>
      <c r="AA1106">
        <v>4.2</v>
      </c>
      <c r="AB1106">
        <v>25</v>
      </c>
      <c r="AC1106" s="17">
        <v>6</v>
      </c>
      <c r="AD1106">
        <v>0.2</v>
      </c>
      <c r="AE1106">
        <v>24</v>
      </c>
      <c r="AF1106" s="11">
        <v>0.59650000000000003</v>
      </c>
    </row>
    <row r="1107" spans="1:32" x14ac:dyDescent="0.3">
      <c r="A1107" t="s">
        <v>148</v>
      </c>
      <c r="B1107" t="s">
        <v>16</v>
      </c>
      <c r="C1107">
        <v>4.51</v>
      </c>
      <c r="D1107">
        <v>318.13</v>
      </c>
      <c r="E1107">
        <v>1.81</v>
      </c>
      <c r="F1107">
        <v>1.85</v>
      </c>
      <c r="G1107">
        <v>0.55000000000000004</v>
      </c>
      <c r="H1107">
        <v>0.77</v>
      </c>
      <c r="I1107">
        <v>2.0249999999999999</v>
      </c>
      <c r="J1107">
        <v>49.3</v>
      </c>
      <c r="K1107" t="s">
        <v>45</v>
      </c>
      <c r="L1107" t="s">
        <v>149</v>
      </c>
      <c r="M1107">
        <v>3</v>
      </c>
      <c r="N1107">
        <v>61.002000000000002</v>
      </c>
      <c r="O1107">
        <v>7.75</v>
      </c>
      <c r="P1107" s="13">
        <v>1.6225000000000001</v>
      </c>
      <c r="Q1107" t="s">
        <v>52</v>
      </c>
      <c r="R1107">
        <v>60</v>
      </c>
      <c r="S1107">
        <v>24</v>
      </c>
      <c r="T1107">
        <v>400</v>
      </c>
      <c r="U1107">
        <v>4</v>
      </c>
      <c r="V1107" s="7">
        <v>0.75191335925997893</v>
      </c>
      <c r="W1107">
        <v>100</v>
      </c>
      <c r="X1107">
        <v>4.1000000000000003E-3</v>
      </c>
      <c r="Y1107">
        <v>1.64</v>
      </c>
      <c r="Z1107">
        <v>7.5</v>
      </c>
      <c r="AA1107">
        <v>4.2</v>
      </c>
      <c r="AB1107">
        <v>25</v>
      </c>
      <c r="AC1107" s="17">
        <v>7</v>
      </c>
      <c r="AD1107">
        <v>0.2</v>
      </c>
      <c r="AE1107">
        <v>24</v>
      </c>
      <c r="AF1107" s="11">
        <v>0.59650000000000003</v>
      </c>
    </row>
    <row r="1108" spans="1:32" x14ac:dyDescent="0.3">
      <c r="A1108" t="s">
        <v>148</v>
      </c>
      <c r="B1108" t="s">
        <v>16</v>
      </c>
      <c r="C1108">
        <v>4.51</v>
      </c>
      <c r="D1108">
        <v>318.13</v>
      </c>
      <c r="E1108">
        <v>1.81</v>
      </c>
      <c r="F1108">
        <v>1.85</v>
      </c>
      <c r="G1108">
        <v>0.55000000000000004</v>
      </c>
      <c r="H1108">
        <v>0.77</v>
      </c>
      <c r="I1108">
        <v>2.0249999999999999</v>
      </c>
      <c r="J1108">
        <v>49.3</v>
      </c>
      <c r="K1108" t="s">
        <v>45</v>
      </c>
      <c r="L1108" t="s">
        <v>149</v>
      </c>
      <c r="M1108">
        <v>3</v>
      </c>
      <c r="N1108">
        <v>61.002000000000002</v>
      </c>
      <c r="O1108">
        <v>7.75</v>
      </c>
      <c r="P1108" s="13">
        <v>1.6225000000000001</v>
      </c>
      <c r="Q1108" t="s">
        <v>52</v>
      </c>
      <c r="R1108">
        <v>60</v>
      </c>
      <c r="S1108">
        <v>24</v>
      </c>
      <c r="T1108">
        <v>400</v>
      </c>
      <c r="U1108">
        <v>4</v>
      </c>
      <c r="V1108" s="7">
        <v>0.75191335925997893</v>
      </c>
      <c r="W1108">
        <v>93</v>
      </c>
      <c r="X1108">
        <v>2.8999999999999998E-3</v>
      </c>
      <c r="Y1108">
        <v>0.62</v>
      </c>
      <c r="Z1108">
        <v>7.5</v>
      </c>
      <c r="AA1108">
        <v>4.2</v>
      </c>
      <c r="AB1108">
        <v>25</v>
      </c>
      <c r="AC1108" s="17">
        <v>0.17</v>
      </c>
      <c r="AD1108">
        <f t="shared" ref="AD1108:AD1118" si="36">25/250</f>
        <v>0.1</v>
      </c>
      <c r="AE1108">
        <v>24</v>
      </c>
      <c r="AF1108" s="11">
        <v>3.3125000000000071E-2</v>
      </c>
    </row>
    <row r="1109" spans="1:32" x14ac:dyDescent="0.3">
      <c r="A1109" t="s">
        <v>148</v>
      </c>
      <c r="B1109" t="s">
        <v>16</v>
      </c>
      <c r="C1109">
        <v>4.51</v>
      </c>
      <c r="D1109">
        <v>318.13</v>
      </c>
      <c r="E1109">
        <v>1.81</v>
      </c>
      <c r="F1109">
        <v>1.85</v>
      </c>
      <c r="G1109">
        <v>0.55000000000000004</v>
      </c>
      <c r="H1109">
        <v>0.77</v>
      </c>
      <c r="I1109">
        <v>2.0249999999999999</v>
      </c>
      <c r="J1109">
        <v>49.3</v>
      </c>
      <c r="K1109" t="s">
        <v>45</v>
      </c>
      <c r="L1109" t="s">
        <v>149</v>
      </c>
      <c r="M1109">
        <v>3</v>
      </c>
      <c r="N1109">
        <v>61.002000000000002</v>
      </c>
      <c r="O1109">
        <v>7.75</v>
      </c>
      <c r="P1109" s="13">
        <v>1.6225000000000001</v>
      </c>
      <c r="Q1109" t="s">
        <v>52</v>
      </c>
      <c r="R1109">
        <v>60</v>
      </c>
      <c r="S1109">
        <v>24</v>
      </c>
      <c r="T1109">
        <v>400</v>
      </c>
      <c r="U1109">
        <v>4</v>
      </c>
      <c r="V1109" s="7">
        <v>0.75191335925997893</v>
      </c>
      <c r="W1109">
        <v>93</v>
      </c>
      <c r="X1109">
        <v>2.8999999999999998E-3</v>
      </c>
      <c r="Y1109">
        <v>0.62</v>
      </c>
      <c r="Z1109">
        <v>7.5</v>
      </c>
      <c r="AA1109">
        <v>4.2</v>
      </c>
      <c r="AB1109">
        <v>25</v>
      </c>
      <c r="AC1109" s="17">
        <v>0.33</v>
      </c>
      <c r="AD1109">
        <f t="shared" si="36"/>
        <v>0.1</v>
      </c>
      <c r="AE1109">
        <v>24</v>
      </c>
      <c r="AF1109" s="11">
        <v>5.0374999999999982E-2</v>
      </c>
    </row>
    <row r="1110" spans="1:32" x14ac:dyDescent="0.3">
      <c r="A1110" t="s">
        <v>148</v>
      </c>
      <c r="B1110" t="s">
        <v>16</v>
      </c>
      <c r="C1110">
        <v>4.51</v>
      </c>
      <c r="D1110">
        <v>318.13</v>
      </c>
      <c r="E1110">
        <v>1.81</v>
      </c>
      <c r="F1110">
        <v>1.85</v>
      </c>
      <c r="G1110">
        <v>0.55000000000000004</v>
      </c>
      <c r="H1110">
        <v>0.77</v>
      </c>
      <c r="I1110">
        <v>2.0249999999999999</v>
      </c>
      <c r="J1110">
        <v>49.3</v>
      </c>
      <c r="K1110" t="s">
        <v>45</v>
      </c>
      <c r="L1110" t="s">
        <v>149</v>
      </c>
      <c r="M1110">
        <v>3</v>
      </c>
      <c r="N1110">
        <v>61.002000000000002</v>
      </c>
      <c r="O1110">
        <v>7.75</v>
      </c>
      <c r="P1110" s="13">
        <v>1.6225000000000001</v>
      </c>
      <c r="Q1110" t="s">
        <v>52</v>
      </c>
      <c r="R1110">
        <v>60</v>
      </c>
      <c r="S1110">
        <v>24</v>
      </c>
      <c r="T1110">
        <v>400</v>
      </c>
      <c r="U1110">
        <v>4</v>
      </c>
      <c r="V1110" s="7">
        <v>0.75191335925997893</v>
      </c>
      <c r="W1110">
        <v>93</v>
      </c>
      <c r="X1110">
        <v>2.8999999999999998E-3</v>
      </c>
      <c r="Y1110">
        <v>0.62</v>
      </c>
      <c r="Z1110">
        <v>7.5</v>
      </c>
      <c r="AA1110">
        <v>4.2</v>
      </c>
      <c r="AB1110">
        <v>25</v>
      </c>
      <c r="AC1110" s="17">
        <v>0.5</v>
      </c>
      <c r="AD1110">
        <f t="shared" si="36"/>
        <v>0.1</v>
      </c>
      <c r="AE1110">
        <v>24</v>
      </c>
      <c r="AF1110" s="11">
        <v>6.3625000000000043E-2</v>
      </c>
    </row>
    <row r="1111" spans="1:32" x14ac:dyDescent="0.3">
      <c r="A1111" t="s">
        <v>148</v>
      </c>
      <c r="B1111" t="s">
        <v>16</v>
      </c>
      <c r="C1111">
        <v>4.51</v>
      </c>
      <c r="D1111">
        <v>318.13</v>
      </c>
      <c r="E1111">
        <v>1.81</v>
      </c>
      <c r="F1111">
        <v>1.85</v>
      </c>
      <c r="G1111">
        <v>0.55000000000000004</v>
      </c>
      <c r="H1111">
        <v>0.77</v>
      </c>
      <c r="I1111">
        <v>2.0249999999999999</v>
      </c>
      <c r="J1111">
        <v>49.3</v>
      </c>
      <c r="K1111" t="s">
        <v>45</v>
      </c>
      <c r="L1111" t="s">
        <v>149</v>
      </c>
      <c r="M1111">
        <v>3</v>
      </c>
      <c r="N1111">
        <v>61.002000000000002</v>
      </c>
      <c r="O1111">
        <v>7.75</v>
      </c>
      <c r="P1111" s="13">
        <v>1.6225000000000001</v>
      </c>
      <c r="Q1111" t="s">
        <v>52</v>
      </c>
      <c r="R1111">
        <v>60</v>
      </c>
      <c r="S1111">
        <v>24</v>
      </c>
      <c r="T1111">
        <v>400</v>
      </c>
      <c r="U1111">
        <v>4</v>
      </c>
      <c r="V1111" s="7">
        <v>0.75191335925997893</v>
      </c>
      <c r="W1111">
        <v>93</v>
      </c>
      <c r="X1111">
        <v>2.8999999999999998E-3</v>
      </c>
      <c r="Y1111">
        <v>0.62</v>
      </c>
      <c r="Z1111">
        <v>7.5</v>
      </c>
      <c r="AA1111">
        <v>4.2</v>
      </c>
      <c r="AB1111">
        <v>25</v>
      </c>
      <c r="AC1111" s="17">
        <v>0.67</v>
      </c>
      <c r="AD1111">
        <f t="shared" si="36"/>
        <v>0.1</v>
      </c>
      <c r="AE1111">
        <v>24</v>
      </c>
      <c r="AF1111" s="11">
        <v>9.2791666666666675E-2</v>
      </c>
    </row>
    <row r="1112" spans="1:32" x14ac:dyDescent="0.3">
      <c r="A1112" t="s">
        <v>148</v>
      </c>
      <c r="B1112" t="s">
        <v>16</v>
      </c>
      <c r="C1112">
        <v>4.51</v>
      </c>
      <c r="D1112">
        <v>318.13</v>
      </c>
      <c r="E1112">
        <v>1.81</v>
      </c>
      <c r="F1112">
        <v>1.85</v>
      </c>
      <c r="G1112">
        <v>0.55000000000000004</v>
      </c>
      <c r="H1112">
        <v>0.77</v>
      </c>
      <c r="I1112">
        <v>2.0249999999999999</v>
      </c>
      <c r="J1112">
        <v>49.3</v>
      </c>
      <c r="K1112" t="s">
        <v>45</v>
      </c>
      <c r="L1112" t="s">
        <v>149</v>
      </c>
      <c r="M1112">
        <v>3</v>
      </c>
      <c r="N1112">
        <v>61.002000000000002</v>
      </c>
      <c r="O1112">
        <v>7.75</v>
      </c>
      <c r="P1112" s="13">
        <v>1.6225000000000001</v>
      </c>
      <c r="Q1112" t="s">
        <v>52</v>
      </c>
      <c r="R1112">
        <v>60</v>
      </c>
      <c r="S1112">
        <v>24</v>
      </c>
      <c r="T1112">
        <v>400</v>
      </c>
      <c r="U1112">
        <v>4</v>
      </c>
      <c r="V1112" s="7">
        <v>0.75191335925997893</v>
      </c>
      <c r="W1112">
        <v>93</v>
      </c>
      <c r="X1112">
        <v>2.8999999999999998E-3</v>
      </c>
      <c r="Y1112">
        <v>0.62</v>
      </c>
      <c r="Z1112">
        <v>7.5</v>
      </c>
      <c r="AA1112">
        <v>4.2</v>
      </c>
      <c r="AB1112">
        <v>25</v>
      </c>
      <c r="AC1112" s="17">
        <v>1</v>
      </c>
      <c r="AD1112">
        <f t="shared" si="36"/>
        <v>0.1</v>
      </c>
      <c r="AE1112">
        <v>24</v>
      </c>
      <c r="AF1112" s="11">
        <v>0.1325416666666667</v>
      </c>
    </row>
    <row r="1113" spans="1:32" x14ac:dyDescent="0.3">
      <c r="A1113" t="s">
        <v>148</v>
      </c>
      <c r="B1113" t="s">
        <v>16</v>
      </c>
      <c r="C1113">
        <v>4.51</v>
      </c>
      <c r="D1113">
        <v>318.13</v>
      </c>
      <c r="E1113">
        <v>1.81</v>
      </c>
      <c r="F1113">
        <v>1.85</v>
      </c>
      <c r="G1113">
        <v>0.55000000000000004</v>
      </c>
      <c r="H1113">
        <v>0.77</v>
      </c>
      <c r="I1113">
        <v>2.0249999999999999</v>
      </c>
      <c r="J1113">
        <v>49.3</v>
      </c>
      <c r="K1113" t="s">
        <v>45</v>
      </c>
      <c r="L1113" t="s">
        <v>149</v>
      </c>
      <c r="M1113">
        <v>3</v>
      </c>
      <c r="N1113">
        <v>61.002000000000002</v>
      </c>
      <c r="O1113">
        <v>7.75</v>
      </c>
      <c r="P1113" s="13">
        <v>1.6225000000000001</v>
      </c>
      <c r="Q1113" t="s">
        <v>52</v>
      </c>
      <c r="R1113">
        <v>60</v>
      </c>
      <c r="S1113">
        <v>24</v>
      </c>
      <c r="T1113">
        <v>400</v>
      </c>
      <c r="U1113">
        <v>4</v>
      </c>
      <c r="V1113" s="7">
        <v>0.75191335925997893</v>
      </c>
      <c r="W1113">
        <v>93</v>
      </c>
      <c r="X1113">
        <v>2.8999999999999998E-3</v>
      </c>
      <c r="Y1113">
        <v>0.62</v>
      </c>
      <c r="Z1113">
        <v>7.5</v>
      </c>
      <c r="AA1113">
        <v>4.2</v>
      </c>
      <c r="AB1113">
        <v>25</v>
      </c>
      <c r="AC1113" s="17">
        <v>1.5</v>
      </c>
      <c r="AD1113">
        <f t="shared" si="36"/>
        <v>0.1</v>
      </c>
      <c r="AE1113">
        <v>24</v>
      </c>
      <c r="AF1113" s="11">
        <v>0.16304166666666667</v>
      </c>
    </row>
    <row r="1114" spans="1:32" x14ac:dyDescent="0.3">
      <c r="A1114" t="s">
        <v>148</v>
      </c>
      <c r="B1114" t="s">
        <v>16</v>
      </c>
      <c r="C1114">
        <v>4.51</v>
      </c>
      <c r="D1114">
        <v>318.13</v>
      </c>
      <c r="E1114">
        <v>1.81</v>
      </c>
      <c r="F1114">
        <v>1.85</v>
      </c>
      <c r="G1114">
        <v>0.55000000000000004</v>
      </c>
      <c r="H1114">
        <v>0.77</v>
      </c>
      <c r="I1114">
        <v>2.0249999999999999</v>
      </c>
      <c r="J1114">
        <v>49.3</v>
      </c>
      <c r="K1114" t="s">
        <v>45</v>
      </c>
      <c r="L1114" t="s">
        <v>149</v>
      </c>
      <c r="M1114">
        <v>3</v>
      </c>
      <c r="N1114">
        <v>61.002000000000002</v>
      </c>
      <c r="O1114">
        <v>7.75</v>
      </c>
      <c r="P1114" s="13">
        <v>1.6225000000000001</v>
      </c>
      <c r="Q1114" t="s">
        <v>52</v>
      </c>
      <c r="R1114">
        <v>60</v>
      </c>
      <c r="S1114">
        <v>24</v>
      </c>
      <c r="T1114">
        <v>400</v>
      </c>
      <c r="U1114">
        <v>4</v>
      </c>
      <c r="V1114" s="7">
        <v>0.75191335925997893</v>
      </c>
      <c r="W1114">
        <v>93</v>
      </c>
      <c r="X1114">
        <v>2.8999999999999998E-3</v>
      </c>
      <c r="Y1114">
        <v>0.62</v>
      </c>
      <c r="Z1114">
        <v>7.5</v>
      </c>
      <c r="AA1114">
        <v>4.2</v>
      </c>
      <c r="AB1114">
        <v>25</v>
      </c>
      <c r="AC1114" s="17">
        <v>2</v>
      </c>
      <c r="AD1114">
        <f t="shared" si="36"/>
        <v>0.1</v>
      </c>
      <c r="AE1114">
        <v>24</v>
      </c>
      <c r="AF1114" s="11">
        <v>0.17762500000000006</v>
      </c>
    </row>
    <row r="1115" spans="1:32" x14ac:dyDescent="0.3">
      <c r="A1115" t="s">
        <v>148</v>
      </c>
      <c r="B1115" t="s">
        <v>16</v>
      </c>
      <c r="C1115">
        <v>4.51</v>
      </c>
      <c r="D1115">
        <v>318.13</v>
      </c>
      <c r="E1115">
        <v>1.81</v>
      </c>
      <c r="F1115">
        <v>1.85</v>
      </c>
      <c r="G1115">
        <v>0.55000000000000004</v>
      </c>
      <c r="H1115">
        <v>0.77</v>
      </c>
      <c r="I1115">
        <v>2.0249999999999999</v>
      </c>
      <c r="J1115">
        <v>49.3</v>
      </c>
      <c r="K1115" t="s">
        <v>45</v>
      </c>
      <c r="L1115" t="s">
        <v>149</v>
      </c>
      <c r="M1115">
        <v>3</v>
      </c>
      <c r="N1115">
        <v>61.002000000000002</v>
      </c>
      <c r="O1115">
        <v>7.75</v>
      </c>
      <c r="P1115" s="13">
        <v>1.6225000000000001</v>
      </c>
      <c r="Q1115" t="s">
        <v>52</v>
      </c>
      <c r="R1115">
        <v>60</v>
      </c>
      <c r="S1115">
        <v>24</v>
      </c>
      <c r="T1115">
        <v>400</v>
      </c>
      <c r="U1115">
        <v>4</v>
      </c>
      <c r="V1115" s="7">
        <v>0.75191335925997893</v>
      </c>
      <c r="W1115">
        <v>93</v>
      </c>
      <c r="X1115">
        <v>2.8999999999999998E-3</v>
      </c>
      <c r="Y1115">
        <v>0.62</v>
      </c>
      <c r="Z1115">
        <v>7.5</v>
      </c>
      <c r="AA1115">
        <v>4.2</v>
      </c>
      <c r="AB1115">
        <v>25</v>
      </c>
      <c r="AC1115" s="17">
        <v>3</v>
      </c>
      <c r="AD1115">
        <f t="shared" si="36"/>
        <v>0.1</v>
      </c>
      <c r="AE1115">
        <v>24</v>
      </c>
      <c r="AF1115" s="11">
        <v>0.19883333333333328</v>
      </c>
    </row>
    <row r="1116" spans="1:32" x14ac:dyDescent="0.3">
      <c r="A1116" t="s">
        <v>148</v>
      </c>
      <c r="B1116" t="s">
        <v>16</v>
      </c>
      <c r="C1116">
        <v>4.51</v>
      </c>
      <c r="D1116">
        <v>318.13</v>
      </c>
      <c r="E1116">
        <v>1.81</v>
      </c>
      <c r="F1116">
        <v>1.85</v>
      </c>
      <c r="G1116">
        <v>0.55000000000000004</v>
      </c>
      <c r="H1116">
        <v>0.77</v>
      </c>
      <c r="I1116">
        <v>2.0249999999999999</v>
      </c>
      <c r="J1116">
        <v>49.3</v>
      </c>
      <c r="K1116" t="s">
        <v>45</v>
      </c>
      <c r="L1116" t="s">
        <v>149</v>
      </c>
      <c r="M1116">
        <v>3</v>
      </c>
      <c r="N1116">
        <v>61.002000000000002</v>
      </c>
      <c r="O1116">
        <v>7.75</v>
      </c>
      <c r="P1116" s="13">
        <v>1.6225000000000001</v>
      </c>
      <c r="Q1116" t="s">
        <v>52</v>
      </c>
      <c r="R1116">
        <v>60</v>
      </c>
      <c r="S1116">
        <v>24</v>
      </c>
      <c r="T1116">
        <v>400</v>
      </c>
      <c r="U1116">
        <v>4</v>
      </c>
      <c r="V1116" s="7">
        <v>0.75191335925997893</v>
      </c>
      <c r="W1116">
        <v>93</v>
      </c>
      <c r="X1116">
        <v>2.8999999999999998E-3</v>
      </c>
      <c r="Y1116">
        <v>0.62</v>
      </c>
      <c r="Z1116">
        <v>7.5</v>
      </c>
      <c r="AA1116">
        <v>4.2</v>
      </c>
      <c r="AB1116">
        <v>25</v>
      </c>
      <c r="AC1116" s="17">
        <v>4</v>
      </c>
      <c r="AD1116">
        <f t="shared" si="36"/>
        <v>0.1</v>
      </c>
      <c r="AE1116">
        <v>24</v>
      </c>
      <c r="AF1116" s="11">
        <v>0.20149999999999993</v>
      </c>
    </row>
    <row r="1117" spans="1:32" x14ac:dyDescent="0.3">
      <c r="A1117" t="s">
        <v>148</v>
      </c>
      <c r="B1117" t="s">
        <v>16</v>
      </c>
      <c r="C1117">
        <v>4.51</v>
      </c>
      <c r="D1117">
        <v>318.13</v>
      </c>
      <c r="E1117">
        <v>1.81</v>
      </c>
      <c r="F1117">
        <v>1.85</v>
      </c>
      <c r="G1117">
        <v>0.55000000000000004</v>
      </c>
      <c r="H1117">
        <v>0.77</v>
      </c>
      <c r="I1117">
        <v>2.0249999999999999</v>
      </c>
      <c r="J1117">
        <v>49.3</v>
      </c>
      <c r="K1117" t="s">
        <v>45</v>
      </c>
      <c r="L1117" t="s">
        <v>149</v>
      </c>
      <c r="M1117">
        <v>3</v>
      </c>
      <c r="N1117">
        <v>61.002000000000002</v>
      </c>
      <c r="O1117">
        <v>7.75</v>
      </c>
      <c r="P1117" s="13">
        <v>1.6225000000000001</v>
      </c>
      <c r="Q1117" t="s">
        <v>52</v>
      </c>
      <c r="R1117">
        <v>60</v>
      </c>
      <c r="S1117">
        <v>24</v>
      </c>
      <c r="T1117">
        <v>400</v>
      </c>
      <c r="U1117">
        <v>4</v>
      </c>
      <c r="V1117" s="7">
        <v>0.75191335925997893</v>
      </c>
      <c r="W1117">
        <v>93</v>
      </c>
      <c r="X1117">
        <v>2.8999999999999998E-3</v>
      </c>
      <c r="Y1117">
        <v>0.62</v>
      </c>
      <c r="Z1117">
        <v>7.5</v>
      </c>
      <c r="AA1117">
        <v>4.2</v>
      </c>
      <c r="AB1117">
        <v>25</v>
      </c>
      <c r="AC1117" s="17">
        <v>7</v>
      </c>
      <c r="AD1117">
        <f t="shared" si="36"/>
        <v>0.1</v>
      </c>
      <c r="AE1117">
        <v>24</v>
      </c>
      <c r="AF1117" s="11">
        <v>0.2027916666666667</v>
      </c>
    </row>
    <row r="1118" spans="1:32" x14ac:dyDescent="0.3">
      <c r="A1118" t="s">
        <v>148</v>
      </c>
      <c r="B1118" t="s">
        <v>16</v>
      </c>
      <c r="C1118">
        <v>4.51</v>
      </c>
      <c r="D1118">
        <v>318.13</v>
      </c>
      <c r="E1118">
        <v>1.81</v>
      </c>
      <c r="F1118">
        <v>1.85</v>
      </c>
      <c r="G1118">
        <v>0.55000000000000004</v>
      </c>
      <c r="H1118">
        <v>0.77</v>
      </c>
      <c r="I1118">
        <v>2.0249999999999999</v>
      </c>
      <c r="J1118">
        <v>49.3</v>
      </c>
      <c r="K1118" t="s">
        <v>45</v>
      </c>
      <c r="L1118" t="s">
        <v>149</v>
      </c>
      <c r="M1118">
        <v>3</v>
      </c>
      <c r="N1118">
        <v>61.002000000000002</v>
      </c>
      <c r="O1118">
        <v>7.75</v>
      </c>
      <c r="P1118" s="13">
        <v>1.6225000000000001</v>
      </c>
      <c r="Q1118" t="s">
        <v>52</v>
      </c>
      <c r="R1118">
        <v>60</v>
      </c>
      <c r="S1118">
        <v>24</v>
      </c>
      <c r="T1118">
        <v>400</v>
      </c>
      <c r="U1118">
        <v>4</v>
      </c>
      <c r="V1118" s="7">
        <v>0.75191335925997893</v>
      </c>
      <c r="W1118">
        <v>93</v>
      </c>
      <c r="X1118">
        <v>2.8999999999999998E-3</v>
      </c>
      <c r="Y1118">
        <v>0.62</v>
      </c>
      <c r="Z1118">
        <v>7.5</v>
      </c>
      <c r="AA1118">
        <v>4.2</v>
      </c>
      <c r="AB1118">
        <v>25</v>
      </c>
      <c r="AC1118" s="17">
        <v>8</v>
      </c>
      <c r="AD1118">
        <f t="shared" si="36"/>
        <v>0.1</v>
      </c>
      <c r="AE1118">
        <v>24</v>
      </c>
      <c r="AF1118" s="11">
        <v>0.1961666666666666</v>
      </c>
    </row>
    <row r="1119" spans="1:32" x14ac:dyDescent="0.3">
      <c r="A1119" t="s">
        <v>148</v>
      </c>
      <c r="B1119" t="s">
        <v>16</v>
      </c>
      <c r="C1119">
        <v>4.51</v>
      </c>
      <c r="D1119">
        <v>318.13</v>
      </c>
      <c r="E1119">
        <v>1.81</v>
      </c>
      <c r="F1119">
        <v>1.85</v>
      </c>
      <c r="G1119">
        <v>0.55000000000000004</v>
      </c>
      <c r="H1119">
        <v>0.77</v>
      </c>
      <c r="I1119">
        <v>2.0249999999999999</v>
      </c>
      <c r="J1119">
        <v>49.3</v>
      </c>
      <c r="K1119" t="s">
        <v>45</v>
      </c>
      <c r="L1119" t="s">
        <v>149</v>
      </c>
      <c r="M1119">
        <v>3</v>
      </c>
      <c r="N1119">
        <v>61.002000000000002</v>
      </c>
      <c r="O1119">
        <v>7.75</v>
      </c>
      <c r="P1119" s="13">
        <v>1.6225000000000001</v>
      </c>
      <c r="Q1119" t="s">
        <v>52</v>
      </c>
      <c r="R1119">
        <v>60</v>
      </c>
      <c r="S1119">
        <v>24</v>
      </c>
      <c r="T1119">
        <v>400</v>
      </c>
      <c r="U1119">
        <v>4</v>
      </c>
      <c r="V1119" s="7">
        <v>0.75191335925997893</v>
      </c>
      <c r="W1119">
        <v>93</v>
      </c>
      <c r="X1119">
        <v>2.8999999999999998E-3</v>
      </c>
      <c r="Y1119">
        <v>0.62</v>
      </c>
      <c r="Z1119">
        <v>7.5</v>
      </c>
      <c r="AA1119">
        <v>4.2</v>
      </c>
      <c r="AB1119">
        <v>25</v>
      </c>
      <c r="AC1119" s="17">
        <v>0.17</v>
      </c>
      <c r="AD1119">
        <v>0.2</v>
      </c>
      <c r="AE1119">
        <v>24</v>
      </c>
      <c r="AF1119" s="11">
        <v>5.2999999999999936E-2</v>
      </c>
    </row>
    <row r="1120" spans="1:32" x14ac:dyDescent="0.3">
      <c r="A1120" t="s">
        <v>148</v>
      </c>
      <c r="B1120" t="s">
        <v>16</v>
      </c>
      <c r="C1120">
        <v>4.51</v>
      </c>
      <c r="D1120">
        <v>318.13</v>
      </c>
      <c r="E1120">
        <v>1.81</v>
      </c>
      <c r="F1120">
        <v>1.85</v>
      </c>
      <c r="G1120">
        <v>0.55000000000000004</v>
      </c>
      <c r="H1120">
        <v>0.77</v>
      </c>
      <c r="I1120">
        <v>2.0249999999999999</v>
      </c>
      <c r="J1120">
        <v>49.3</v>
      </c>
      <c r="K1120" t="s">
        <v>45</v>
      </c>
      <c r="L1120" t="s">
        <v>149</v>
      </c>
      <c r="M1120">
        <v>3</v>
      </c>
      <c r="N1120">
        <v>61.002000000000002</v>
      </c>
      <c r="O1120">
        <v>7.75</v>
      </c>
      <c r="P1120" s="13">
        <v>1.6225000000000001</v>
      </c>
      <c r="Q1120" t="s">
        <v>52</v>
      </c>
      <c r="R1120">
        <v>60</v>
      </c>
      <c r="S1120">
        <v>24</v>
      </c>
      <c r="T1120">
        <v>400</v>
      </c>
      <c r="U1120">
        <v>4</v>
      </c>
      <c r="V1120" s="7">
        <v>0.75191335925997893</v>
      </c>
      <c r="W1120">
        <v>93</v>
      </c>
      <c r="X1120">
        <v>2.8999999999999998E-3</v>
      </c>
      <c r="Y1120">
        <v>0.62</v>
      </c>
      <c r="Z1120">
        <v>7.5</v>
      </c>
      <c r="AA1120">
        <v>4.2</v>
      </c>
      <c r="AB1120">
        <v>25</v>
      </c>
      <c r="AC1120" s="17">
        <v>0.33</v>
      </c>
      <c r="AD1120">
        <v>0.2</v>
      </c>
      <c r="AE1120">
        <v>24</v>
      </c>
      <c r="AF1120" s="11">
        <v>0.10608333333333331</v>
      </c>
    </row>
    <row r="1121" spans="1:32" x14ac:dyDescent="0.3">
      <c r="A1121" t="s">
        <v>148</v>
      </c>
      <c r="B1121" t="s">
        <v>16</v>
      </c>
      <c r="C1121">
        <v>4.51</v>
      </c>
      <c r="D1121">
        <v>318.13</v>
      </c>
      <c r="E1121">
        <v>1.81</v>
      </c>
      <c r="F1121">
        <v>1.85</v>
      </c>
      <c r="G1121">
        <v>0.55000000000000004</v>
      </c>
      <c r="H1121">
        <v>0.77</v>
      </c>
      <c r="I1121">
        <v>2.0249999999999999</v>
      </c>
      <c r="J1121">
        <v>49.3</v>
      </c>
      <c r="K1121" t="s">
        <v>45</v>
      </c>
      <c r="L1121" t="s">
        <v>149</v>
      </c>
      <c r="M1121">
        <v>3</v>
      </c>
      <c r="N1121">
        <v>61.002000000000002</v>
      </c>
      <c r="O1121">
        <v>7.75</v>
      </c>
      <c r="P1121" s="13">
        <v>1.6225000000000001</v>
      </c>
      <c r="Q1121" t="s">
        <v>52</v>
      </c>
      <c r="R1121">
        <v>60</v>
      </c>
      <c r="S1121">
        <v>24</v>
      </c>
      <c r="T1121">
        <v>400</v>
      </c>
      <c r="U1121">
        <v>4</v>
      </c>
      <c r="V1121" s="7">
        <v>0.75191335925997893</v>
      </c>
      <c r="W1121">
        <v>93</v>
      </c>
      <c r="X1121">
        <v>2.8999999999999998E-3</v>
      </c>
      <c r="Y1121">
        <v>0.62</v>
      </c>
      <c r="Z1121">
        <v>7.5</v>
      </c>
      <c r="AA1121">
        <v>4.2</v>
      </c>
      <c r="AB1121">
        <v>25</v>
      </c>
      <c r="AC1121" s="17">
        <v>0.67</v>
      </c>
      <c r="AD1121">
        <v>0.2</v>
      </c>
      <c r="AE1121">
        <v>24</v>
      </c>
      <c r="AF1121" s="11">
        <v>0.14849999999999999</v>
      </c>
    </row>
    <row r="1122" spans="1:32" x14ac:dyDescent="0.3">
      <c r="A1122" t="s">
        <v>148</v>
      </c>
      <c r="B1122" t="s">
        <v>16</v>
      </c>
      <c r="C1122">
        <v>4.51</v>
      </c>
      <c r="D1122">
        <v>318.13</v>
      </c>
      <c r="E1122">
        <v>1.81</v>
      </c>
      <c r="F1122">
        <v>1.85</v>
      </c>
      <c r="G1122">
        <v>0.55000000000000004</v>
      </c>
      <c r="H1122">
        <v>0.77</v>
      </c>
      <c r="I1122">
        <v>2.0249999999999999</v>
      </c>
      <c r="J1122">
        <v>49.3</v>
      </c>
      <c r="K1122" t="s">
        <v>45</v>
      </c>
      <c r="L1122" t="s">
        <v>149</v>
      </c>
      <c r="M1122">
        <v>3</v>
      </c>
      <c r="N1122">
        <v>61.002000000000002</v>
      </c>
      <c r="O1122">
        <v>7.75</v>
      </c>
      <c r="P1122" s="13">
        <v>1.6225000000000001</v>
      </c>
      <c r="Q1122" t="s">
        <v>52</v>
      </c>
      <c r="R1122">
        <v>60</v>
      </c>
      <c r="S1122">
        <v>24</v>
      </c>
      <c r="T1122">
        <v>400</v>
      </c>
      <c r="U1122">
        <v>4</v>
      </c>
      <c r="V1122" s="7">
        <v>0.75191335925997893</v>
      </c>
      <c r="W1122">
        <v>93</v>
      </c>
      <c r="X1122">
        <v>2.8999999999999998E-3</v>
      </c>
      <c r="Y1122">
        <v>0.62</v>
      </c>
      <c r="Z1122">
        <v>7.5</v>
      </c>
      <c r="AA1122">
        <v>4.2</v>
      </c>
      <c r="AB1122">
        <v>25</v>
      </c>
      <c r="AC1122" s="17">
        <v>1</v>
      </c>
      <c r="AD1122">
        <v>0.2</v>
      </c>
      <c r="AE1122">
        <v>24</v>
      </c>
      <c r="AF1122" s="11">
        <v>0.18025000000000002</v>
      </c>
    </row>
    <row r="1123" spans="1:32" x14ac:dyDescent="0.3">
      <c r="A1123" t="s">
        <v>148</v>
      </c>
      <c r="B1123" t="s">
        <v>16</v>
      </c>
      <c r="C1123">
        <v>4.51</v>
      </c>
      <c r="D1123">
        <v>318.13</v>
      </c>
      <c r="E1123">
        <v>1.81</v>
      </c>
      <c r="F1123">
        <v>1.85</v>
      </c>
      <c r="G1123">
        <v>0.55000000000000004</v>
      </c>
      <c r="H1123">
        <v>0.77</v>
      </c>
      <c r="I1123">
        <v>2.0249999999999999</v>
      </c>
      <c r="J1123">
        <v>49.3</v>
      </c>
      <c r="K1123" t="s">
        <v>45</v>
      </c>
      <c r="L1123" t="s">
        <v>149</v>
      </c>
      <c r="M1123">
        <v>3</v>
      </c>
      <c r="N1123">
        <v>61.002000000000002</v>
      </c>
      <c r="O1123">
        <v>7.75</v>
      </c>
      <c r="P1123" s="13">
        <v>1.6225000000000001</v>
      </c>
      <c r="Q1123" t="s">
        <v>52</v>
      </c>
      <c r="R1123">
        <v>60</v>
      </c>
      <c r="S1123">
        <v>24</v>
      </c>
      <c r="T1123">
        <v>400</v>
      </c>
      <c r="U1123">
        <v>4</v>
      </c>
      <c r="V1123" s="7">
        <v>0.75191335925997893</v>
      </c>
      <c r="W1123">
        <v>93</v>
      </c>
      <c r="X1123">
        <v>2.8999999999999998E-3</v>
      </c>
      <c r="Y1123">
        <v>0.62</v>
      </c>
      <c r="Z1123">
        <v>7.5</v>
      </c>
      <c r="AA1123">
        <v>4.2</v>
      </c>
      <c r="AB1123">
        <v>25</v>
      </c>
      <c r="AC1123" s="17">
        <v>1.5</v>
      </c>
      <c r="AD1123">
        <v>0.2</v>
      </c>
      <c r="AE1123">
        <v>24</v>
      </c>
      <c r="AF1123" s="11">
        <v>0.19883333333333328</v>
      </c>
    </row>
    <row r="1124" spans="1:32" x14ac:dyDescent="0.3">
      <c r="A1124" t="s">
        <v>148</v>
      </c>
      <c r="B1124" t="s">
        <v>16</v>
      </c>
      <c r="C1124">
        <v>4.51</v>
      </c>
      <c r="D1124">
        <v>318.13</v>
      </c>
      <c r="E1124">
        <v>1.81</v>
      </c>
      <c r="F1124">
        <v>1.85</v>
      </c>
      <c r="G1124">
        <v>0.55000000000000004</v>
      </c>
      <c r="H1124">
        <v>0.77</v>
      </c>
      <c r="I1124">
        <v>2.0249999999999999</v>
      </c>
      <c r="J1124">
        <v>49.3</v>
      </c>
      <c r="K1124" t="s">
        <v>45</v>
      </c>
      <c r="L1124" t="s">
        <v>149</v>
      </c>
      <c r="M1124">
        <v>3</v>
      </c>
      <c r="N1124">
        <v>61.002000000000002</v>
      </c>
      <c r="O1124">
        <v>7.75</v>
      </c>
      <c r="P1124" s="13">
        <v>1.6225000000000001</v>
      </c>
      <c r="Q1124" t="s">
        <v>52</v>
      </c>
      <c r="R1124">
        <v>60</v>
      </c>
      <c r="S1124">
        <v>24</v>
      </c>
      <c r="T1124">
        <v>400</v>
      </c>
      <c r="U1124">
        <v>4</v>
      </c>
      <c r="V1124" s="7">
        <v>0.75191335925997893</v>
      </c>
      <c r="W1124">
        <v>93</v>
      </c>
      <c r="X1124">
        <v>2.8999999999999998E-3</v>
      </c>
      <c r="Y1124">
        <v>0.62</v>
      </c>
      <c r="Z1124">
        <v>7.5</v>
      </c>
      <c r="AA1124">
        <v>4.2</v>
      </c>
      <c r="AB1124">
        <v>25</v>
      </c>
      <c r="AC1124" s="17">
        <v>2</v>
      </c>
      <c r="AD1124">
        <v>0.2</v>
      </c>
      <c r="AE1124">
        <v>24</v>
      </c>
      <c r="AF1124" s="11">
        <v>0.22533333333333339</v>
      </c>
    </row>
    <row r="1125" spans="1:32" x14ac:dyDescent="0.3">
      <c r="A1125" t="s">
        <v>148</v>
      </c>
      <c r="B1125" t="s">
        <v>16</v>
      </c>
      <c r="C1125">
        <v>4.51</v>
      </c>
      <c r="D1125">
        <v>318.13</v>
      </c>
      <c r="E1125">
        <v>1.81</v>
      </c>
      <c r="F1125">
        <v>1.85</v>
      </c>
      <c r="G1125">
        <v>0.55000000000000004</v>
      </c>
      <c r="H1125">
        <v>0.77</v>
      </c>
      <c r="I1125">
        <v>2.0249999999999999</v>
      </c>
      <c r="J1125">
        <v>49.3</v>
      </c>
      <c r="K1125" t="s">
        <v>45</v>
      </c>
      <c r="L1125" t="s">
        <v>149</v>
      </c>
      <c r="M1125">
        <v>3</v>
      </c>
      <c r="N1125">
        <v>61.002000000000002</v>
      </c>
      <c r="O1125">
        <v>7.75</v>
      </c>
      <c r="P1125" s="13">
        <v>1.6225000000000001</v>
      </c>
      <c r="Q1125" t="s">
        <v>52</v>
      </c>
      <c r="R1125">
        <v>60</v>
      </c>
      <c r="S1125">
        <v>24</v>
      </c>
      <c r="T1125">
        <v>400</v>
      </c>
      <c r="U1125">
        <v>4</v>
      </c>
      <c r="V1125" s="7">
        <v>0.75191335925997893</v>
      </c>
      <c r="W1125">
        <v>93</v>
      </c>
      <c r="X1125">
        <v>2.8999999999999998E-3</v>
      </c>
      <c r="Y1125">
        <v>0.62</v>
      </c>
      <c r="Z1125">
        <v>7.5</v>
      </c>
      <c r="AA1125">
        <v>4.2</v>
      </c>
      <c r="AB1125">
        <v>25</v>
      </c>
      <c r="AC1125" s="17">
        <v>3</v>
      </c>
      <c r="AD1125">
        <v>0.2</v>
      </c>
      <c r="AE1125">
        <v>24</v>
      </c>
      <c r="AF1125" s="11">
        <v>0.23324999999999996</v>
      </c>
    </row>
    <row r="1126" spans="1:32" x14ac:dyDescent="0.3">
      <c r="A1126" t="s">
        <v>148</v>
      </c>
      <c r="B1126" t="s">
        <v>16</v>
      </c>
      <c r="C1126">
        <v>4.51</v>
      </c>
      <c r="D1126">
        <v>318.13</v>
      </c>
      <c r="E1126">
        <v>1.81</v>
      </c>
      <c r="F1126">
        <v>1.85</v>
      </c>
      <c r="G1126">
        <v>0.55000000000000004</v>
      </c>
      <c r="H1126">
        <v>0.77</v>
      </c>
      <c r="I1126">
        <v>2.0249999999999999</v>
      </c>
      <c r="J1126">
        <v>49.3</v>
      </c>
      <c r="K1126" t="s">
        <v>45</v>
      </c>
      <c r="L1126" t="s">
        <v>149</v>
      </c>
      <c r="M1126">
        <v>3</v>
      </c>
      <c r="N1126">
        <v>61.002000000000002</v>
      </c>
      <c r="O1126">
        <v>7.75</v>
      </c>
      <c r="P1126" s="13">
        <v>1.6225000000000001</v>
      </c>
      <c r="Q1126" t="s">
        <v>52</v>
      </c>
      <c r="R1126">
        <v>60</v>
      </c>
      <c r="S1126">
        <v>24</v>
      </c>
      <c r="T1126">
        <v>400</v>
      </c>
      <c r="U1126">
        <v>4</v>
      </c>
      <c r="V1126" s="7">
        <v>0.75191335925997893</v>
      </c>
      <c r="W1126">
        <v>93</v>
      </c>
      <c r="X1126">
        <v>2.8999999999999998E-3</v>
      </c>
      <c r="Y1126">
        <v>0.62</v>
      </c>
      <c r="Z1126">
        <v>7.5</v>
      </c>
      <c r="AA1126">
        <v>4.2</v>
      </c>
      <c r="AB1126">
        <v>25</v>
      </c>
      <c r="AC1126" s="17">
        <v>4</v>
      </c>
      <c r="AD1126">
        <v>0.2</v>
      </c>
      <c r="AE1126">
        <v>24</v>
      </c>
      <c r="AF1126" s="11">
        <v>0.23591666666666664</v>
      </c>
    </row>
    <row r="1127" spans="1:32" x14ac:dyDescent="0.3">
      <c r="A1127" t="s">
        <v>148</v>
      </c>
      <c r="B1127" t="s">
        <v>16</v>
      </c>
      <c r="C1127">
        <v>4.51</v>
      </c>
      <c r="D1127">
        <v>318.13</v>
      </c>
      <c r="E1127">
        <v>1.81</v>
      </c>
      <c r="F1127">
        <v>1.85</v>
      </c>
      <c r="G1127">
        <v>0.55000000000000004</v>
      </c>
      <c r="H1127">
        <v>0.77</v>
      </c>
      <c r="I1127">
        <v>2.0249999999999999</v>
      </c>
      <c r="J1127">
        <v>49.3</v>
      </c>
      <c r="K1127" t="s">
        <v>45</v>
      </c>
      <c r="L1127" t="s">
        <v>149</v>
      </c>
      <c r="M1127">
        <v>3</v>
      </c>
      <c r="N1127">
        <v>61.002000000000002</v>
      </c>
      <c r="O1127">
        <v>7.75</v>
      </c>
      <c r="P1127" s="13">
        <v>1.6225000000000001</v>
      </c>
      <c r="Q1127" t="s">
        <v>52</v>
      </c>
      <c r="R1127">
        <v>60</v>
      </c>
      <c r="S1127">
        <v>24</v>
      </c>
      <c r="T1127">
        <v>400</v>
      </c>
      <c r="U1127">
        <v>4</v>
      </c>
      <c r="V1127" s="7">
        <v>0.75191335925997893</v>
      </c>
      <c r="W1127">
        <v>93</v>
      </c>
      <c r="X1127">
        <v>2.8999999999999998E-3</v>
      </c>
      <c r="Y1127">
        <v>0.62</v>
      </c>
      <c r="Z1127">
        <v>7.5</v>
      </c>
      <c r="AA1127">
        <v>4.2</v>
      </c>
      <c r="AB1127">
        <v>25</v>
      </c>
      <c r="AC1127" s="17">
        <v>7</v>
      </c>
      <c r="AD1127">
        <v>0.2</v>
      </c>
      <c r="AE1127">
        <v>24</v>
      </c>
      <c r="AF1127" s="11">
        <v>0.23858333333333329</v>
      </c>
    </row>
    <row r="1128" spans="1:32" x14ac:dyDescent="0.3">
      <c r="A1128" t="s">
        <v>148</v>
      </c>
      <c r="B1128" t="s">
        <v>16</v>
      </c>
      <c r="C1128">
        <v>4.51</v>
      </c>
      <c r="D1128">
        <v>318.13</v>
      </c>
      <c r="E1128">
        <v>1.81</v>
      </c>
      <c r="F1128">
        <v>1.85</v>
      </c>
      <c r="G1128">
        <v>0.55000000000000004</v>
      </c>
      <c r="H1128">
        <v>0.77</v>
      </c>
      <c r="I1128">
        <v>2.0249999999999999</v>
      </c>
      <c r="J1128">
        <v>49.3</v>
      </c>
      <c r="K1128" t="s">
        <v>45</v>
      </c>
      <c r="L1128" t="s">
        <v>149</v>
      </c>
      <c r="M1128">
        <v>3</v>
      </c>
      <c r="N1128">
        <v>61.002000000000002</v>
      </c>
      <c r="O1128">
        <v>7.75</v>
      </c>
      <c r="P1128" s="13">
        <v>1.6225000000000001</v>
      </c>
      <c r="Q1128" t="s">
        <v>52</v>
      </c>
      <c r="R1128">
        <v>60</v>
      </c>
      <c r="S1128">
        <v>24</v>
      </c>
      <c r="T1128">
        <v>400</v>
      </c>
      <c r="U1128">
        <v>4</v>
      </c>
      <c r="V1128" s="7">
        <v>0.75191335925997893</v>
      </c>
      <c r="W1128">
        <v>93</v>
      </c>
      <c r="X1128">
        <v>2.8999999999999998E-3</v>
      </c>
      <c r="Y1128">
        <v>0.62</v>
      </c>
      <c r="Z1128">
        <v>7.5</v>
      </c>
      <c r="AA1128">
        <v>4.2</v>
      </c>
      <c r="AB1128">
        <v>25</v>
      </c>
      <c r="AC1128" s="17">
        <v>8</v>
      </c>
      <c r="AD1128">
        <v>0.2</v>
      </c>
      <c r="AE1128">
        <v>24</v>
      </c>
      <c r="AF1128" s="11">
        <v>0.24124999999999996</v>
      </c>
    </row>
    <row r="1129" spans="1:32" x14ac:dyDescent="0.3">
      <c r="A1129" t="s">
        <v>148</v>
      </c>
      <c r="B1129" t="s">
        <v>16</v>
      </c>
      <c r="C1129">
        <v>4.51</v>
      </c>
      <c r="D1129">
        <v>318.13</v>
      </c>
      <c r="E1129">
        <v>1.81</v>
      </c>
      <c r="F1129">
        <v>1.85</v>
      </c>
      <c r="G1129">
        <v>0.55000000000000004</v>
      </c>
      <c r="H1129">
        <v>0.77</v>
      </c>
      <c r="I1129">
        <v>2.0249999999999999</v>
      </c>
      <c r="J1129">
        <v>49.3</v>
      </c>
      <c r="K1129" t="s">
        <v>45</v>
      </c>
      <c r="L1129" t="s">
        <v>149</v>
      </c>
      <c r="M1129">
        <v>3</v>
      </c>
      <c r="N1129">
        <v>61.002000000000002</v>
      </c>
      <c r="O1129">
        <v>7.75</v>
      </c>
      <c r="P1129" s="13">
        <v>1.6225000000000001</v>
      </c>
      <c r="Q1129" t="s">
        <v>52</v>
      </c>
      <c r="R1129">
        <v>60</v>
      </c>
      <c r="S1129">
        <v>24</v>
      </c>
      <c r="T1129">
        <v>400</v>
      </c>
      <c r="U1129">
        <v>4</v>
      </c>
      <c r="V1129" s="7">
        <v>0.75191335925997893</v>
      </c>
      <c r="W1129">
        <v>93</v>
      </c>
      <c r="X1129">
        <v>2.8999999999999998E-3</v>
      </c>
      <c r="Y1129">
        <v>0.62</v>
      </c>
      <c r="Z1129">
        <v>7.5</v>
      </c>
      <c r="AA1129">
        <v>4.2</v>
      </c>
      <c r="AB1129">
        <v>25</v>
      </c>
      <c r="AC1129" s="17">
        <v>23</v>
      </c>
      <c r="AD1129">
        <v>0.2</v>
      </c>
      <c r="AE1129">
        <v>24</v>
      </c>
      <c r="AF1129" s="11">
        <v>0.23858333333333329</v>
      </c>
    </row>
    <row r="1130" spans="1:32" x14ac:dyDescent="0.3">
      <c r="A1130" t="s">
        <v>148</v>
      </c>
      <c r="B1130" t="s">
        <v>16</v>
      </c>
      <c r="C1130">
        <v>4.51</v>
      </c>
      <c r="D1130">
        <v>318.13</v>
      </c>
      <c r="E1130">
        <v>1.81</v>
      </c>
      <c r="F1130">
        <v>1.85</v>
      </c>
      <c r="G1130">
        <v>0.55000000000000004</v>
      </c>
      <c r="H1130">
        <v>0.77</v>
      </c>
      <c r="I1130">
        <v>2.0249999999999999</v>
      </c>
      <c r="J1130">
        <v>49.3</v>
      </c>
      <c r="K1130" t="s">
        <v>45</v>
      </c>
      <c r="L1130" t="s">
        <v>149</v>
      </c>
      <c r="M1130">
        <v>3</v>
      </c>
      <c r="N1130">
        <v>61.002000000000002</v>
      </c>
      <c r="O1130">
        <v>7.75</v>
      </c>
      <c r="P1130" s="13">
        <v>1.6225000000000001</v>
      </c>
      <c r="Q1130" t="s">
        <v>52</v>
      </c>
      <c r="R1130">
        <v>60</v>
      </c>
      <c r="S1130">
        <v>24</v>
      </c>
      <c r="T1130">
        <v>400</v>
      </c>
      <c r="U1130">
        <v>4</v>
      </c>
      <c r="V1130" s="7">
        <v>0.75191335925997893</v>
      </c>
      <c r="W1130">
        <v>93</v>
      </c>
      <c r="X1130">
        <v>2.8999999999999998E-3</v>
      </c>
      <c r="Y1130">
        <v>0.62</v>
      </c>
      <c r="Z1130">
        <v>7.5</v>
      </c>
      <c r="AA1130">
        <v>4.2</v>
      </c>
      <c r="AB1130">
        <v>25</v>
      </c>
      <c r="AC1130" s="17">
        <v>0.17</v>
      </c>
      <c r="AD1130">
        <v>0.4</v>
      </c>
      <c r="AE1130">
        <v>24</v>
      </c>
      <c r="AF1130" s="16">
        <v>6.3666666666666608E-2</v>
      </c>
    </row>
    <row r="1131" spans="1:32" x14ac:dyDescent="0.3">
      <c r="A1131" t="s">
        <v>148</v>
      </c>
      <c r="B1131" t="s">
        <v>16</v>
      </c>
      <c r="C1131">
        <v>4.51</v>
      </c>
      <c r="D1131">
        <v>318.13</v>
      </c>
      <c r="E1131">
        <v>1.81</v>
      </c>
      <c r="F1131">
        <v>1.85</v>
      </c>
      <c r="G1131">
        <v>0.55000000000000004</v>
      </c>
      <c r="H1131">
        <v>0.77</v>
      </c>
      <c r="I1131">
        <v>2.0249999999999999</v>
      </c>
      <c r="J1131">
        <v>49.3</v>
      </c>
      <c r="K1131" t="s">
        <v>45</v>
      </c>
      <c r="L1131" t="s">
        <v>149</v>
      </c>
      <c r="M1131">
        <v>3</v>
      </c>
      <c r="N1131">
        <v>61.002000000000002</v>
      </c>
      <c r="O1131">
        <v>7.75</v>
      </c>
      <c r="P1131" s="13">
        <v>1.6225000000000001</v>
      </c>
      <c r="Q1131" t="s">
        <v>52</v>
      </c>
      <c r="R1131">
        <v>60</v>
      </c>
      <c r="S1131">
        <v>24</v>
      </c>
      <c r="T1131">
        <v>400</v>
      </c>
      <c r="U1131">
        <v>4</v>
      </c>
      <c r="V1131" s="7">
        <v>0.75191335925997893</v>
      </c>
      <c r="W1131">
        <v>93</v>
      </c>
      <c r="X1131">
        <v>2.8999999999999998E-3</v>
      </c>
      <c r="Y1131">
        <v>0.62</v>
      </c>
      <c r="Z1131">
        <v>7.5</v>
      </c>
      <c r="AA1131">
        <v>4.2</v>
      </c>
      <c r="AB1131">
        <v>25</v>
      </c>
      <c r="AC1131" s="17">
        <v>0.33</v>
      </c>
      <c r="AD1131">
        <v>0.4</v>
      </c>
      <c r="AE1131">
        <v>24</v>
      </c>
      <c r="AF1131" s="11">
        <v>0.10600000000000002</v>
      </c>
    </row>
    <row r="1132" spans="1:32" x14ac:dyDescent="0.3">
      <c r="A1132" t="s">
        <v>148</v>
      </c>
      <c r="B1132" t="s">
        <v>16</v>
      </c>
      <c r="C1132">
        <v>4.51</v>
      </c>
      <c r="D1132">
        <v>318.13</v>
      </c>
      <c r="E1132">
        <v>1.81</v>
      </c>
      <c r="F1132">
        <v>1.85</v>
      </c>
      <c r="G1132">
        <v>0.55000000000000004</v>
      </c>
      <c r="H1132">
        <v>0.77</v>
      </c>
      <c r="I1132">
        <v>2.0249999999999999</v>
      </c>
      <c r="J1132">
        <v>49.3</v>
      </c>
      <c r="K1132" t="s">
        <v>45</v>
      </c>
      <c r="L1132" t="s">
        <v>149</v>
      </c>
      <c r="M1132">
        <v>3</v>
      </c>
      <c r="N1132">
        <v>61.002000000000002</v>
      </c>
      <c r="O1132">
        <v>7.75</v>
      </c>
      <c r="P1132" s="13">
        <v>1.6225000000000001</v>
      </c>
      <c r="Q1132" t="s">
        <v>52</v>
      </c>
      <c r="R1132">
        <v>60</v>
      </c>
      <c r="S1132">
        <v>24</v>
      </c>
      <c r="T1132">
        <v>400</v>
      </c>
      <c r="U1132">
        <v>4</v>
      </c>
      <c r="V1132" s="7">
        <v>0.75191335925997893</v>
      </c>
      <c r="W1132">
        <v>93</v>
      </c>
      <c r="X1132">
        <v>2.8999999999999998E-3</v>
      </c>
      <c r="Y1132">
        <v>0.62</v>
      </c>
      <c r="Z1132">
        <v>7.5</v>
      </c>
      <c r="AA1132">
        <v>4.2</v>
      </c>
      <c r="AB1132">
        <v>25</v>
      </c>
      <c r="AC1132" s="17">
        <v>0.5</v>
      </c>
      <c r="AD1132">
        <v>0.4</v>
      </c>
      <c r="AE1132">
        <v>24</v>
      </c>
      <c r="AF1132" s="11">
        <v>0.10600000000000002</v>
      </c>
    </row>
    <row r="1133" spans="1:32" x14ac:dyDescent="0.3">
      <c r="A1133" t="s">
        <v>148</v>
      </c>
      <c r="B1133" t="s">
        <v>16</v>
      </c>
      <c r="C1133">
        <v>4.51</v>
      </c>
      <c r="D1133">
        <v>318.13</v>
      </c>
      <c r="E1133">
        <v>1.81</v>
      </c>
      <c r="F1133">
        <v>1.85</v>
      </c>
      <c r="G1133">
        <v>0.55000000000000004</v>
      </c>
      <c r="H1133">
        <v>0.77</v>
      </c>
      <c r="I1133">
        <v>2.0249999999999999</v>
      </c>
      <c r="J1133">
        <v>49.3</v>
      </c>
      <c r="K1133" t="s">
        <v>45</v>
      </c>
      <c r="L1133" t="s">
        <v>149</v>
      </c>
      <c r="M1133">
        <v>3</v>
      </c>
      <c r="N1133">
        <v>61.002000000000002</v>
      </c>
      <c r="O1133">
        <v>7.75</v>
      </c>
      <c r="P1133" s="13">
        <v>1.6225000000000001</v>
      </c>
      <c r="Q1133" t="s">
        <v>52</v>
      </c>
      <c r="R1133">
        <v>60</v>
      </c>
      <c r="S1133">
        <v>24</v>
      </c>
      <c r="T1133">
        <v>400</v>
      </c>
      <c r="U1133">
        <v>4</v>
      </c>
      <c r="V1133" s="7">
        <v>0.75191335925997893</v>
      </c>
      <c r="W1133">
        <v>93</v>
      </c>
      <c r="X1133">
        <v>2.8999999999999998E-3</v>
      </c>
      <c r="Y1133">
        <v>0.62</v>
      </c>
      <c r="Z1133">
        <v>7.5</v>
      </c>
      <c r="AA1133">
        <v>4.2</v>
      </c>
      <c r="AB1133">
        <v>25</v>
      </c>
      <c r="AC1133" s="17">
        <v>1</v>
      </c>
      <c r="AD1133">
        <v>0.4</v>
      </c>
      <c r="AE1133">
        <v>24</v>
      </c>
      <c r="AF1133" s="11">
        <v>0.12200000000000004</v>
      </c>
    </row>
    <row r="1134" spans="1:32" x14ac:dyDescent="0.3">
      <c r="A1134" t="s">
        <v>148</v>
      </c>
      <c r="B1134" t="s">
        <v>16</v>
      </c>
      <c r="C1134">
        <v>4.51</v>
      </c>
      <c r="D1134">
        <v>318.13</v>
      </c>
      <c r="E1134">
        <v>1.81</v>
      </c>
      <c r="F1134">
        <v>1.85</v>
      </c>
      <c r="G1134">
        <v>0.55000000000000004</v>
      </c>
      <c r="H1134">
        <v>0.77</v>
      </c>
      <c r="I1134">
        <v>2.0249999999999999</v>
      </c>
      <c r="J1134">
        <v>49.3</v>
      </c>
      <c r="K1134" t="s">
        <v>45</v>
      </c>
      <c r="L1134" t="s">
        <v>149</v>
      </c>
      <c r="M1134">
        <v>3</v>
      </c>
      <c r="N1134">
        <v>61.002000000000002</v>
      </c>
      <c r="O1134">
        <v>7.75</v>
      </c>
      <c r="P1134" s="13">
        <v>1.6225000000000001</v>
      </c>
      <c r="Q1134" t="s">
        <v>52</v>
      </c>
      <c r="R1134">
        <v>60</v>
      </c>
      <c r="S1134">
        <v>24</v>
      </c>
      <c r="T1134">
        <v>400</v>
      </c>
      <c r="U1134">
        <v>4</v>
      </c>
      <c r="V1134" s="7">
        <v>0.75191335925997893</v>
      </c>
      <c r="W1134">
        <v>93</v>
      </c>
      <c r="X1134">
        <v>2.8999999999999998E-3</v>
      </c>
      <c r="Y1134">
        <v>0.62</v>
      </c>
      <c r="Z1134">
        <v>7.5</v>
      </c>
      <c r="AA1134">
        <v>4.2</v>
      </c>
      <c r="AB1134">
        <v>25</v>
      </c>
      <c r="AC1134" s="17">
        <v>1.5</v>
      </c>
      <c r="AD1134">
        <v>0.4</v>
      </c>
      <c r="AE1134">
        <v>24</v>
      </c>
      <c r="AF1134" s="11">
        <v>0.14316666666666666</v>
      </c>
    </row>
    <row r="1135" spans="1:32" x14ac:dyDescent="0.3">
      <c r="A1135" t="s">
        <v>148</v>
      </c>
      <c r="B1135" t="s">
        <v>16</v>
      </c>
      <c r="C1135">
        <v>4.51</v>
      </c>
      <c r="D1135">
        <v>318.13</v>
      </c>
      <c r="E1135">
        <v>1.81</v>
      </c>
      <c r="F1135">
        <v>1.85</v>
      </c>
      <c r="G1135">
        <v>0.55000000000000004</v>
      </c>
      <c r="H1135">
        <v>0.77</v>
      </c>
      <c r="I1135">
        <v>2.0249999999999999</v>
      </c>
      <c r="J1135">
        <v>49.3</v>
      </c>
      <c r="K1135" t="s">
        <v>45</v>
      </c>
      <c r="L1135" t="s">
        <v>149</v>
      </c>
      <c r="M1135">
        <v>3</v>
      </c>
      <c r="N1135">
        <v>61.002000000000002</v>
      </c>
      <c r="O1135">
        <v>7.75</v>
      </c>
      <c r="P1135" s="13">
        <v>1.6225000000000001</v>
      </c>
      <c r="Q1135" t="s">
        <v>52</v>
      </c>
      <c r="R1135">
        <v>60</v>
      </c>
      <c r="S1135">
        <v>24</v>
      </c>
      <c r="T1135">
        <v>400</v>
      </c>
      <c r="U1135">
        <v>4</v>
      </c>
      <c r="V1135" s="7">
        <v>0.75191335925997893</v>
      </c>
      <c r="W1135">
        <v>93</v>
      </c>
      <c r="X1135">
        <v>2.8999999999999998E-3</v>
      </c>
      <c r="Y1135">
        <v>0.62</v>
      </c>
      <c r="Z1135">
        <v>7.5</v>
      </c>
      <c r="AA1135">
        <v>4.2</v>
      </c>
      <c r="AB1135">
        <v>25</v>
      </c>
      <c r="AC1135" s="17">
        <v>2</v>
      </c>
      <c r="AD1135">
        <v>0.4</v>
      </c>
      <c r="AE1135">
        <v>24</v>
      </c>
      <c r="AF1135" s="11">
        <v>0.15899999999999995</v>
      </c>
    </row>
    <row r="1136" spans="1:32" x14ac:dyDescent="0.3">
      <c r="A1136" t="s">
        <v>148</v>
      </c>
      <c r="B1136" t="s">
        <v>16</v>
      </c>
      <c r="C1136">
        <v>4.51</v>
      </c>
      <c r="D1136">
        <v>318.13</v>
      </c>
      <c r="E1136">
        <v>1.81</v>
      </c>
      <c r="F1136">
        <v>1.85</v>
      </c>
      <c r="G1136">
        <v>0.55000000000000004</v>
      </c>
      <c r="H1136">
        <v>0.77</v>
      </c>
      <c r="I1136">
        <v>2.0249999999999999</v>
      </c>
      <c r="J1136">
        <v>49.3</v>
      </c>
      <c r="K1136" t="s">
        <v>45</v>
      </c>
      <c r="L1136" t="s">
        <v>149</v>
      </c>
      <c r="M1136">
        <v>3</v>
      </c>
      <c r="N1136">
        <v>61.002000000000002</v>
      </c>
      <c r="O1136">
        <v>7.75</v>
      </c>
      <c r="P1136" s="13">
        <v>1.6225000000000001</v>
      </c>
      <c r="Q1136" t="s">
        <v>52</v>
      </c>
      <c r="R1136">
        <v>60</v>
      </c>
      <c r="S1136">
        <v>24</v>
      </c>
      <c r="T1136">
        <v>400</v>
      </c>
      <c r="U1136">
        <v>4</v>
      </c>
      <c r="V1136" s="7">
        <v>0.75191335925997893</v>
      </c>
      <c r="W1136">
        <v>93</v>
      </c>
      <c r="X1136">
        <v>2.8999999999999998E-3</v>
      </c>
      <c r="Y1136">
        <v>0.62</v>
      </c>
      <c r="Z1136">
        <v>7.5</v>
      </c>
      <c r="AA1136">
        <v>4.2</v>
      </c>
      <c r="AB1136">
        <v>25</v>
      </c>
      <c r="AC1136" s="17">
        <v>2.5</v>
      </c>
      <c r="AD1136">
        <v>0.4</v>
      </c>
      <c r="AE1136">
        <v>24</v>
      </c>
      <c r="AF1136" s="11">
        <v>0.16966666666666663</v>
      </c>
    </row>
    <row r="1137" spans="1:32" x14ac:dyDescent="0.3">
      <c r="A1137" t="s">
        <v>148</v>
      </c>
      <c r="B1137" t="s">
        <v>16</v>
      </c>
      <c r="C1137">
        <v>4.51</v>
      </c>
      <c r="D1137">
        <v>318.13</v>
      </c>
      <c r="E1137">
        <v>1.81</v>
      </c>
      <c r="F1137">
        <v>1.85</v>
      </c>
      <c r="G1137">
        <v>0.55000000000000004</v>
      </c>
      <c r="H1137">
        <v>0.77</v>
      </c>
      <c r="I1137">
        <v>2.0249999999999999</v>
      </c>
      <c r="J1137">
        <v>49.3</v>
      </c>
      <c r="K1137" t="s">
        <v>45</v>
      </c>
      <c r="L1137" t="s">
        <v>149</v>
      </c>
      <c r="M1137">
        <v>3</v>
      </c>
      <c r="N1137">
        <v>61.002000000000002</v>
      </c>
      <c r="O1137">
        <v>7.75</v>
      </c>
      <c r="P1137" s="13">
        <v>1.6225000000000001</v>
      </c>
      <c r="Q1137" t="s">
        <v>52</v>
      </c>
      <c r="R1137">
        <v>60</v>
      </c>
      <c r="S1137">
        <v>24</v>
      </c>
      <c r="T1137">
        <v>400</v>
      </c>
      <c r="U1137">
        <v>4</v>
      </c>
      <c r="V1137" s="7">
        <v>0.75191335925997893</v>
      </c>
      <c r="W1137">
        <v>93</v>
      </c>
      <c r="X1137">
        <v>2.8999999999999998E-3</v>
      </c>
      <c r="Y1137">
        <v>0.62</v>
      </c>
      <c r="Z1137">
        <v>7.5</v>
      </c>
      <c r="AA1137">
        <v>4.2</v>
      </c>
      <c r="AB1137">
        <v>25</v>
      </c>
      <c r="AC1137" s="17">
        <v>3</v>
      </c>
      <c r="AD1137">
        <v>0.4</v>
      </c>
      <c r="AE1137">
        <v>24</v>
      </c>
      <c r="AF1137" s="11">
        <v>0.19083333333333327</v>
      </c>
    </row>
    <row r="1138" spans="1:32" x14ac:dyDescent="0.3">
      <c r="A1138" t="s">
        <v>148</v>
      </c>
      <c r="B1138" t="s">
        <v>16</v>
      </c>
      <c r="C1138">
        <v>4.51</v>
      </c>
      <c r="D1138">
        <v>318.13</v>
      </c>
      <c r="E1138">
        <v>1.81</v>
      </c>
      <c r="F1138">
        <v>1.85</v>
      </c>
      <c r="G1138">
        <v>0.55000000000000004</v>
      </c>
      <c r="H1138">
        <v>0.77</v>
      </c>
      <c r="I1138">
        <v>2.0249999999999999</v>
      </c>
      <c r="J1138">
        <v>49.3</v>
      </c>
      <c r="K1138" t="s">
        <v>45</v>
      </c>
      <c r="L1138" t="s">
        <v>149</v>
      </c>
      <c r="M1138">
        <v>3</v>
      </c>
      <c r="N1138">
        <v>61.002000000000002</v>
      </c>
      <c r="O1138">
        <v>7.75</v>
      </c>
      <c r="P1138" s="13">
        <v>1.6225000000000001</v>
      </c>
      <c r="Q1138" t="s">
        <v>52</v>
      </c>
      <c r="R1138">
        <v>60</v>
      </c>
      <c r="S1138">
        <v>24</v>
      </c>
      <c r="T1138">
        <v>400</v>
      </c>
      <c r="U1138">
        <v>4</v>
      </c>
      <c r="V1138" s="7">
        <v>0.75191335925997893</v>
      </c>
      <c r="W1138">
        <v>93</v>
      </c>
      <c r="X1138">
        <v>2.8999999999999998E-3</v>
      </c>
      <c r="Y1138">
        <v>0.62</v>
      </c>
      <c r="Z1138">
        <v>7.5</v>
      </c>
      <c r="AA1138">
        <v>4.2</v>
      </c>
      <c r="AB1138">
        <v>25</v>
      </c>
      <c r="AC1138" s="17">
        <v>4</v>
      </c>
      <c r="AD1138">
        <v>0.4</v>
      </c>
      <c r="AE1138">
        <v>24</v>
      </c>
      <c r="AF1138" s="11">
        <v>0.20683333333333329</v>
      </c>
    </row>
    <row r="1139" spans="1:32" x14ac:dyDescent="0.3">
      <c r="A1139" t="s">
        <v>148</v>
      </c>
      <c r="B1139" t="s">
        <v>16</v>
      </c>
      <c r="C1139">
        <v>4.51</v>
      </c>
      <c r="D1139">
        <v>318.13</v>
      </c>
      <c r="E1139">
        <v>1.81</v>
      </c>
      <c r="F1139">
        <v>1.85</v>
      </c>
      <c r="G1139">
        <v>0.55000000000000004</v>
      </c>
      <c r="H1139">
        <v>0.77</v>
      </c>
      <c r="I1139">
        <v>2.0249999999999999</v>
      </c>
      <c r="J1139">
        <v>49.3</v>
      </c>
      <c r="K1139" t="s">
        <v>45</v>
      </c>
      <c r="L1139" t="s">
        <v>149</v>
      </c>
      <c r="M1139">
        <v>3</v>
      </c>
      <c r="N1139">
        <v>61.002000000000002</v>
      </c>
      <c r="O1139">
        <v>7.75</v>
      </c>
      <c r="P1139" s="13">
        <v>1.6225000000000001</v>
      </c>
      <c r="Q1139" t="s">
        <v>52</v>
      </c>
      <c r="R1139">
        <v>60</v>
      </c>
      <c r="S1139">
        <v>24</v>
      </c>
      <c r="T1139">
        <v>400</v>
      </c>
      <c r="U1139">
        <v>4</v>
      </c>
      <c r="V1139" s="7">
        <v>0.75191335925997893</v>
      </c>
      <c r="W1139">
        <v>93</v>
      </c>
      <c r="X1139">
        <v>2.8999999999999998E-3</v>
      </c>
      <c r="Y1139">
        <v>0.62</v>
      </c>
      <c r="Z1139">
        <v>7.5</v>
      </c>
      <c r="AA1139">
        <v>4.2</v>
      </c>
      <c r="AB1139">
        <v>25</v>
      </c>
      <c r="AC1139" s="17">
        <v>6</v>
      </c>
      <c r="AD1139">
        <v>0.4</v>
      </c>
      <c r="AE1139">
        <v>24</v>
      </c>
      <c r="AF1139" s="11">
        <v>0.23333333333333339</v>
      </c>
    </row>
    <row r="1140" spans="1:32" x14ac:dyDescent="0.3">
      <c r="A1140" t="s">
        <v>148</v>
      </c>
      <c r="B1140" t="s">
        <v>16</v>
      </c>
      <c r="C1140">
        <v>4.51</v>
      </c>
      <c r="D1140">
        <v>318.13</v>
      </c>
      <c r="E1140">
        <v>1.81</v>
      </c>
      <c r="F1140">
        <v>1.85</v>
      </c>
      <c r="G1140">
        <v>0.55000000000000004</v>
      </c>
      <c r="H1140">
        <v>0.77</v>
      </c>
      <c r="I1140">
        <v>2.0249999999999999</v>
      </c>
      <c r="J1140">
        <v>49.3</v>
      </c>
      <c r="K1140" t="s">
        <v>45</v>
      </c>
      <c r="L1140" t="s">
        <v>149</v>
      </c>
      <c r="M1140">
        <v>3</v>
      </c>
      <c r="N1140">
        <v>61.002000000000002</v>
      </c>
      <c r="O1140">
        <v>7.75</v>
      </c>
      <c r="P1140" s="13">
        <v>1.6225000000000001</v>
      </c>
      <c r="Q1140" t="s">
        <v>52</v>
      </c>
      <c r="R1140">
        <v>60</v>
      </c>
      <c r="S1140">
        <v>24</v>
      </c>
      <c r="T1140">
        <v>400</v>
      </c>
      <c r="U1140">
        <v>4</v>
      </c>
      <c r="V1140" s="7">
        <v>0.75191335925997893</v>
      </c>
      <c r="W1140">
        <v>93</v>
      </c>
      <c r="X1140">
        <v>2.8999999999999998E-3</v>
      </c>
      <c r="Y1140">
        <v>0.62</v>
      </c>
      <c r="Z1140">
        <v>7.5</v>
      </c>
      <c r="AA1140">
        <v>4.2</v>
      </c>
      <c r="AB1140">
        <v>25</v>
      </c>
      <c r="AC1140" s="17">
        <v>7</v>
      </c>
      <c r="AD1140">
        <v>0.4</v>
      </c>
      <c r="AE1140">
        <v>24</v>
      </c>
      <c r="AF1140" s="11">
        <v>0.22266666666666671</v>
      </c>
    </row>
    <row r="1141" spans="1:32" x14ac:dyDescent="0.3">
      <c r="A1141" t="s">
        <v>148</v>
      </c>
      <c r="B1141" t="s">
        <v>16</v>
      </c>
      <c r="C1141">
        <v>4.51</v>
      </c>
      <c r="D1141">
        <v>318.13</v>
      </c>
      <c r="E1141">
        <v>1.81</v>
      </c>
      <c r="F1141">
        <v>1.85</v>
      </c>
      <c r="G1141">
        <v>0.55000000000000004</v>
      </c>
      <c r="H1141">
        <v>0.77</v>
      </c>
      <c r="I1141">
        <v>2.0249999999999999</v>
      </c>
      <c r="J1141">
        <v>49.3</v>
      </c>
      <c r="K1141" t="s">
        <v>45</v>
      </c>
      <c r="L1141" t="s">
        <v>149</v>
      </c>
      <c r="M1141">
        <v>3</v>
      </c>
      <c r="N1141">
        <v>61.002000000000002</v>
      </c>
      <c r="O1141">
        <v>7.75</v>
      </c>
      <c r="P1141" s="13">
        <v>1.6225000000000001</v>
      </c>
      <c r="Q1141" t="s">
        <v>52</v>
      </c>
      <c r="R1141">
        <v>60</v>
      </c>
      <c r="S1141">
        <v>24</v>
      </c>
      <c r="T1141">
        <v>400</v>
      </c>
      <c r="U1141">
        <v>4</v>
      </c>
      <c r="V1141" s="7">
        <v>0.75191335925997893</v>
      </c>
      <c r="W1141">
        <v>93</v>
      </c>
      <c r="X1141">
        <v>2.8999999999999998E-3</v>
      </c>
      <c r="Y1141">
        <v>0.62</v>
      </c>
      <c r="Z1141">
        <v>7.5</v>
      </c>
      <c r="AA1141">
        <v>4.2</v>
      </c>
      <c r="AB1141">
        <v>25</v>
      </c>
      <c r="AC1141" s="17">
        <v>8</v>
      </c>
      <c r="AD1141">
        <v>0.4</v>
      </c>
      <c r="AE1141">
        <v>24</v>
      </c>
      <c r="AF1141" s="11">
        <v>0.22800000000000006</v>
      </c>
    </row>
    <row r="1142" spans="1:32" x14ac:dyDescent="0.3">
      <c r="A1142" t="s">
        <v>148</v>
      </c>
      <c r="B1142" t="s">
        <v>16</v>
      </c>
      <c r="C1142">
        <v>4.51</v>
      </c>
      <c r="D1142">
        <v>318.13</v>
      </c>
      <c r="E1142">
        <v>1.81</v>
      </c>
      <c r="F1142">
        <v>1.85</v>
      </c>
      <c r="G1142">
        <v>0.55000000000000004</v>
      </c>
      <c r="H1142">
        <v>0.77</v>
      </c>
      <c r="I1142">
        <v>2.0249999999999999</v>
      </c>
      <c r="J1142">
        <v>49.3</v>
      </c>
      <c r="K1142" t="s">
        <v>45</v>
      </c>
      <c r="L1142" t="s">
        <v>149</v>
      </c>
      <c r="M1142">
        <v>3</v>
      </c>
      <c r="N1142">
        <v>61.002000000000002</v>
      </c>
      <c r="O1142">
        <v>7.75</v>
      </c>
      <c r="P1142" s="13">
        <v>1.6225000000000001</v>
      </c>
      <c r="Q1142" t="s">
        <v>52</v>
      </c>
      <c r="R1142">
        <v>60</v>
      </c>
      <c r="S1142">
        <v>24</v>
      </c>
      <c r="T1142">
        <v>400</v>
      </c>
      <c r="U1142">
        <v>4</v>
      </c>
      <c r="V1142" s="7">
        <v>0.75191335925997893</v>
      </c>
      <c r="W1142">
        <v>93</v>
      </c>
      <c r="X1142">
        <v>2.8999999999999998E-3</v>
      </c>
      <c r="Y1142">
        <v>0.62</v>
      </c>
      <c r="Z1142">
        <v>7.5</v>
      </c>
      <c r="AA1142">
        <v>4.2</v>
      </c>
      <c r="AB1142">
        <v>25</v>
      </c>
      <c r="AC1142" s="17">
        <v>24</v>
      </c>
      <c r="AD1142">
        <v>0.4</v>
      </c>
      <c r="AE1142">
        <v>24</v>
      </c>
      <c r="AF1142" s="11">
        <v>0.24383333333333335</v>
      </c>
    </row>
    <row r="1143" spans="1:32" x14ac:dyDescent="0.3">
      <c r="A1143" t="s">
        <v>148</v>
      </c>
      <c r="B1143" t="s">
        <v>16</v>
      </c>
      <c r="C1143">
        <v>4.51</v>
      </c>
      <c r="D1143">
        <v>318.13</v>
      </c>
      <c r="E1143">
        <v>1.81</v>
      </c>
      <c r="F1143">
        <v>1.85</v>
      </c>
      <c r="G1143">
        <v>0.55000000000000004</v>
      </c>
      <c r="H1143">
        <v>0.77</v>
      </c>
      <c r="I1143">
        <v>2.0249999999999999</v>
      </c>
      <c r="J1143">
        <v>49.3</v>
      </c>
      <c r="K1143" t="s">
        <v>45</v>
      </c>
      <c r="L1143" t="s">
        <v>149</v>
      </c>
      <c r="M1143">
        <v>3</v>
      </c>
      <c r="N1143">
        <v>61.002000000000002</v>
      </c>
      <c r="O1143">
        <v>7.75</v>
      </c>
      <c r="P1143" s="13">
        <v>1.6225000000000001</v>
      </c>
      <c r="Q1143" t="s">
        <v>52</v>
      </c>
      <c r="R1143">
        <v>60</v>
      </c>
      <c r="S1143">
        <v>24</v>
      </c>
      <c r="T1143">
        <v>400</v>
      </c>
      <c r="U1143">
        <v>4</v>
      </c>
      <c r="V1143" s="7">
        <v>0.75191335925997893</v>
      </c>
      <c r="W1143">
        <v>93</v>
      </c>
      <c r="X1143">
        <v>2.8999999999999998E-3</v>
      </c>
      <c r="Y1143">
        <v>0.62</v>
      </c>
      <c r="Z1143">
        <v>7.5</v>
      </c>
      <c r="AA1143">
        <v>4.2</v>
      </c>
      <c r="AB1143">
        <v>25</v>
      </c>
      <c r="AC1143" s="17">
        <v>26</v>
      </c>
      <c r="AD1143">
        <v>0.4</v>
      </c>
      <c r="AE1143">
        <v>24</v>
      </c>
      <c r="AF1143" s="11">
        <v>0.24383333333333335</v>
      </c>
    </row>
    <row r="1144" spans="1:32" x14ac:dyDescent="0.3">
      <c r="A1144" t="s">
        <v>148</v>
      </c>
      <c r="B1144" t="s">
        <v>16</v>
      </c>
      <c r="C1144">
        <v>4.51</v>
      </c>
      <c r="D1144">
        <v>318.13</v>
      </c>
      <c r="E1144">
        <v>1.81</v>
      </c>
      <c r="F1144">
        <v>1.85</v>
      </c>
      <c r="G1144">
        <v>0.55000000000000004</v>
      </c>
      <c r="H1144">
        <v>0.77</v>
      </c>
      <c r="I1144">
        <v>2.0249999999999999</v>
      </c>
      <c r="J1144">
        <v>49.3</v>
      </c>
      <c r="K1144" t="s">
        <v>45</v>
      </c>
      <c r="L1144" t="s">
        <v>149</v>
      </c>
      <c r="M1144">
        <v>3</v>
      </c>
      <c r="N1144">
        <v>61.002000000000002</v>
      </c>
      <c r="O1144">
        <v>7.75</v>
      </c>
      <c r="P1144" s="13">
        <v>1.6225000000000001</v>
      </c>
      <c r="Q1144" t="s">
        <v>52</v>
      </c>
      <c r="R1144">
        <v>60</v>
      </c>
      <c r="S1144">
        <v>24</v>
      </c>
      <c r="T1144">
        <v>400</v>
      </c>
      <c r="U1144">
        <v>4</v>
      </c>
      <c r="V1144" s="7">
        <v>0.75191335925997893</v>
      </c>
      <c r="W1144">
        <v>93</v>
      </c>
      <c r="X1144">
        <v>2.8999999999999998E-3</v>
      </c>
      <c r="Y1144">
        <v>0.62</v>
      </c>
      <c r="Z1144">
        <v>7.5</v>
      </c>
      <c r="AA1144">
        <v>4.2</v>
      </c>
      <c r="AB1144">
        <v>25</v>
      </c>
      <c r="AC1144" s="17">
        <v>27</v>
      </c>
      <c r="AD1144">
        <v>0.4</v>
      </c>
      <c r="AE1144">
        <v>24</v>
      </c>
      <c r="AF1144" s="11">
        <v>0.25983333333333336</v>
      </c>
    </row>
    <row r="1145" spans="1:32" x14ac:dyDescent="0.3">
      <c r="A1145" t="s">
        <v>148</v>
      </c>
      <c r="B1145" t="s">
        <v>16</v>
      </c>
      <c r="C1145">
        <v>4.51</v>
      </c>
      <c r="D1145">
        <v>318.13</v>
      </c>
      <c r="E1145">
        <v>1.81</v>
      </c>
      <c r="F1145">
        <v>1.85</v>
      </c>
      <c r="G1145">
        <v>0.55000000000000004</v>
      </c>
      <c r="H1145">
        <v>0.77</v>
      </c>
      <c r="I1145">
        <v>2.0249999999999999</v>
      </c>
      <c r="J1145">
        <v>49.3</v>
      </c>
      <c r="K1145" t="s">
        <v>45</v>
      </c>
      <c r="L1145" t="s">
        <v>149</v>
      </c>
      <c r="M1145">
        <v>3</v>
      </c>
      <c r="N1145">
        <v>61.002000000000002</v>
      </c>
      <c r="O1145">
        <v>7.75</v>
      </c>
      <c r="P1145" s="13">
        <v>1.6225000000000001</v>
      </c>
      <c r="Q1145" t="s">
        <v>52</v>
      </c>
      <c r="R1145">
        <v>60</v>
      </c>
      <c r="S1145">
        <v>24</v>
      </c>
      <c r="T1145">
        <v>400</v>
      </c>
      <c r="U1145">
        <v>4</v>
      </c>
      <c r="V1145" s="7">
        <v>0.75191335925997893</v>
      </c>
      <c r="W1145">
        <v>93</v>
      </c>
      <c r="X1145">
        <v>2.8999999999999998E-3</v>
      </c>
      <c r="Y1145">
        <v>0.62</v>
      </c>
      <c r="Z1145">
        <v>7.5</v>
      </c>
      <c r="AA1145">
        <v>4.2</v>
      </c>
      <c r="AB1145">
        <v>25</v>
      </c>
      <c r="AC1145" s="17">
        <v>0.17</v>
      </c>
      <c r="AD1145">
        <v>0.2</v>
      </c>
      <c r="AE1145">
        <v>8</v>
      </c>
      <c r="AF1145" s="11">
        <v>3.9749999999999952E-2</v>
      </c>
    </row>
    <row r="1146" spans="1:32" x14ac:dyDescent="0.3">
      <c r="A1146" t="s">
        <v>148</v>
      </c>
      <c r="B1146" t="s">
        <v>16</v>
      </c>
      <c r="C1146">
        <v>4.51</v>
      </c>
      <c r="D1146">
        <v>318.13</v>
      </c>
      <c r="E1146">
        <v>1.81</v>
      </c>
      <c r="F1146">
        <v>1.85</v>
      </c>
      <c r="G1146">
        <v>0.55000000000000004</v>
      </c>
      <c r="H1146">
        <v>0.77</v>
      </c>
      <c r="I1146">
        <v>2.0249999999999999</v>
      </c>
      <c r="J1146">
        <v>49.3</v>
      </c>
      <c r="K1146" t="s">
        <v>45</v>
      </c>
      <c r="L1146" t="s">
        <v>149</v>
      </c>
      <c r="M1146">
        <v>3</v>
      </c>
      <c r="N1146">
        <v>61.002000000000002</v>
      </c>
      <c r="O1146">
        <v>7.75</v>
      </c>
      <c r="P1146" s="13">
        <v>1.6225000000000001</v>
      </c>
      <c r="Q1146" t="s">
        <v>52</v>
      </c>
      <c r="R1146">
        <v>60</v>
      </c>
      <c r="S1146">
        <v>24</v>
      </c>
      <c r="T1146">
        <v>400</v>
      </c>
      <c r="U1146">
        <v>4</v>
      </c>
      <c r="V1146" s="7">
        <v>0.75191335925997893</v>
      </c>
      <c r="W1146">
        <v>93</v>
      </c>
      <c r="X1146">
        <v>2.8999999999999998E-3</v>
      </c>
      <c r="Y1146">
        <v>0.62</v>
      </c>
      <c r="Z1146">
        <v>7.5</v>
      </c>
      <c r="AA1146">
        <v>4.2</v>
      </c>
      <c r="AB1146">
        <v>25</v>
      </c>
      <c r="AC1146" s="17">
        <v>0.5</v>
      </c>
      <c r="AD1146">
        <v>0.2</v>
      </c>
      <c r="AE1146">
        <v>8</v>
      </c>
      <c r="AF1146" s="11">
        <v>6.3749999999999973E-2</v>
      </c>
    </row>
    <row r="1147" spans="1:32" x14ac:dyDescent="0.3">
      <c r="A1147" t="s">
        <v>148</v>
      </c>
      <c r="B1147" t="s">
        <v>16</v>
      </c>
      <c r="C1147">
        <v>4.51</v>
      </c>
      <c r="D1147">
        <v>318.13</v>
      </c>
      <c r="E1147">
        <v>1.81</v>
      </c>
      <c r="F1147">
        <v>1.85</v>
      </c>
      <c r="G1147">
        <v>0.55000000000000004</v>
      </c>
      <c r="H1147">
        <v>0.77</v>
      </c>
      <c r="I1147">
        <v>2.0249999999999999</v>
      </c>
      <c r="J1147">
        <v>49.3</v>
      </c>
      <c r="K1147" t="s">
        <v>45</v>
      </c>
      <c r="L1147" t="s">
        <v>149</v>
      </c>
      <c r="M1147">
        <v>3</v>
      </c>
      <c r="N1147">
        <v>61.002000000000002</v>
      </c>
      <c r="O1147">
        <v>7.75</v>
      </c>
      <c r="P1147" s="13">
        <v>1.6225000000000001</v>
      </c>
      <c r="Q1147" t="s">
        <v>52</v>
      </c>
      <c r="R1147">
        <v>60</v>
      </c>
      <c r="S1147">
        <v>24</v>
      </c>
      <c r="T1147">
        <v>400</v>
      </c>
      <c r="U1147">
        <v>4</v>
      </c>
      <c r="V1147" s="7">
        <v>0.75191335925997893</v>
      </c>
      <c r="W1147">
        <v>93</v>
      </c>
      <c r="X1147">
        <v>2.8999999999999998E-3</v>
      </c>
      <c r="Y1147">
        <v>0.62</v>
      </c>
      <c r="Z1147">
        <v>7.5</v>
      </c>
      <c r="AA1147">
        <v>4.2</v>
      </c>
      <c r="AB1147">
        <v>25</v>
      </c>
      <c r="AC1147" s="17">
        <v>0.67</v>
      </c>
      <c r="AD1147">
        <v>0.2</v>
      </c>
      <c r="AE1147">
        <v>8</v>
      </c>
      <c r="AF1147" s="11">
        <v>7.9500000000000015E-2</v>
      </c>
    </row>
    <row r="1148" spans="1:32" x14ac:dyDescent="0.3">
      <c r="A1148" t="s">
        <v>148</v>
      </c>
      <c r="B1148" t="s">
        <v>16</v>
      </c>
      <c r="C1148">
        <v>4.51</v>
      </c>
      <c r="D1148">
        <v>318.13</v>
      </c>
      <c r="E1148">
        <v>1.81</v>
      </c>
      <c r="F1148">
        <v>1.85</v>
      </c>
      <c r="G1148">
        <v>0.55000000000000004</v>
      </c>
      <c r="H1148">
        <v>0.77</v>
      </c>
      <c r="I1148">
        <v>2.0249999999999999</v>
      </c>
      <c r="J1148">
        <v>49.3</v>
      </c>
      <c r="K1148" t="s">
        <v>45</v>
      </c>
      <c r="L1148" t="s">
        <v>149</v>
      </c>
      <c r="M1148">
        <v>3</v>
      </c>
      <c r="N1148">
        <v>61.002000000000002</v>
      </c>
      <c r="O1148">
        <v>7.75</v>
      </c>
      <c r="P1148" s="13">
        <v>1.6225000000000001</v>
      </c>
      <c r="Q1148" t="s">
        <v>52</v>
      </c>
      <c r="R1148">
        <v>60</v>
      </c>
      <c r="S1148">
        <v>24</v>
      </c>
      <c r="T1148">
        <v>400</v>
      </c>
      <c r="U1148">
        <v>4</v>
      </c>
      <c r="V1148" s="7">
        <v>0.75191335925997893</v>
      </c>
      <c r="W1148">
        <v>93</v>
      </c>
      <c r="X1148">
        <v>2.8999999999999998E-3</v>
      </c>
      <c r="Y1148">
        <v>0.62</v>
      </c>
      <c r="Z1148">
        <v>7.5</v>
      </c>
      <c r="AA1148">
        <v>4.2</v>
      </c>
      <c r="AB1148">
        <v>25</v>
      </c>
      <c r="AC1148" s="17">
        <v>1</v>
      </c>
      <c r="AD1148">
        <v>0.2</v>
      </c>
      <c r="AE1148">
        <v>8</v>
      </c>
      <c r="AF1148" s="11">
        <v>7.9500000000000015E-2</v>
      </c>
    </row>
    <row r="1149" spans="1:32" x14ac:dyDescent="0.3">
      <c r="A1149" t="s">
        <v>148</v>
      </c>
      <c r="B1149" t="s">
        <v>16</v>
      </c>
      <c r="C1149">
        <v>4.51</v>
      </c>
      <c r="D1149">
        <v>318.13</v>
      </c>
      <c r="E1149">
        <v>1.81</v>
      </c>
      <c r="F1149">
        <v>1.85</v>
      </c>
      <c r="G1149">
        <v>0.55000000000000004</v>
      </c>
      <c r="H1149">
        <v>0.77</v>
      </c>
      <c r="I1149">
        <v>2.0249999999999999</v>
      </c>
      <c r="J1149">
        <v>49.3</v>
      </c>
      <c r="K1149" t="s">
        <v>45</v>
      </c>
      <c r="L1149" t="s">
        <v>149</v>
      </c>
      <c r="M1149">
        <v>3</v>
      </c>
      <c r="N1149">
        <v>61.002000000000002</v>
      </c>
      <c r="O1149">
        <v>7.75</v>
      </c>
      <c r="P1149" s="13">
        <v>1.6225000000000001</v>
      </c>
      <c r="Q1149" t="s">
        <v>52</v>
      </c>
      <c r="R1149">
        <v>60</v>
      </c>
      <c r="S1149">
        <v>24</v>
      </c>
      <c r="T1149">
        <v>400</v>
      </c>
      <c r="U1149">
        <v>4</v>
      </c>
      <c r="V1149" s="7">
        <v>0.75191335925997893</v>
      </c>
      <c r="W1149">
        <v>93</v>
      </c>
      <c r="X1149">
        <v>2.8999999999999998E-3</v>
      </c>
      <c r="Y1149">
        <v>0.62</v>
      </c>
      <c r="Z1149">
        <v>7.5</v>
      </c>
      <c r="AA1149">
        <v>4.2</v>
      </c>
      <c r="AB1149">
        <v>25</v>
      </c>
      <c r="AC1149" s="17">
        <v>1.5</v>
      </c>
      <c r="AD1149">
        <v>0.2</v>
      </c>
      <c r="AE1149">
        <v>8</v>
      </c>
      <c r="AF1149" s="11">
        <v>8.7500000000000022E-2</v>
      </c>
    </row>
    <row r="1150" spans="1:32" x14ac:dyDescent="0.3">
      <c r="A1150" t="s">
        <v>148</v>
      </c>
      <c r="B1150" t="s">
        <v>16</v>
      </c>
      <c r="C1150">
        <v>4.51</v>
      </c>
      <c r="D1150">
        <v>318.13</v>
      </c>
      <c r="E1150">
        <v>1.81</v>
      </c>
      <c r="F1150">
        <v>1.85</v>
      </c>
      <c r="G1150">
        <v>0.55000000000000004</v>
      </c>
      <c r="H1150">
        <v>0.77</v>
      </c>
      <c r="I1150">
        <v>2.0249999999999999</v>
      </c>
      <c r="J1150">
        <v>49.3</v>
      </c>
      <c r="K1150" t="s">
        <v>45</v>
      </c>
      <c r="L1150" t="s">
        <v>149</v>
      </c>
      <c r="M1150">
        <v>3</v>
      </c>
      <c r="N1150">
        <v>61.002000000000002</v>
      </c>
      <c r="O1150">
        <v>7.75</v>
      </c>
      <c r="P1150" s="13">
        <v>1.6225000000000001</v>
      </c>
      <c r="Q1150" t="s">
        <v>52</v>
      </c>
      <c r="R1150">
        <v>60</v>
      </c>
      <c r="S1150">
        <v>24</v>
      </c>
      <c r="T1150">
        <v>400</v>
      </c>
      <c r="U1150">
        <v>4</v>
      </c>
      <c r="V1150" s="7">
        <v>0.75191335925997893</v>
      </c>
      <c r="W1150">
        <v>93</v>
      </c>
      <c r="X1150">
        <v>2.8999999999999998E-3</v>
      </c>
      <c r="Y1150">
        <v>0.62</v>
      </c>
      <c r="Z1150">
        <v>7.5</v>
      </c>
      <c r="AA1150">
        <v>4.2</v>
      </c>
      <c r="AB1150">
        <v>25</v>
      </c>
      <c r="AC1150" s="17">
        <v>2</v>
      </c>
      <c r="AD1150">
        <v>0.2</v>
      </c>
      <c r="AE1150">
        <v>8</v>
      </c>
      <c r="AF1150" s="11">
        <v>7.9500000000000015E-2</v>
      </c>
    </row>
    <row r="1151" spans="1:32" x14ac:dyDescent="0.3">
      <c r="A1151" t="s">
        <v>148</v>
      </c>
      <c r="B1151" t="s">
        <v>16</v>
      </c>
      <c r="C1151">
        <v>4.51</v>
      </c>
      <c r="D1151">
        <v>318.13</v>
      </c>
      <c r="E1151">
        <v>1.81</v>
      </c>
      <c r="F1151">
        <v>1.85</v>
      </c>
      <c r="G1151">
        <v>0.55000000000000004</v>
      </c>
      <c r="H1151">
        <v>0.77</v>
      </c>
      <c r="I1151">
        <v>2.0249999999999999</v>
      </c>
      <c r="J1151">
        <v>49.3</v>
      </c>
      <c r="K1151" t="s">
        <v>45</v>
      </c>
      <c r="L1151" t="s">
        <v>149</v>
      </c>
      <c r="M1151">
        <v>3</v>
      </c>
      <c r="N1151">
        <v>61.002000000000002</v>
      </c>
      <c r="O1151">
        <v>7.75</v>
      </c>
      <c r="P1151" s="13">
        <v>1.6225000000000001</v>
      </c>
      <c r="Q1151" t="s">
        <v>52</v>
      </c>
      <c r="R1151">
        <v>60</v>
      </c>
      <c r="S1151">
        <v>24</v>
      </c>
      <c r="T1151">
        <v>400</v>
      </c>
      <c r="U1151">
        <v>4</v>
      </c>
      <c r="V1151" s="7">
        <v>0.75191335925997893</v>
      </c>
      <c r="W1151">
        <v>93</v>
      </c>
      <c r="X1151">
        <v>2.8999999999999998E-3</v>
      </c>
      <c r="Y1151">
        <v>0.62</v>
      </c>
      <c r="Z1151">
        <v>7.5</v>
      </c>
      <c r="AA1151">
        <v>4.2</v>
      </c>
      <c r="AB1151">
        <v>25</v>
      </c>
      <c r="AC1151" s="17">
        <v>3</v>
      </c>
      <c r="AD1151">
        <v>0.2</v>
      </c>
      <c r="AE1151">
        <v>8</v>
      </c>
      <c r="AF1151" s="11">
        <v>7.1500000000000008E-2</v>
      </c>
    </row>
    <row r="1152" spans="1:32" x14ac:dyDescent="0.3">
      <c r="A1152" t="s">
        <v>148</v>
      </c>
      <c r="B1152" t="s">
        <v>16</v>
      </c>
      <c r="C1152">
        <v>4.51</v>
      </c>
      <c r="D1152">
        <v>318.13</v>
      </c>
      <c r="E1152">
        <v>1.81</v>
      </c>
      <c r="F1152">
        <v>1.85</v>
      </c>
      <c r="G1152">
        <v>0.55000000000000004</v>
      </c>
      <c r="H1152">
        <v>0.77</v>
      </c>
      <c r="I1152">
        <v>2.0249999999999999</v>
      </c>
      <c r="J1152">
        <v>49.3</v>
      </c>
      <c r="K1152" t="s">
        <v>45</v>
      </c>
      <c r="L1152" t="s">
        <v>149</v>
      </c>
      <c r="M1152">
        <v>3</v>
      </c>
      <c r="N1152">
        <v>61.002000000000002</v>
      </c>
      <c r="O1152">
        <v>7.75</v>
      </c>
      <c r="P1152" s="13">
        <v>1.6225000000000001</v>
      </c>
      <c r="Q1152" t="s">
        <v>52</v>
      </c>
      <c r="R1152">
        <v>60</v>
      </c>
      <c r="S1152">
        <v>24</v>
      </c>
      <c r="T1152">
        <v>400</v>
      </c>
      <c r="U1152">
        <v>4</v>
      </c>
      <c r="V1152" s="7">
        <v>0.75191335925997893</v>
      </c>
      <c r="W1152">
        <v>93</v>
      </c>
      <c r="X1152">
        <v>2.8999999999999998E-3</v>
      </c>
      <c r="Y1152">
        <v>0.62</v>
      </c>
      <c r="Z1152">
        <v>7.5</v>
      </c>
      <c r="AA1152">
        <v>4.2</v>
      </c>
      <c r="AB1152">
        <v>25</v>
      </c>
      <c r="AC1152" s="17">
        <v>4</v>
      </c>
      <c r="AD1152">
        <v>0.2</v>
      </c>
      <c r="AE1152">
        <v>8</v>
      </c>
      <c r="AF1152" s="11">
        <v>8.7500000000000022E-2</v>
      </c>
    </row>
    <row r="1153" spans="1:32" x14ac:dyDescent="0.3">
      <c r="A1153" t="s">
        <v>148</v>
      </c>
      <c r="B1153" t="s">
        <v>16</v>
      </c>
      <c r="C1153">
        <v>4.51</v>
      </c>
      <c r="D1153">
        <v>318.13</v>
      </c>
      <c r="E1153">
        <v>1.81</v>
      </c>
      <c r="F1153">
        <v>1.85</v>
      </c>
      <c r="G1153">
        <v>0.55000000000000004</v>
      </c>
      <c r="H1153">
        <v>0.77</v>
      </c>
      <c r="I1153">
        <v>2.0249999999999999</v>
      </c>
      <c r="J1153">
        <v>49.3</v>
      </c>
      <c r="K1153" t="s">
        <v>45</v>
      </c>
      <c r="L1153" t="s">
        <v>149</v>
      </c>
      <c r="M1153">
        <v>3</v>
      </c>
      <c r="N1153">
        <v>61.002000000000002</v>
      </c>
      <c r="O1153">
        <v>7.75</v>
      </c>
      <c r="P1153" s="13">
        <v>1.6225000000000001</v>
      </c>
      <c r="Q1153" t="s">
        <v>52</v>
      </c>
      <c r="R1153">
        <v>60</v>
      </c>
      <c r="S1153">
        <v>24</v>
      </c>
      <c r="T1153">
        <v>400</v>
      </c>
      <c r="U1153">
        <v>4</v>
      </c>
      <c r="V1153" s="7">
        <v>0.75191335925997893</v>
      </c>
      <c r="W1153">
        <v>93</v>
      </c>
      <c r="X1153">
        <v>2.8999999999999998E-3</v>
      </c>
      <c r="Y1153">
        <v>0.62</v>
      </c>
      <c r="Z1153">
        <v>7.5</v>
      </c>
      <c r="AA1153">
        <v>4.2</v>
      </c>
      <c r="AB1153">
        <v>25</v>
      </c>
      <c r="AC1153" s="17">
        <v>6</v>
      </c>
      <c r="AD1153">
        <v>0.2</v>
      </c>
      <c r="AE1153">
        <v>8</v>
      </c>
      <c r="AF1153" s="11">
        <v>6.3749999999999973E-2</v>
      </c>
    </row>
    <row r="1154" spans="1:32" x14ac:dyDescent="0.3">
      <c r="A1154" t="s">
        <v>148</v>
      </c>
      <c r="B1154" t="s">
        <v>16</v>
      </c>
      <c r="C1154">
        <v>4.51</v>
      </c>
      <c r="D1154">
        <v>318.13</v>
      </c>
      <c r="E1154">
        <v>1.81</v>
      </c>
      <c r="F1154">
        <v>1.85</v>
      </c>
      <c r="G1154">
        <v>0.55000000000000004</v>
      </c>
      <c r="H1154">
        <v>0.77</v>
      </c>
      <c r="I1154">
        <v>2.0249999999999999</v>
      </c>
      <c r="J1154">
        <v>49.3</v>
      </c>
      <c r="K1154" t="s">
        <v>45</v>
      </c>
      <c r="L1154" t="s">
        <v>149</v>
      </c>
      <c r="M1154">
        <v>3</v>
      </c>
      <c r="N1154">
        <v>61.002000000000002</v>
      </c>
      <c r="O1154">
        <v>7.75</v>
      </c>
      <c r="P1154" s="13">
        <v>1.6225000000000001</v>
      </c>
      <c r="Q1154" t="s">
        <v>52</v>
      </c>
      <c r="R1154">
        <v>60</v>
      </c>
      <c r="S1154">
        <v>24</v>
      </c>
      <c r="T1154">
        <v>400</v>
      </c>
      <c r="U1154">
        <v>4</v>
      </c>
      <c r="V1154" s="7">
        <v>0.75191335925997893</v>
      </c>
      <c r="W1154">
        <v>93</v>
      </c>
      <c r="X1154">
        <v>2.8999999999999998E-3</v>
      </c>
      <c r="Y1154">
        <v>0.62</v>
      </c>
      <c r="Z1154">
        <v>7.5</v>
      </c>
      <c r="AA1154">
        <v>4.2</v>
      </c>
      <c r="AB1154">
        <v>25</v>
      </c>
      <c r="AC1154" s="17">
        <v>7</v>
      </c>
      <c r="AD1154">
        <v>0.2</v>
      </c>
      <c r="AE1154">
        <v>8</v>
      </c>
      <c r="AF1154" s="11">
        <v>9.5500000000000029E-2</v>
      </c>
    </row>
    <row r="1155" spans="1:32" x14ac:dyDescent="0.3">
      <c r="A1155" t="s">
        <v>148</v>
      </c>
      <c r="B1155" t="s">
        <v>16</v>
      </c>
      <c r="C1155">
        <v>4.51</v>
      </c>
      <c r="D1155">
        <v>318.13</v>
      </c>
      <c r="E1155">
        <v>1.81</v>
      </c>
      <c r="F1155">
        <v>1.85</v>
      </c>
      <c r="G1155">
        <v>0.55000000000000004</v>
      </c>
      <c r="H1155">
        <v>0.77</v>
      </c>
      <c r="I1155">
        <v>2.0249999999999999</v>
      </c>
      <c r="J1155">
        <v>49.3</v>
      </c>
      <c r="K1155" t="s">
        <v>45</v>
      </c>
      <c r="L1155" t="s">
        <v>149</v>
      </c>
      <c r="M1155">
        <v>3</v>
      </c>
      <c r="N1155">
        <v>61.002000000000002</v>
      </c>
      <c r="O1155">
        <v>7.75</v>
      </c>
      <c r="P1155" s="13">
        <v>1.6225000000000001</v>
      </c>
      <c r="Q1155" t="s">
        <v>52</v>
      </c>
      <c r="R1155">
        <v>60</v>
      </c>
      <c r="S1155">
        <v>24</v>
      </c>
      <c r="T1155">
        <v>400</v>
      </c>
      <c r="U1155">
        <v>4</v>
      </c>
      <c r="V1155" s="7">
        <v>0.75191335925997893</v>
      </c>
      <c r="W1155">
        <v>93</v>
      </c>
      <c r="X1155">
        <v>2.8999999999999998E-3</v>
      </c>
      <c r="Y1155">
        <v>0.62</v>
      </c>
      <c r="Z1155">
        <v>7.5</v>
      </c>
      <c r="AA1155">
        <v>4.2</v>
      </c>
      <c r="AB1155">
        <v>25</v>
      </c>
      <c r="AC1155" s="17">
        <v>8</v>
      </c>
      <c r="AD1155">
        <v>0.2</v>
      </c>
      <c r="AE1155">
        <v>8</v>
      </c>
      <c r="AF1155" s="11">
        <v>8.7500000000000022E-2</v>
      </c>
    </row>
    <row r="1156" spans="1:32" x14ac:dyDescent="0.3">
      <c r="A1156" t="s">
        <v>148</v>
      </c>
      <c r="B1156" t="s">
        <v>16</v>
      </c>
      <c r="C1156">
        <v>4.51</v>
      </c>
      <c r="D1156">
        <v>318.13</v>
      </c>
      <c r="E1156">
        <v>1.81</v>
      </c>
      <c r="F1156">
        <v>1.85</v>
      </c>
      <c r="G1156">
        <v>0.55000000000000004</v>
      </c>
      <c r="H1156">
        <v>0.77</v>
      </c>
      <c r="I1156">
        <v>2.0249999999999999</v>
      </c>
      <c r="J1156">
        <v>49.3</v>
      </c>
      <c r="K1156" t="s">
        <v>45</v>
      </c>
      <c r="L1156" t="s">
        <v>149</v>
      </c>
      <c r="M1156">
        <v>3</v>
      </c>
      <c r="N1156">
        <v>61.002000000000002</v>
      </c>
      <c r="O1156">
        <v>7.75</v>
      </c>
      <c r="P1156" s="13">
        <v>1.6225000000000001</v>
      </c>
      <c r="Q1156" t="s">
        <v>52</v>
      </c>
      <c r="R1156">
        <v>60</v>
      </c>
      <c r="S1156">
        <v>24</v>
      </c>
      <c r="T1156">
        <v>400</v>
      </c>
      <c r="U1156">
        <v>4</v>
      </c>
      <c r="V1156" s="7">
        <v>0.75191335925997893</v>
      </c>
      <c r="W1156">
        <v>93</v>
      </c>
      <c r="X1156">
        <v>2.8999999999999998E-3</v>
      </c>
      <c r="Y1156">
        <v>0.62</v>
      </c>
      <c r="Z1156">
        <v>7.5</v>
      </c>
      <c r="AA1156">
        <v>4.2</v>
      </c>
      <c r="AB1156">
        <v>25</v>
      </c>
      <c r="AC1156" s="17">
        <v>0.17</v>
      </c>
      <c r="AD1156">
        <v>0.2</v>
      </c>
      <c r="AE1156">
        <v>16</v>
      </c>
      <c r="AF1156" s="16">
        <v>4.0000000000000036E-3</v>
      </c>
    </row>
    <row r="1157" spans="1:32" x14ac:dyDescent="0.3">
      <c r="A1157" t="s">
        <v>148</v>
      </c>
      <c r="B1157" t="s">
        <v>16</v>
      </c>
      <c r="C1157">
        <v>4.51</v>
      </c>
      <c r="D1157">
        <v>318.13</v>
      </c>
      <c r="E1157">
        <v>1.81</v>
      </c>
      <c r="F1157">
        <v>1.85</v>
      </c>
      <c r="G1157">
        <v>0.55000000000000004</v>
      </c>
      <c r="H1157">
        <v>0.77</v>
      </c>
      <c r="I1157">
        <v>2.0249999999999999</v>
      </c>
      <c r="J1157">
        <v>49.3</v>
      </c>
      <c r="K1157" t="s">
        <v>45</v>
      </c>
      <c r="L1157" t="s">
        <v>149</v>
      </c>
      <c r="M1157">
        <v>3</v>
      </c>
      <c r="N1157">
        <v>61.002000000000002</v>
      </c>
      <c r="O1157">
        <v>7.75</v>
      </c>
      <c r="P1157" s="13">
        <v>1.6225000000000001</v>
      </c>
      <c r="Q1157" t="s">
        <v>52</v>
      </c>
      <c r="R1157">
        <v>60</v>
      </c>
      <c r="S1157">
        <v>24</v>
      </c>
      <c r="T1157">
        <v>400</v>
      </c>
      <c r="U1157">
        <v>4</v>
      </c>
      <c r="V1157" s="7">
        <v>0.75191335925997893</v>
      </c>
      <c r="W1157">
        <v>93</v>
      </c>
      <c r="X1157">
        <v>2.8999999999999998E-3</v>
      </c>
      <c r="Y1157">
        <v>0.62</v>
      </c>
      <c r="Z1157">
        <v>7.5</v>
      </c>
      <c r="AA1157">
        <v>4.2</v>
      </c>
      <c r="AB1157">
        <v>25</v>
      </c>
      <c r="AC1157" s="17">
        <v>0.33</v>
      </c>
      <c r="AD1157">
        <v>0.2</v>
      </c>
      <c r="AE1157">
        <v>16</v>
      </c>
      <c r="AF1157" s="11">
        <v>3.1874999999999987E-2</v>
      </c>
    </row>
    <row r="1158" spans="1:32" x14ac:dyDescent="0.3">
      <c r="A1158" t="s">
        <v>148</v>
      </c>
      <c r="B1158" t="s">
        <v>16</v>
      </c>
      <c r="C1158">
        <v>4.51</v>
      </c>
      <c r="D1158">
        <v>318.13</v>
      </c>
      <c r="E1158">
        <v>1.81</v>
      </c>
      <c r="F1158">
        <v>1.85</v>
      </c>
      <c r="G1158">
        <v>0.55000000000000004</v>
      </c>
      <c r="H1158">
        <v>0.77</v>
      </c>
      <c r="I1158">
        <v>2.0249999999999999</v>
      </c>
      <c r="J1158">
        <v>49.3</v>
      </c>
      <c r="K1158" t="s">
        <v>45</v>
      </c>
      <c r="L1158" t="s">
        <v>149</v>
      </c>
      <c r="M1158">
        <v>3</v>
      </c>
      <c r="N1158">
        <v>61.002000000000002</v>
      </c>
      <c r="O1158">
        <v>7.75</v>
      </c>
      <c r="P1158" s="13">
        <v>1.6225000000000001</v>
      </c>
      <c r="Q1158" t="s">
        <v>52</v>
      </c>
      <c r="R1158">
        <v>60</v>
      </c>
      <c r="S1158">
        <v>24</v>
      </c>
      <c r="T1158">
        <v>400</v>
      </c>
      <c r="U1158">
        <v>4</v>
      </c>
      <c r="V1158" s="7">
        <v>0.75191335925997893</v>
      </c>
      <c r="W1158">
        <v>93</v>
      </c>
      <c r="X1158">
        <v>2.8999999999999998E-3</v>
      </c>
      <c r="Y1158">
        <v>0.62</v>
      </c>
      <c r="Z1158">
        <v>7.5</v>
      </c>
      <c r="AA1158">
        <v>4.2</v>
      </c>
      <c r="AB1158">
        <v>25</v>
      </c>
      <c r="AC1158" s="17">
        <v>0.5</v>
      </c>
      <c r="AD1158">
        <v>0.2</v>
      </c>
      <c r="AE1158">
        <v>16</v>
      </c>
      <c r="AF1158" s="11">
        <v>5.9625000000000039E-2</v>
      </c>
    </row>
    <row r="1159" spans="1:32" x14ac:dyDescent="0.3">
      <c r="A1159" t="s">
        <v>148</v>
      </c>
      <c r="B1159" t="s">
        <v>16</v>
      </c>
      <c r="C1159">
        <v>4.51</v>
      </c>
      <c r="D1159">
        <v>318.13</v>
      </c>
      <c r="E1159">
        <v>1.81</v>
      </c>
      <c r="F1159">
        <v>1.85</v>
      </c>
      <c r="G1159">
        <v>0.55000000000000004</v>
      </c>
      <c r="H1159">
        <v>0.77</v>
      </c>
      <c r="I1159">
        <v>2.0249999999999999</v>
      </c>
      <c r="J1159">
        <v>49.3</v>
      </c>
      <c r="K1159" t="s">
        <v>45</v>
      </c>
      <c r="L1159" t="s">
        <v>149</v>
      </c>
      <c r="M1159">
        <v>3</v>
      </c>
      <c r="N1159">
        <v>61.002000000000002</v>
      </c>
      <c r="O1159">
        <v>7.75</v>
      </c>
      <c r="P1159" s="13">
        <v>1.6225000000000001</v>
      </c>
      <c r="Q1159" t="s">
        <v>52</v>
      </c>
      <c r="R1159">
        <v>60</v>
      </c>
      <c r="S1159">
        <v>24</v>
      </c>
      <c r="T1159">
        <v>400</v>
      </c>
      <c r="U1159">
        <v>4</v>
      </c>
      <c r="V1159" s="7">
        <v>0.75191335925997893</v>
      </c>
      <c r="W1159">
        <v>93</v>
      </c>
      <c r="X1159">
        <v>2.8999999999999998E-3</v>
      </c>
      <c r="Y1159">
        <v>0.62</v>
      </c>
      <c r="Z1159">
        <v>7.5</v>
      </c>
      <c r="AA1159">
        <v>4.2</v>
      </c>
      <c r="AB1159">
        <v>25</v>
      </c>
      <c r="AC1159" s="17">
        <v>1</v>
      </c>
      <c r="AD1159">
        <v>0.2</v>
      </c>
      <c r="AE1159">
        <v>16</v>
      </c>
      <c r="AF1159" s="11">
        <v>8.3500000000000019E-2</v>
      </c>
    </row>
    <row r="1160" spans="1:32" x14ac:dyDescent="0.3">
      <c r="A1160" t="s">
        <v>148</v>
      </c>
      <c r="B1160" t="s">
        <v>16</v>
      </c>
      <c r="C1160">
        <v>4.51</v>
      </c>
      <c r="D1160">
        <v>318.13</v>
      </c>
      <c r="E1160">
        <v>1.81</v>
      </c>
      <c r="F1160">
        <v>1.85</v>
      </c>
      <c r="G1160">
        <v>0.55000000000000004</v>
      </c>
      <c r="H1160">
        <v>0.77</v>
      </c>
      <c r="I1160">
        <v>2.0249999999999999</v>
      </c>
      <c r="J1160">
        <v>49.3</v>
      </c>
      <c r="K1160" t="s">
        <v>45</v>
      </c>
      <c r="L1160" t="s">
        <v>149</v>
      </c>
      <c r="M1160">
        <v>3</v>
      </c>
      <c r="N1160">
        <v>61.002000000000002</v>
      </c>
      <c r="O1160">
        <v>7.75</v>
      </c>
      <c r="P1160" s="13">
        <v>1.6225000000000001</v>
      </c>
      <c r="Q1160" t="s">
        <v>52</v>
      </c>
      <c r="R1160">
        <v>60</v>
      </c>
      <c r="S1160">
        <v>24</v>
      </c>
      <c r="T1160">
        <v>400</v>
      </c>
      <c r="U1160">
        <v>4</v>
      </c>
      <c r="V1160" s="7">
        <v>0.75191335925997893</v>
      </c>
      <c r="W1160">
        <v>93</v>
      </c>
      <c r="X1160">
        <v>2.8999999999999998E-3</v>
      </c>
      <c r="Y1160">
        <v>0.62</v>
      </c>
      <c r="Z1160">
        <v>7.5</v>
      </c>
      <c r="AA1160">
        <v>4.2</v>
      </c>
      <c r="AB1160">
        <v>25</v>
      </c>
      <c r="AC1160" s="17">
        <v>1.5</v>
      </c>
      <c r="AD1160">
        <v>0.2</v>
      </c>
      <c r="AE1160">
        <v>16</v>
      </c>
      <c r="AF1160" s="11">
        <v>0.111375</v>
      </c>
    </row>
    <row r="1161" spans="1:32" x14ac:dyDescent="0.3">
      <c r="A1161" t="s">
        <v>148</v>
      </c>
      <c r="B1161" t="s">
        <v>16</v>
      </c>
      <c r="C1161">
        <v>4.51</v>
      </c>
      <c r="D1161">
        <v>318.13</v>
      </c>
      <c r="E1161">
        <v>1.81</v>
      </c>
      <c r="F1161">
        <v>1.85</v>
      </c>
      <c r="G1161">
        <v>0.55000000000000004</v>
      </c>
      <c r="H1161">
        <v>0.77</v>
      </c>
      <c r="I1161">
        <v>2.0249999999999999</v>
      </c>
      <c r="J1161">
        <v>49.3</v>
      </c>
      <c r="K1161" t="s">
        <v>45</v>
      </c>
      <c r="L1161" t="s">
        <v>149</v>
      </c>
      <c r="M1161">
        <v>3</v>
      </c>
      <c r="N1161">
        <v>61.002000000000002</v>
      </c>
      <c r="O1161">
        <v>7.75</v>
      </c>
      <c r="P1161" s="13">
        <v>1.6225000000000001</v>
      </c>
      <c r="Q1161" t="s">
        <v>52</v>
      </c>
      <c r="R1161">
        <v>60</v>
      </c>
      <c r="S1161">
        <v>24</v>
      </c>
      <c r="T1161">
        <v>400</v>
      </c>
      <c r="U1161">
        <v>4</v>
      </c>
      <c r="V1161" s="7">
        <v>0.75191335925997893</v>
      </c>
      <c r="W1161">
        <v>93</v>
      </c>
      <c r="X1161">
        <v>2.8999999999999998E-3</v>
      </c>
      <c r="Y1161">
        <v>0.62</v>
      </c>
      <c r="Z1161">
        <v>7.5</v>
      </c>
      <c r="AA1161">
        <v>4.2</v>
      </c>
      <c r="AB1161">
        <v>25</v>
      </c>
      <c r="AC1161" s="17">
        <v>2</v>
      </c>
      <c r="AD1161">
        <v>0.2</v>
      </c>
      <c r="AE1161">
        <v>16</v>
      </c>
      <c r="AF1161" s="11">
        <v>0.11537500000000001</v>
      </c>
    </row>
    <row r="1162" spans="1:32" x14ac:dyDescent="0.3">
      <c r="A1162" t="s">
        <v>148</v>
      </c>
      <c r="B1162" t="s">
        <v>16</v>
      </c>
      <c r="C1162">
        <v>4.51</v>
      </c>
      <c r="D1162">
        <v>318.13</v>
      </c>
      <c r="E1162">
        <v>1.81</v>
      </c>
      <c r="F1162">
        <v>1.85</v>
      </c>
      <c r="G1162">
        <v>0.55000000000000004</v>
      </c>
      <c r="H1162">
        <v>0.77</v>
      </c>
      <c r="I1162">
        <v>2.0249999999999999</v>
      </c>
      <c r="J1162">
        <v>49.3</v>
      </c>
      <c r="K1162" t="s">
        <v>45</v>
      </c>
      <c r="L1162" t="s">
        <v>149</v>
      </c>
      <c r="M1162">
        <v>3</v>
      </c>
      <c r="N1162">
        <v>61.002000000000002</v>
      </c>
      <c r="O1162">
        <v>7.75</v>
      </c>
      <c r="P1162" s="13">
        <v>1.6225000000000001</v>
      </c>
      <c r="Q1162" t="s">
        <v>52</v>
      </c>
      <c r="R1162">
        <v>60</v>
      </c>
      <c r="S1162">
        <v>24</v>
      </c>
      <c r="T1162">
        <v>400</v>
      </c>
      <c r="U1162">
        <v>4</v>
      </c>
      <c r="V1162" s="7">
        <v>0.75191335925997893</v>
      </c>
      <c r="W1162">
        <v>93</v>
      </c>
      <c r="X1162">
        <v>2.8999999999999998E-3</v>
      </c>
      <c r="Y1162">
        <v>0.62</v>
      </c>
      <c r="Z1162">
        <v>7.5</v>
      </c>
      <c r="AA1162">
        <v>4.2</v>
      </c>
      <c r="AB1162">
        <v>25</v>
      </c>
      <c r="AC1162" s="17">
        <v>3</v>
      </c>
      <c r="AD1162">
        <v>0.2</v>
      </c>
      <c r="AE1162">
        <v>16</v>
      </c>
      <c r="AF1162" s="11">
        <v>0.11537500000000001</v>
      </c>
    </row>
    <row r="1163" spans="1:32" x14ac:dyDescent="0.3">
      <c r="A1163" t="s">
        <v>148</v>
      </c>
      <c r="B1163" t="s">
        <v>16</v>
      </c>
      <c r="C1163">
        <v>4.51</v>
      </c>
      <c r="D1163">
        <v>318.13</v>
      </c>
      <c r="E1163">
        <v>1.81</v>
      </c>
      <c r="F1163">
        <v>1.85</v>
      </c>
      <c r="G1163">
        <v>0.55000000000000004</v>
      </c>
      <c r="H1163">
        <v>0.77</v>
      </c>
      <c r="I1163">
        <v>2.0249999999999999</v>
      </c>
      <c r="J1163">
        <v>49.3</v>
      </c>
      <c r="K1163" t="s">
        <v>45</v>
      </c>
      <c r="L1163" t="s">
        <v>149</v>
      </c>
      <c r="M1163">
        <v>3</v>
      </c>
      <c r="N1163">
        <v>61.002000000000002</v>
      </c>
      <c r="O1163">
        <v>7.75</v>
      </c>
      <c r="P1163" s="13">
        <v>1.6225000000000001</v>
      </c>
      <c r="Q1163" t="s">
        <v>52</v>
      </c>
      <c r="R1163">
        <v>60</v>
      </c>
      <c r="S1163">
        <v>24</v>
      </c>
      <c r="T1163">
        <v>400</v>
      </c>
      <c r="U1163">
        <v>4</v>
      </c>
      <c r="V1163" s="7">
        <v>0.75191335925997893</v>
      </c>
      <c r="W1163">
        <v>93</v>
      </c>
      <c r="X1163">
        <v>2.8999999999999998E-3</v>
      </c>
      <c r="Y1163">
        <v>0.62</v>
      </c>
      <c r="Z1163">
        <v>7.5</v>
      </c>
      <c r="AA1163">
        <v>4.2</v>
      </c>
      <c r="AB1163">
        <v>25</v>
      </c>
      <c r="AC1163" s="17">
        <v>4</v>
      </c>
      <c r="AD1163">
        <v>0.2</v>
      </c>
      <c r="AE1163">
        <v>16</v>
      </c>
      <c r="AF1163" s="11">
        <v>0.11924999999999997</v>
      </c>
    </row>
    <row r="1164" spans="1:32" x14ac:dyDescent="0.3">
      <c r="A1164" t="s">
        <v>148</v>
      </c>
      <c r="B1164" t="s">
        <v>16</v>
      </c>
      <c r="C1164">
        <v>4.51</v>
      </c>
      <c r="D1164">
        <v>318.13</v>
      </c>
      <c r="E1164">
        <v>1.81</v>
      </c>
      <c r="F1164">
        <v>1.85</v>
      </c>
      <c r="G1164">
        <v>0.55000000000000004</v>
      </c>
      <c r="H1164">
        <v>0.77</v>
      </c>
      <c r="I1164">
        <v>2.0249999999999999</v>
      </c>
      <c r="J1164">
        <v>49.3</v>
      </c>
      <c r="K1164" t="s">
        <v>45</v>
      </c>
      <c r="L1164" t="s">
        <v>149</v>
      </c>
      <c r="M1164">
        <v>3</v>
      </c>
      <c r="N1164">
        <v>61.002000000000002</v>
      </c>
      <c r="O1164">
        <v>7.75</v>
      </c>
      <c r="P1164" s="13">
        <v>1.6225000000000001</v>
      </c>
      <c r="Q1164" t="s">
        <v>52</v>
      </c>
      <c r="R1164">
        <v>60</v>
      </c>
      <c r="S1164">
        <v>24</v>
      </c>
      <c r="T1164">
        <v>400</v>
      </c>
      <c r="U1164">
        <v>4</v>
      </c>
      <c r="V1164" s="7">
        <v>0.75191335925997893</v>
      </c>
      <c r="W1164">
        <v>93</v>
      </c>
      <c r="X1164">
        <v>2.8999999999999998E-3</v>
      </c>
      <c r="Y1164">
        <v>0.62</v>
      </c>
      <c r="Z1164">
        <v>7.5</v>
      </c>
      <c r="AA1164">
        <v>4.2</v>
      </c>
      <c r="AB1164">
        <v>25</v>
      </c>
      <c r="AC1164" s="17">
        <v>7</v>
      </c>
      <c r="AD1164">
        <v>0.2</v>
      </c>
      <c r="AE1164">
        <v>16</v>
      </c>
      <c r="AF1164" s="11">
        <v>0.12324999999999997</v>
      </c>
    </row>
    <row r="1165" spans="1:32" x14ac:dyDescent="0.3">
      <c r="A1165" t="s">
        <v>148</v>
      </c>
      <c r="B1165" t="s">
        <v>16</v>
      </c>
      <c r="C1165">
        <v>4.51</v>
      </c>
      <c r="D1165">
        <v>318.13</v>
      </c>
      <c r="E1165">
        <v>1.81</v>
      </c>
      <c r="F1165">
        <v>1.85</v>
      </c>
      <c r="G1165">
        <v>0.55000000000000004</v>
      </c>
      <c r="H1165">
        <v>0.77</v>
      </c>
      <c r="I1165">
        <v>2.0249999999999999</v>
      </c>
      <c r="J1165">
        <v>49.3</v>
      </c>
      <c r="K1165" t="s">
        <v>45</v>
      </c>
      <c r="L1165" t="s">
        <v>149</v>
      </c>
      <c r="M1165">
        <v>3</v>
      </c>
      <c r="N1165">
        <v>61.002000000000002</v>
      </c>
      <c r="O1165">
        <v>7.75</v>
      </c>
      <c r="P1165" s="13">
        <v>1.6225000000000001</v>
      </c>
      <c r="Q1165" t="s">
        <v>52</v>
      </c>
      <c r="R1165">
        <v>60</v>
      </c>
      <c r="S1165">
        <v>24</v>
      </c>
      <c r="T1165">
        <v>400</v>
      </c>
      <c r="U1165">
        <v>4</v>
      </c>
      <c r="V1165" s="7">
        <v>0.75191335925997893</v>
      </c>
      <c r="W1165">
        <v>93</v>
      </c>
      <c r="X1165">
        <v>2.8999999999999998E-3</v>
      </c>
      <c r="Y1165">
        <v>0.62</v>
      </c>
      <c r="Z1165">
        <v>7.5</v>
      </c>
      <c r="AA1165">
        <v>4.2</v>
      </c>
      <c r="AB1165">
        <v>25</v>
      </c>
      <c r="AC1165" s="17">
        <v>8</v>
      </c>
      <c r="AD1165">
        <v>0.2</v>
      </c>
      <c r="AE1165">
        <v>16</v>
      </c>
      <c r="AF1165" s="11">
        <v>0.12724999999999997</v>
      </c>
    </row>
    <row r="1166" spans="1:32" x14ac:dyDescent="0.3">
      <c r="A1166" t="s">
        <v>148</v>
      </c>
      <c r="B1166" t="s">
        <v>16</v>
      </c>
      <c r="C1166">
        <v>4.51</v>
      </c>
      <c r="D1166">
        <v>318.13</v>
      </c>
      <c r="E1166">
        <v>1.81</v>
      </c>
      <c r="F1166">
        <v>1.85</v>
      </c>
      <c r="G1166">
        <v>0.55000000000000004</v>
      </c>
      <c r="H1166">
        <v>0.77</v>
      </c>
      <c r="I1166">
        <v>2.0249999999999999</v>
      </c>
      <c r="J1166">
        <v>49.3</v>
      </c>
      <c r="K1166" t="s">
        <v>45</v>
      </c>
      <c r="L1166" t="s">
        <v>149</v>
      </c>
      <c r="M1166">
        <v>3</v>
      </c>
      <c r="N1166">
        <v>61.002000000000002</v>
      </c>
      <c r="O1166">
        <v>7.75</v>
      </c>
      <c r="P1166" s="13">
        <v>1.6225000000000001</v>
      </c>
      <c r="Q1166" t="s">
        <v>52</v>
      </c>
      <c r="R1166">
        <v>60</v>
      </c>
      <c r="S1166">
        <v>24</v>
      </c>
      <c r="T1166">
        <v>400</v>
      </c>
      <c r="U1166">
        <v>4</v>
      </c>
      <c r="V1166" s="7">
        <v>0.75191335925997893</v>
      </c>
      <c r="W1166">
        <v>93</v>
      </c>
      <c r="X1166">
        <v>2.8999999999999998E-3</v>
      </c>
      <c r="Y1166">
        <v>0.62</v>
      </c>
      <c r="Z1166">
        <v>7.5</v>
      </c>
      <c r="AA1166">
        <v>4.2</v>
      </c>
      <c r="AB1166">
        <v>25</v>
      </c>
      <c r="AC1166" s="17">
        <v>0.17</v>
      </c>
      <c r="AD1166">
        <v>0.2</v>
      </c>
      <c r="AE1166">
        <v>24</v>
      </c>
      <c r="AF1166" s="11">
        <v>5.8333333333333272E-2</v>
      </c>
    </row>
    <row r="1167" spans="1:32" x14ac:dyDescent="0.3">
      <c r="A1167" t="s">
        <v>148</v>
      </c>
      <c r="B1167" t="s">
        <v>16</v>
      </c>
      <c r="C1167">
        <v>4.51</v>
      </c>
      <c r="D1167">
        <v>318.13</v>
      </c>
      <c r="E1167">
        <v>1.81</v>
      </c>
      <c r="F1167">
        <v>1.85</v>
      </c>
      <c r="G1167">
        <v>0.55000000000000004</v>
      </c>
      <c r="H1167">
        <v>0.77</v>
      </c>
      <c r="I1167">
        <v>2.0249999999999999</v>
      </c>
      <c r="J1167">
        <v>49.3</v>
      </c>
      <c r="K1167" t="s">
        <v>45</v>
      </c>
      <c r="L1167" t="s">
        <v>149</v>
      </c>
      <c r="M1167">
        <v>3</v>
      </c>
      <c r="N1167">
        <v>61.002000000000002</v>
      </c>
      <c r="O1167">
        <v>7.75</v>
      </c>
      <c r="P1167" s="13">
        <v>1.6225000000000001</v>
      </c>
      <c r="Q1167" t="s">
        <v>52</v>
      </c>
      <c r="R1167">
        <v>60</v>
      </c>
      <c r="S1167">
        <v>24</v>
      </c>
      <c r="T1167">
        <v>400</v>
      </c>
      <c r="U1167">
        <v>4</v>
      </c>
      <c r="V1167" s="7">
        <v>0.75191335925997893</v>
      </c>
      <c r="W1167">
        <v>93</v>
      </c>
      <c r="X1167">
        <v>2.8999999999999998E-3</v>
      </c>
      <c r="Y1167">
        <v>0.62</v>
      </c>
      <c r="Z1167">
        <v>7.5</v>
      </c>
      <c r="AA1167">
        <v>4.2</v>
      </c>
      <c r="AB1167">
        <v>25</v>
      </c>
      <c r="AC1167" s="17">
        <v>0.33</v>
      </c>
      <c r="AD1167">
        <v>0.2</v>
      </c>
      <c r="AE1167">
        <v>24</v>
      </c>
      <c r="AF1167" s="11">
        <v>0.10608333333333331</v>
      </c>
    </row>
    <row r="1168" spans="1:32" x14ac:dyDescent="0.3">
      <c r="A1168" t="s">
        <v>148</v>
      </c>
      <c r="B1168" t="s">
        <v>16</v>
      </c>
      <c r="C1168">
        <v>4.51</v>
      </c>
      <c r="D1168">
        <v>318.13</v>
      </c>
      <c r="E1168">
        <v>1.81</v>
      </c>
      <c r="F1168">
        <v>1.85</v>
      </c>
      <c r="G1168">
        <v>0.55000000000000004</v>
      </c>
      <c r="H1168">
        <v>0.77</v>
      </c>
      <c r="I1168">
        <v>2.0249999999999999</v>
      </c>
      <c r="J1168">
        <v>49.3</v>
      </c>
      <c r="K1168" t="s">
        <v>45</v>
      </c>
      <c r="L1168" t="s">
        <v>149</v>
      </c>
      <c r="M1168">
        <v>3</v>
      </c>
      <c r="N1168">
        <v>61.002000000000002</v>
      </c>
      <c r="O1168">
        <v>7.75</v>
      </c>
      <c r="P1168" s="13">
        <v>1.6225000000000001</v>
      </c>
      <c r="Q1168" t="s">
        <v>52</v>
      </c>
      <c r="R1168">
        <v>60</v>
      </c>
      <c r="S1168">
        <v>24</v>
      </c>
      <c r="T1168">
        <v>400</v>
      </c>
      <c r="U1168">
        <v>4</v>
      </c>
      <c r="V1168" s="7">
        <v>0.75191335925997893</v>
      </c>
      <c r="W1168">
        <v>93</v>
      </c>
      <c r="X1168">
        <v>2.8999999999999998E-3</v>
      </c>
      <c r="Y1168">
        <v>0.62</v>
      </c>
      <c r="Z1168">
        <v>7.5</v>
      </c>
      <c r="AA1168">
        <v>4.2</v>
      </c>
      <c r="AB1168">
        <v>25</v>
      </c>
      <c r="AC1168" s="17">
        <v>0.5</v>
      </c>
      <c r="AD1168">
        <v>0.2</v>
      </c>
      <c r="AE1168">
        <v>24</v>
      </c>
      <c r="AF1168" s="11">
        <v>0.14849999999999999</v>
      </c>
    </row>
    <row r="1169" spans="1:32" x14ac:dyDescent="0.3">
      <c r="A1169" t="s">
        <v>148</v>
      </c>
      <c r="B1169" t="s">
        <v>16</v>
      </c>
      <c r="C1169">
        <v>4.51</v>
      </c>
      <c r="D1169">
        <v>318.13</v>
      </c>
      <c r="E1169">
        <v>1.81</v>
      </c>
      <c r="F1169">
        <v>1.85</v>
      </c>
      <c r="G1169">
        <v>0.55000000000000004</v>
      </c>
      <c r="H1169">
        <v>0.77</v>
      </c>
      <c r="I1169">
        <v>2.0249999999999999</v>
      </c>
      <c r="J1169">
        <v>49.3</v>
      </c>
      <c r="K1169" t="s">
        <v>45</v>
      </c>
      <c r="L1169" t="s">
        <v>149</v>
      </c>
      <c r="M1169">
        <v>3</v>
      </c>
      <c r="N1169">
        <v>61.002000000000002</v>
      </c>
      <c r="O1169">
        <v>7.75</v>
      </c>
      <c r="P1169" s="13">
        <v>1.6225000000000001</v>
      </c>
      <c r="Q1169" t="s">
        <v>52</v>
      </c>
      <c r="R1169">
        <v>60</v>
      </c>
      <c r="S1169">
        <v>24</v>
      </c>
      <c r="T1169">
        <v>400</v>
      </c>
      <c r="U1169">
        <v>4</v>
      </c>
      <c r="V1169" s="7">
        <v>0.75191335925997893</v>
      </c>
      <c r="W1169">
        <v>93</v>
      </c>
      <c r="X1169">
        <v>2.8999999999999998E-3</v>
      </c>
      <c r="Y1169">
        <v>0.62</v>
      </c>
      <c r="Z1169">
        <v>7.5</v>
      </c>
      <c r="AA1169">
        <v>4.2</v>
      </c>
      <c r="AB1169">
        <v>25</v>
      </c>
      <c r="AC1169" s="17">
        <v>0.67</v>
      </c>
      <c r="AD1169">
        <v>0.2</v>
      </c>
      <c r="AE1169">
        <v>24</v>
      </c>
      <c r="AF1169" s="11">
        <v>0.18025000000000002</v>
      </c>
    </row>
    <row r="1170" spans="1:32" x14ac:dyDescent="0.3">
      <c r="A1170" t="s">
        <v>148</v>
      </c>
      <c r="B1170" t="s">
        <v>16</v>
      </c>
      <c r="C1170">
        <v>4.51</v>
      </c>
      <c r="D1170">
        <v>318.13</v>
      </c>
      <c r="E1170">
        <v>1.81</v>
      </c>
      <c r="F1170">
        <v>1.85</v>
      </c>
      <c r="G1170">
        <v>0.55000000000000004</v>
      </c>
      <c r="H1170">
        <v>0.77</v>
      </c>
      <c r="I1170">
        <v>2.0249999999999999</v>
      </c>
      <c r="J1170">
        <v>49.3</v>
      </c>
      <c r="K1170" t="s">
        <v>45</v>
      </c>
      <c r="L1170" t="s">
        <v>149</v>
      </c>
      <c r="M1170">
        <v>3</v>
      </c>
      <c r="N1170">
        <v>61.002000000000002</v>
      </c>
      <c r="O1170">
        <v>7.75</v>
      </c>
      <c r="P1170" s="13">
        <v>1.6225000000000001</v>
      </c>
      <c r="Q1170" t="s">
        <v>52</v>
      </c>
      <c r="R1170">
        <v>60</v>
      </c>
      <c r="S1170">
        <v>24</v>
      </c>
      <c r="T1170">
        <v>400</v>
      </c>
      <c r="U1170">
        <v>4</v>
      </c>
      <c r="V1170" s="7">
        <v>0.75191335925997893</v>
      </c>
      <c r="W1170">
        <v>93</v>
      </c>
      <c r="X1170">
        <v>2.8999999999999998E-3</v>
      </c>
      <c r="Y1170">
        <v>0.62</v>
      </c>
      <c r="Z1170">
        <v>7.5</v>
      </c>
      <c r="AA1170">
        <v>4.2</v>
      </c>
      <c r="AB1170">
        <v>25</v>
      </c>
      <c r="AC1170" s="17">
        <v>1</v>
      </c>
      <c r="AD1170">
        <v>0.2</v>
      </c>
      <c r="AE1170">
        <v>24</v>
      </c>
      <c r="AF1170" s="11">
        <v>0.20149999999999993</v>
      </c>
    </row>
    <row r="1171" spans="1:32" x14ac:dyDescent="0.3">
      <c r="A1171" t="s">
        <v>148</v>
      </c>
      <c r="B1171" t="s">
        <v>16</v>
      </c>
      <c r="C1171">
        <v>4.51</v>
      </c>
      <c r="D1171">
        <v>318.13</v>
      </c>
      <c r="E1171">
        <v>1.81</v>
      </c>
      <c r="F1171">
        <v>1.85</v>
      </c>
      <c r="G1171">
        <v>0.55000000000000004</v>
      </c>
      <c r="H1171">
        <v>0.77</v>
      </c>
      <c r="I1171">
        <v>2.0249999999999999</v>
      </c>
      <c r="J1171">
        <v>49.3</v>
      </c>
      <c r="K1171" t="s">
        <v>45</v>
      </c>
      <c r="L1171" t="s">
        <v>149</v>
      </c>
      <c r="M1171">
        <v>3</v>
      </c>
      <c r="N1171">
        <v>61.002000000000002</v>
      </c>
      <c r="O1171">
        <v>7.75</v>
      </c>
      <c r="P1171" s="13">
        <v>1.6225000000000001</v>
      </c>
      <c r="Q1171" t="s">
        <v>52</v>
      </c>
      <c r="R1171">
        <v>60</v>
      </c>
      <c r="S1171">
        <v>24</v>
      </c>
      <c r="T1171">
        <v>400</v>
      </c>
      <c r="U1171">
        <v>4</v>
      </c>
      <c r="V1171" s="7">
        <v>0.75191335925997893</v>
      </c>
      <c r="W1171">
        <v>93</v>
      </c>
      <c r="X1171">
        <v>2.8999999999999998E-3</v>
      </c>
      <c r="Y1171">
        <v>0.62</v>
      </c>
      <c r="Z1171">
        <v>7.5</v>
      </c>
      <c r="AA1171">
        <v>4.2</v>
      </c>
      <c r="AB1171">
        <v>25</v>
      </c>
      <c r="AC1171" s="17">
        <v>1.5</v>
      </c>
      <c r="AD1171">
        <v>0.2</v>
      </c>
      <c r="AE1171">
        <v>24</v>
      </c>
      <c r="AF1171" s="11">
        <v>0.22533333333333339</v>
      </c>
    </row>
    <row r="1172" spans="1:32" x14ac:dyDescent="0.3">
      <c r="A1172" t="s">
        <v>148</v>
      </c>
      <c r="B1172" t="s">
        <v>16</v>
      </c>
      <c r="C1172">
        <v>4.51</v>
      </c>
      <c r="D1172">
        <v>318.13</v>
      </c>
      <c r="E1172">
        <v>1.81</v>
      </c>
      <c r="F1172">
        <v>1.85</v>
      </c>
      <c r="G1172">
        <v>0.55000000000000004</v>
      </c>
      <c r="H1172">
        <v>0.77</v>
      </c>
      <c r="I1172">
        <v>2.0249999999999999</v>
      </c>
      <c r="J1172">
        <v>49.3</v>
      </c>
      <c r="K1172" t="s">
        <v>45</v>
      </c>
      <c r="L1172" t="s">
        <v>149</v>
      </c>
      <c r="M1172">
        <v>3</v>
      </c>
      <c r="N1172">
        <v>61.002000000000002</v>
      </c>
      <c r="O1172">
        <v>7.75</v>
      </c>
      <c r="P1172" s="13">
        <v>1.6225000000000001</v>
      </c>
      <c r="Q1172" t="s">
        <v>52</v>
      </c>
      <c r="R1172">
        <v>60</v>
      </c>
      <c r="S1172">
        <v>24</v>
      </c>
      <c r="T1172">
        <v>400</v>
      </c>
      <c r="U1172">
        <v>4</v>
      </c>
      <c r="V1172" s="7">
        <v>0.75191335925997893</v>
      </c>
      <c r="W1172">
        <v>93</v>
      </c>
      <c r="X1172">
        <v>2.8999999999999998E-3</v>
      </c>
      <c r="Y1172">
        <v>0.62</v>
      </c>
      <c r="Z1172">
        <v>7.5</v>
      </c>
      <c r="AA1172">
        <v>4.2</v>
      </c>
      <c r="AB1172">
        <v>25</v>
      </c>
      <c r="AC1172" s="17">
        <v>2</v>
      </c>
      <c r="AD1172">
        <v>0.2</v>
      </c>
      <c r="AE1172">
        <v>24</v>
      </c>
      <c r="AF1172" s="11">
        <v>0.23324999999999996</v>
      </c>
    </row>
    <row r="1173" spans="1:32" x14ac:dyDescent="0.3">
      <c r="A1173" t="s">
        <v>148</v>
      </c>
      <c r="B1173" t="s">
        <v>16</v>
      </c>
      <c r="C1173">
        <v>4.51</v>
      </c>
      <c r="D1173">
        <v>318.13</v>
      </c>
      <c r="E1173">
        <v>1.81</v>
      </c>
      <c r="F1173">
        <v>1.85</v>
      </c>
      <c r="G1173">
        <v>0.55000000000000004</v>
      </c>
      <c r="H1173">
        <v>0.77</v>
      </c>
      <c r="I1173">
        <v>2.0249999999999999</v>
      </c>
      <c r="J1173">
        <v>49.3</v>
      </c>
      <c r="K1173" t="s">
        <v>45</v>
      </c>
      <c r="L1173" t="s">
        <v>149</v>
      </c>
      <c r="M1173">
        <v>3</v>
      </c>
      <c r="N1173">
        <v>61.002000000000002</v>
      </c>
      <c r="O1173">
        <v>7.75</v>
      </c>
      <c r="P1173" s="13">
        <v>1.6225000000000001</v>
      </c>
      <c r="Q1173" t="s">
        <v>52</v>
      </c>
      <c r="R1173">
        <v>60</v>
      </c>
      <c r="S1173">
        <v>24</v>
      </c>
      <c r="T1173">
        <v>400</v>
      </c>
      <c r="U1173">
        <v>4</v>
      </c>
      <c r="V1173" s="7">
        <v>0.75191335925997893</v>
      </c>
      <c r="W1173">
        <v>93</v>
      </c>
      <c r="X1173">
        <v>2.8999999999999998E-3</v>
      </c>
      <c r="Y1173">
        <v>0.62</v>
      </c>
      <c r="Z1173">
        <v>7.5</v>
      </c>
      <c r="AA1173">
        <v>4.2</v>
      </c>
      <c r="AB1173">
        <v>25</v>
      </c>
      <c r="AC1173" s="17">
        <v>3</v>
      </c>
      <c r="AD1173">
        <v>0.2</v>
      </c>
      <c r="AE1173">
        <v>24</v>
      </c>
      <c r="AF1173" s="11">
        <v>0.23591666666666664</v>
      </c>
    </row>
    <row r="1174" spans="1:32" x14ac:dyDescent="0.3">
      <c r="A1174" t="s">
        <v>148</v>
      </c>
      <c r="B1174" t="s">
        <v>16</v>
      </c>
      <c r="C1174">
        <v>4.51</v>
      </c>
      <c r="D1174">
        <v>318.13</v>
      </c>
      <c r="E1174">
        <v>1.81</v>
      </c>
      <c r="F1174">
        <v>1.85</v>
      </c>
      <c r="G1174">
        <v>0.55000000000000004</v>
      </c>
      <c r="H1174">
        <v>0.77</v>
      </c>
      <c r="I1174">
        <v>2.0249999999999999</v>
      </c>
      <c r="J1174">
        <v>49.3</v>
      </c>
      <c r="K1174" t="s">
        <v>45</v>
      </c>
      <c r="L1174" t="s">
        <v>149</v>
      </c>
      <c r="M1174">
        <v>3</v>
      </c>
      <c r="N1174">
        <v>61.002000000000002</v>
      </c>
      <c r="O1174">
        <v>7.75</v>
      </c>
      <c r="P1174" s="13">
        <v>1.6225000000000001</v>
      </c>
      <c r="Q1174" t="s">
        <v>52</v>
      </c>
      <c r="R1174">
        <v>60</v>
      </c>
      <c r="S1174">
        <v>24</v>
      </c>
      <c r="T1174">
        <v>400</v>
      </c>
      <c r="U1174">
        <v>4</v>
      </c>
      <c r="V1174" s="7">
        <v>0.75191335925997893</v>
      </c>
      <c r="W1174">
        <v>93</v>
      </c>
      <c r="X1174">
        <v>2.8999999999999998E-3</v>
      </c>
      <c r="Y1174">
        <v>0.62</v>
      </c>
      <c r="Z1174">
        <v>7.5</v>
      </c>
      <c r="AA1174">
        <v>4.2</v>
      </c>
      <c r="AB1174">
        <v>25</v>
      </c>
      <c r="AC1174" s="17">
        <v>4</v>
      </c>
      <c r="AD1174">
        <v>0.2</v>
      </c>
      <c r="AE1174">
        <v>24</v>
      </c>
      <c r="AF1174" s="11">
        <v>0.23591666666666664</v>
      </c>
    </row>
    <row r="1175" spans="1:32" x14ac:dyDescent="0.3">
      <c r="A1175" t="s">
        <v>148</v>
      </c>
      <c r="B1175" t="s">
        <v>16</v>
      </c>
      <c r="C1175">
        <v>4.51</v>
      </c>
      <c r="D1175">
        <v>318.13</v>
      </c>
      <c r="E1175">
        <v>1.81</v>
      </c>
      <c r="F1175">
        <v>1.85</v>
      </c>
      <c r="G1175">
        <v>0.55000000000000004</v>
      </c>
      <c r="H1175">
        <v>0.77</v>
      </c>
      <c r="I1175">
        <v>2.0249999999999999</v>
      </c>
      <c r="J1175">
        <v>49.3</v>
      </c>
      <c r="K1175" t="s">
        <v>45</v>
      </c>
      <c r="L1175" t="s">
        <v>149</v>
      </c>
      <c r="M1175">
        <v>3</v>
      </c>
      <c r="N1175">
        <v>61.002000000000002</v>
      </c>
      <c r="O1175">
        <v>7.75</v>
      </c>
      <c r="P1175" s="13">
        <v>1.6225000000000001</v>
      </c>
      <c r="Q1175" t="s">
        <v>52</v>
      </c>
      <c r="R1175">
        <v>60</v>
      </c>
      <c r="S1175">
        <v>24</v>
      </c>
      <c r="T1175">
        <v>400</v>
      </c>
      <c r="U1175">
        <v>4</v>
      </c>
      <c r="V1175" s="7">
        <v>0.75191335925997893</v>
      </c>
      <c r="W1175">
        <v>93</v>
      </c>
      <c r="X1175">
        <v>2.8999999999999998E-3</v>
      </c>
      <c r="Y1175">
        <v>0.62</v>
      </c>
      <c r="Z1175">
        <v>7.5</v>
      </c>
      <c r="AA1175">
        <v>4.2</v>
      </c>
      <c r="AB1175">
        <v>25</v>
      </c>
      <c r="AC1175" s="17">
        <v>7</v>
      </c>
      <c r="AD1175">
        <v>0.2</v>
      </c>
      <c r="AE1175">
        <v>24</v>
      </c>
      <c r="AF1175" s="11">
        <v>0.23858333333333329</v>
      </c>
    </row>
    <row r="1176" spans="1:32" x14ac:dyDescent="0.3">
      <c r="A1176" t="s">
        <v>148</v>
      </c>
      <c r="B1176" t="s">
        <v>16</v>
      </c>
      <c r="C1176">
        <v>4.51</v>
      </c>
      <c r="D1176">
        <v>318.13</v>
      </c>
      <c r="E1176">
        <v>1.81</v>
      </c>
      <c r="F1176">
        <v>1.85</v>
      </c>
      <c r="G1176">
        <v>0.55000000000000004</v>
      </c>
      <c r="H1176">
        <v>0.77</v>
      </c>
      <c r="I1176">
        <v>2.0249999999999999</v>
      </c>
      <c r="J1176">
        <v>49.3</v>
      </c>
      <c r="K1176" t="s">
        <v>45</v>
      </c>
      <c r="L1176" t="s">
        <v>149</v>
      </c>
      <c r="M1176">
        <v>3</v>
      </c>
      <c r="N1176">
        <v>61.002000000000002</v>
      </c>
      <c r="O1176">
        <v>7.75</v>
      </c>
      <c r="P1176" s="13">
        <v>1.6225000000000001</v>
      </c>
      <c r="Q1176" t="s">
        <v>52</v>
      </c>
      <c r="R1176">
        <v>60</v>
      </c>
      <c r="S1176">
        <v>24</v>
      </c>
      <c r="T1176">
        <v>400</v>
      </c>
      <c r="U1176">
        <v>4</v>
      </c>
      <c r="V1176" s="7">
        <v>0.75191335925997893</v>
      </c>
      <c r="W1176">
        <v>93</v>
      </c>
      <c r="X1176">
        <v>2.8999999999999998E-3</v>
      </c>
      <c r="Y1176">
        <v>0.62</v>
      </c>
      <c r="Z1176">
        <v>7.5</v>
      </c>
      <c r="AA1176">
        <v>4.2</v>
      </c>
      <c r="AB1176">
        <v>25</v>
      </c>
      <c r="AC1176" s="17">
        <v>8</v>
      </c>
      <c r="AD1176">
        <v>0.2</v>
      </c>
      <c r="AE1176">
        <v>24</v>
      </c>
      <c r="AF1176" s="11">
        <v>0.24124999999999996</v>
      </c>
    </row>
    <row r="1177" spans="1:32" x14ac:dyDescent="0.3">
      <c r="A1177" t="s">
        <v>148</v>
      </c>
      <c r="B1177" t="s">
        <v>16</v>
      </c>
      <c r="C1177">
        <v>4.51</v>
      </c>
      <c r="D1177">
        <v>318.13</v>
      </c>
      <c r="E1177">
        <v>1.81</v>
      </c>
      <c r="F1177">
        <v>1.85</v>
      </c>
      <c r="G1177">
        <v>0.55000000000000004</v>
      </c>
      <c r="H1177">
        <v>0.77</v>
      </c>
      <c r="I1177">
        <v>2.0249999999999999</v>
      </c>
      <c r="J1177">
        <v>49.3</v>
      </c>
      <c r="K1177" t="s">
        <v>45</v>
      </c>
      <c r="L1177" t="s">
        <v>149</v>
      </c>
      <c r="M1177">
        <v>3</v>
      </c>
      <c r="N1177">
        <v>61.002000000000002</v>
      </c>
      <c r="O1177">
        <v>7.75</v>
      </c>
      <c r="P1177" s="13">
        <v>1.6225000000000001</v>
      </c>
      <c r="Q1177" t="s">
        <v>52</v>
      </c>
      <c r="R1177">
        <v>60</v>
      </c>
      <c r="S1177">
        <v>24</v>
      </c>
      <c r="T1177">
        <v>400</v>
      </c>
      <c r="U1177">
        <v>4</v>
      </c>
      <c r="V1177" s="7">
        <v>0.75191335925997893</v>
      </c>
      <c r="W1177">
        <v>93</v>
      </c>
      <c r="X1177">
        <v>2.8999999999999998E-3</v>
      </c>
      <c r="Y1177">
        <v>0.62</v>
      </c>
      <c r="Z1177">
        <v>7.5</v>
      </c>
      <c r="AA1177">
        <v>4.2</v>
      </c>
      <c r="AB1177">
        <v>25</v>
      </c>
      <c r="AC1177" s="17">
        <v>23</v>
      </c>
      <c r="AD1177">
        <v>0.2</v>
      </c>
      <c r="AE1177">
        <v>24</v>
      </c>
      <c r="AF1177" s="11">
        <v>0.24124999999999996</v>
      </c>
    </row>
    <row r="1178" spans="1:32" x14ac:dyDescent="0.3">
      <c r="A1178" t="s">
        <v>150</v>
      </c>
      <c r="B1178" t="s">
        <v>40</v>
      </c>
      <c r="C1178">
        <v>-0.02</v>
      </c>
      <c r="D1178">
        <v>444.43</v>
      </c>
      <c r="E1178">
        <v>2.1</v>
      </c>
      <c r="F1178">
        <v>3.05</v>
      </c>
      <c r="G1178">
        <v>1.55</v>
      </c>
      <c r="H1178">
        <v>1.7</v>
      </c>
      <c r="I1178">
        <v>2.86</v>
      </c>
      <c r="J1178">
        <v>181.62</v>
      </c>
      <c r="K1178" t="s">
        <v>55</v>
      </c>
      <c r="L1178" t="s">
        <v>51</v>
      </c>
      <c r="M1178">
        <v>2</v>
      </c>
      <c r="N1178">
        <v>27.222000000000001</v>
      </c>
      <c r="O1178">
        <v>0</v>
      </c>
      <c r="P1178" s="13">
        <v>1.5189999999999999</v>
      </c>
      <c r="Q1178" t="s">
        <v>52</v>
      </c>
      <c r="R1178">
        <v>70</v>
      </c>
      <c r="S1178">
        <v>24</v>
      </c>
      <c r="T1178" t="s">
        <v>164</v>
      </c>
      <c r="U1178" t="s">
        <v>164</v>
      </c>
      <c r="V1178" s="7">
        <v>0.81852492392768839</v>
      </c>
      <c r="W1178">
        <v>4</v>
      </c>
      <c r="X1178">
        <v>6.4000000000000003E-3</v>
      </c>
      <c r="Y1178">
        <v>6.4</v>
      </c>
      <c r="AA1178">
        <v>2.5</v>
      </c>
      <c r="AB1178">
        <v>25</v>
      </c>
      <c r="AC1178" s="17">
        <v>1</v>
      </c>
      <c r="AD1178">
        <f>0.025/0.05</f>
        <v>0.5</v>
      </c>
      <c r="AE1178">
        <v>60</v>
      </c>
      <c r="AF1178" s="11">
        <v>0.78</v>
      </c>
    </row>
    <row r="1179" spans="1:32" x14ac:dyDescent="0.3">
      <c r="A1179" t="s">
        <v>150</v>
      </c>
      <c r="B1179" t="s">
        <v>40</v>
      </c>
      <c r="C1179">
        <v>-0.02</v>
      </c>
      <c r="D1179">
        <v>444.43</v>
      </c>
      <c r="E1179">
        <v>2.1</v>
      </c>
      <c r="F1179">
        <v>3.05</v>
      </c>
      <c r="G1179">
        <v>1.55</v>
      </c>
      <c r="H1179">
        <v>1.7</v>
      </c>
      <c r="I1179">
        <v>2.86</v>
      </c>
      <c r="J1179">
        <v>181.62</v>
      </c>
      <c r="K1179" t="s">
        <v>55</v>
      </c>
      <c r="L1179" t="s">
        <v>51</v>
      </c>
      <c r="M1179">
        <v>2</v>
      </c>
      <c r="N1179">
        <v>27.222000000000001</v>
      </c>
      <c r="O1179">
        <v>0</v>
      </c>
      <c r="P1179" s="13">
        <v>1.5189999999999999</v>
      </c>
      <c r="Q1179" t="s">
        <v>52</v>
      </c>
      <c r="R1179">
        <v>70</v>
      </c>
      <c r="S1179">
        <v>24</v>
      </c>
      <c r="T1179" t="s">
        <v>164</v>
      </c>
      <c r="U1179" t="s">
        <v>164</v>
      </c>
      <c r="V1179" s="7">
        <v>0.81852492392768839</v>
      </c>
      <c r="W1179">
        <v>4</v>
      </c>
      <c r="X1179">
        <v>6.4000000000000003E-3</v>
      </c>
      <c r="Y1179">
        <v>6.4</v>
      </c>
      <c r="AA1179">
        <v>4</v>
      </c>
      <c r="AB1179">
        <v>25</v>
      </c>
      <c r="AC1179" s="17">
        <v>1</v>
      </c>
      <c r="AD1179">
        <f t="shared" ref="AD1179:AD1182" si="37">0.025/0.05</f>
        <v>0.5</v>
      </c>
      <c r="AE1179">
        <v>60</v>
      </c>
      <c r="AF1179" s="11">
        <v>0.83</v>
      </c>
    </row>
    <row r="1180" spans="1:32" x14ac:dyDescent="0.3">
      <c r="A1180" t="s">
        <v>150</v>
      </c>
      <c r="B1180" t="s">
        <v>40</v>
      </c>
      <c r="C1180">
        <v>-0.02</v>
      </c>
      <c r="D1180">
        <v>444.43</v>
      </c>
      <c r="E1180">
        <v>2.1</v>
      </c>
      <c r="F1180">
        <v>3.05</v>
      </c>
      <c r="G1180">
        <v>1.55</v>
      </c>
      <c r="H1180">
        <v>1.7</v>
      </c>
      <c r="I1180">
        <v>2.86</v>
      </c>
      <c r="J1180">
        <v>181.62</v>
      </c>
      <c r="K1180" t="s">
        <v>55</v>
      </c>
      <c r="L1180" t="s">
        <v>51</v>
      </c>
      <c r="M1180">
        <v>2</v>
      </c>
      <c r="N1180">
        <v>27.222000000000001</v>
      </c>
      <c r="O1180">
        <v>0</v>
      </c>
      <c r="P1180" s="13">
        <v>1.5189999999999999</v>
      </c>
      <c r="Q1180" t="s">
        <v>52</v>
      </c>
      <c r="R1180">
        <v>70</v>
      </c>
      <c r="S1180">
        <v>24</v>
      </c>
      <c r="T1180" t="s">
        <v>164</v>
      </c>
      <c r="U1180" t="s">
        <v>164</v>
      </c>
      <c r="V1180" s="7">
        <v>0.81852492392768839</v>
      </c>
      <c r="W1180">
        <v>4</v>
      </c>
      <c r="X1180">
        <v>6.4000000000000003E-3</v>
      </c>
      <c r="Y1180">
        <v>6.4</v>
      </c>
      <c r="AA1180">
        <v>6.5</v>
      </c>
      <c r="AB1180">
        <v>25</v>
      </c>
      <c r="AC1180" s="17">
        <v>1</v>
      </c>
      <c r="AD1180">
        <f t="shared" si="37"/>
        <v>0.5</v>
      </c>
      <c r="AE1180">
        <v>60</v>
      </c>
      <c r="AF1180" s="11">
        <v>0.79</v>
      </c>
    </row>
    <row r="1181" spans="1:32" x14ac:dyDescent="0.3">
      <c r="A1181" t="s">
        <v>150</v>
      </c>
      <c r="B1181" t="s">
        <v>40</v>
      </c>
      <c r="C1181">
        <v>-0.02</v>
      </c>
      <c r="D1181">
        <v>444.43</v>
      </c>
      <c r="E1181">
        <v>2.1</v>
      </c>
      <c r="F1181">
        <v>3.05</v>
      </c>
      <c r="G1181">
        <v>1.55</v>
      </c>
      <c r="H1181">
        <v>1.7</v>
      </c>
      <c r="I1181">
        <v>2.86</v>
      </c>
      <c r="J1181">
        <v>181.62</v>
      </c>
      <c r="K1181" t="s">
        <v>55</v>
      </c>
      <c r="L1181" t="s">
        <v>51</v>
      </c>
      <c r="M1181">
        <v>2</v>
      </c>
      <c r="N1181">
        <v>27.222000000000001</v>
      </c>
      <c r="O1181">
        <v>0</v>
      </c>
      <c r="P1181" s="13">
        <v>1.5189999999999999</v>
      </c>
      <c r="Q1181" t="s">
        <v>52</v>
      </c>
      <c r="R1181">
        <v>70</v>
      </c>
      <c r="S1181">
        <v>24</v>
      </c>
      <c r="T1181" t="s">
        <v>164</v>
      </c>
      <c r="U1181" t="s">
        <v>164</v>
      </c>
      <c r="V1181" s="7">
        <v>0.81852492392768839</v>
      </c>
      <c r="W1181">
        <v>4</v>
      </c>
      <c r="X1181">
        <v>6.4000000000000003E-3</v>
      </c>
      <c r="Y1181">
        <v>6.4</v>
      </c>
      <c r="AA1181">
        <v>8</v>
      </c>
      <c r="AB1181">
        <v>25</v>
      </c>
      <c r="AC1181" s="17">
        <v>1</v>
      </c>
      <c r="AD1181">
        <f t="shared" si="37"/>
        <v>0.5</v>
      </c>
      <c r="AE1181">
        <v>60</v>
      </c>
      <c r="AF1181" s="11">
        <v>0.81</v>
      </c>
    </row>
    <row r="1182" spans="1:32" x14ac:dyDescent="0.3">
      <c r="A1182" t="s">
        <v>150</v>
      </c>
      <c r="B1182" t="s">
        <v>40</v>
      </c>
      <c r="C1182">
        <v>-0.02</v>
      </c>
      <c r="D1182">
        <v>444.43</v>
      </c>
      <c r="E1182">
        <v>2.1</v>
      </c>
      <c r="F1182">
        <v>3.05</v>
      </c>
      <c r="G1182">
        <v>1.55</v>
      </c>
      <c r="H1182">
        <v>1.7</v>
      </c>
      <c r="I1182">
        <v>2.86</v>
      </c>
      <c r="J1182">
        <v>181.62</v>
      </c>
      <c r="K1182" t="s">
        <v>55</v>
      </c>
      <c r="L1182" t="s">
        <v>51</v>
      </c>
      <c r="M1182">
        <v>2</v>
      </c>
      <c r="N1182">
        <v>27.222000000000001</v>
      </c>
      <c r="O1182">
        <v>0</v>
      </c>
      <c r="P1182" s="13">
        <v>1.5189999999999999</v>
      </c>
      <c r="Q1182" t="s">
        <v>52</v>
      </c>
      <c r="R1182">
        <v>70</v>
      </c>
      <c r="S1182">
        <v>24</v>
      </c>
      <c r="T1182" t="s">
        <v>164</v>
      </c>
      <c r="U1182" t="s">
        <v>164</v>
      </c>
      <c r="V1182" s="7">
        <v>0.81852492392768839</v>
      </c>
      <c r="W1182">
        <v>4</v>
      </c>
      <c r="X1182">
        <v>6.4000000000000003E-3</v>
      </c>
      <c r="Y1182">
        <v>6.4</v>
      </c>
      <c r="AA1182">
        <v>10</v>
      </c>
      <c r="AB1182">
        <v>25</v>
      </c>
      <c r="AC1182" s="17">
        <v>1</v>
      </c>
      <c r="AD1182">
        <f t="shared" si="37"/>
        <v>0.5</v>
      </c>
      <c r="AE1182">
        <v>60</v>
      </c>
      <c r="AF1182" s="11">
        <v>0.76</v>
      </c>
    </row>
    <row r="1183" spans="1:32" x14ac:dyDescent="0.3">
      <c r="A1183" t="s">
        <v>150</v>
      </c>
      <c r="B1183" t="s">
        <v>40</v>
      </c>
      <c r="C1183">
        <v>-0.02</v>
      </c>
      <c r="D1183">
        <v>444.43</v>
      </c>
      <c r="E1183">
        <v>2.1</v>
      </c>
      <c r="F1183">
        <v>3.05</v>
      </c>
      <c r="G1183">
        <v>1.55</v>
      </c>
      <c r="H1183">
        <v>1.7</v>
      </c>
      <c r="I1183">
        <v>2.86</v>
      </c>
      <c r="J1183">
        <v>181.62</v>
      </c>
      <c r="K1183" t="s">
        <v>55</v>
      </c>
      <c r="L1183" t="s">
        <v>51</v>
      </c>
      <c r="M1183">
        <v>2</v>
      </c>
      <c r="N1183">
        <v>27.222000000000001</v>
      </c>
      <c r="O1183">
        <v>0</v>
      </c>
      <c r="P1183" s="13">
        <v>1.5189999999999999</v>
      </c>
      <c r="Q1183" t="s">
        <v>52</v>
      </c>
      <c r="R1183">
        <v>70</v>
      </c>
      <c r="S1183">
        <v>24</v>
      </c>
      <c r="T1183" t="s">
        <v>164</v>
      </c>
      <c r="U1183" t="s">
        <v>164</v>
      </c>
      <c r="V1183" s="7">
        <v>0.81852492392768839</v>
      </c>
      <c r="W1183">
        <v>4</v>
      </c>
      <c r="X1183">
        <v>6.4000000000000003E-3</v>
      </c>
      <c r="Y1183">
        <v>6.4</v>
      </c>
      <c r="AA1183">
        <v>4</v>
      </c>
      <c r="AB1183">
        <v>25</v>
      </c>
      <c r="AC1183" s="17">
        <v>1</v>
      </c>
      <c r="AD1183">
        <f>0.009/0.05</f>
        <v>0.17999999999999997</v>
      </c>
      <c r="AE1183">
        <v>60</v>
      </c>
      <c r="AF1183" s="11">
        <v>0.78</v>
      </c>
    </row>
    <row r="1184" spans="1:32" x14ac:dyDescent="0.3">
      <c r="A1184" t="s">
        <v>150</v>
      </c>
      <c r="B1184" t="s">
        <v>40</v>
      </c>
      <c r="C1184">
        <v>-0.02</v>
      </c>
      <c r="D1184">
        <v>444.43</v>
      </c>
      <c r="E1184">
        <v>2.1</v>
      </c>
      <c r="F1184">
        <v>3.05</v>
      </c>
      <c r="G1184">
        <v>1.55</v>
      </c>
      <c r="H1184">
        <v>1.7</v>
      </c>
      <c r="I1184">
        <v>2.86</v>
      </c>
      <c r="J1184">
        <v>181.62</v>
      </c>
      <c r="K1184" t="s">
        <v>55</v>
      </c>
      <c r="L1184" t="s">
        <v>51</v>
      </c>
      <c r="M1184">
        <v>2</v>
      </c>
      <c r="N1184">
        <v>27.222000000000001</v>
      </c>
      <c r="O1184">
        <v>0</v>
      </c>
      <c r="P1184" s="13">
        <v>1.5189999999999999</v>
      </c>
      <c r="Q1184" t="s">
        <v>52</v>
      </c>
      <c r="R1184">
        <v>70</v>
      </c>
      <c r="S1184">
        <v>24</v>
      </c>
      <c r="T1184" t="s">
        <v>164</v>
      </c>
      <c r="U1184" t="s">
        <v>164</v>
      </c>
      <c r="V1184" s="7">
        <v>0.81852492392768839</v>
      </c>
      <c r="W1184">
        <v>4</v>
      </c>
      <c r="X1184">
        <v>6.4000000000000003E-3</v>
      </c>
      <c r="Y1184">
        <v>6.4</v>
      </c>
      <c r="AA1184">
        <v>4</v>
      </c>
      <c r="AB1184">
        <v>25</v>
      </c>
      <c r="AC1184" s="17">
        <v>1</v>
      </c>
      <c r="AD1184">
        <f>0.015/0.05</f>
        <v>0.3</v>
      </c>
      <c r="AE1184">
        <v>60</v>
      </c>
      <c r="AF1184" s="11">
        <v>0.83</v>
      </c>
    </row>
    <row r="1185" spans="1:32" x14ac:dyDescent="0.3">
      <c r="A1185" t="s">
        <v>150</v>
      </c>
      <c r="B1185" t="s">
        <v>40</v>
      </c>
      <c r="C1185">
        <v>-0.02</v>
      </c>
      <c r="D1185">
        <v>444.43</v>
      </c>
      <c r="E1185">
        <v>2.1</v>
      </c>
      <c r="F1185">
        <v>3.05</v>
      </c>
      <c r="G1185">
        <v>1.55</v>
      </c>
      <c r="H1185">
        <v>1.7</v>
      </c>
      <c r="I1185">
        <v>2.86</v>
      </c>
      <c r="J1185">
        <v>181.62</v>
      </c>
      <c r="K1185" t="s">
        <v>55</v>
      </c>
      <c r="L1185" t="s">
        <v>51</v>
      </c>
      <c r="M1185">
        <v>2</v>
      </c>
      <c r="N1185">
        <v>27.222000000000001</v>
      </c>
      <c r="O1185">
        <v>0</v>
      </c>
      <c r="P1185" s="13">
        <v>1.5189999999999999</v>
      </c>
      <c r="Q1185" t="s">
        <v>52</v>
      </c>
      <c r="R1185">
        <v>70</v>
      </c>
      <c r="S1185">
        <v>24</v>
      </c>
      <c r="T1185" t="s">
        <v>164</v>
      </c>
      <c r="U1185" t="s">
        <v>164</v>
      </c>
      <c r="V1185" s="7">
        <v>0.81852492392768839</v>
      </c>
      <c r="W1185">
        <v>4</v>
      </c>
      <c r="X1185">
        <v>6.4000000000000003E-3</v>
      </c>
      <c r="Y1185">
        <v>6.4</v>
      </c>
      <c r="AA1185">
        <v>4</v>
      </c>
      <c r="AB1185">
        <v>25</v>
      </c>
      <c r="AC1185" s="17">
        <v>1</v>
      </c>
      <c r="AD1185">
        <f>0.025/0.05</f>
        <v>0.5</v>
      </c>
      <c r="AE1185">
        <v>60</v>
      </c>
      <c r="AF1185" s="11">
        <v>0.87</v>
      </c>
    </row>
    <row r="1186" spans="1:32" x14ac:dyDescent="0.3">
      <c r="A1186" t="s">
        <v>150</v>
      </c>
      <c r="B1186" t="s">
        <v>40</v>
      </c>
      <c r="C1186">
        <v>-0.02</v>
      </c>
      <c r="D1186">
        <v>444.43</v>
      </c>
      <c r="E1186">
        <v>2.1</v>
      </c>
      <c r="F1186">
        <v>3.05</v>
      </c>
      <c r="G1186">
        <v>1.55</v>
      </c>
      <c r="H1186">
        <v>1.7</v>
      </c>
      <c r="I1186">
        <v>2.86</v>
      </c>
      <c r="J1186">
        <v>181.62</v>
      </c>
      <c r="K1186" t="s">
        <v>55</v>
      </c>
      <c r="L1186" t="s">
        <v>51</v>
      </c>
      <c r="M1186">
        <v>2</v>
      </c>
      <c r="N1186">
        <v>27.222000000000001</v>
      </c>
      <c r="O1186">
        <v>0</v>
      </c>
      <c r="P1186" s="13">
        <v>1.5189999999999999</v>
      </c>
      <c r="Q1186" t="s">
        <v>52</v>
      </c>
      <c r="R1186">
        <v>70</v>
      </c>
      <c r="S1186">
        <v>24</v>
      </c>
      <c r="T1186" t="s">
        <v>164</v>
      </c>
      <c r="U1186" t="s">
        <v>164</v>
      </c>
      <c r="V1186" s="7">
        <v>0.81852492392768839</v>
      </c>
      <c r="W1186">
        <v>4</v>
      </c>
      <c r="X1186">
        <v>6.4000000000000003E-3</v>
      </c>
      <c r="Y1186">
        <v>6.4</v>
      </c>
      <c r="AA1186">
        <v>4</v>
      </c>
      <c r="AB1186">
        <v>25</v>
      </c>
      <c r="AC1186" s="17">
        <v>1</v>
      </c>
      <c r="AD1186">
        <f>0.05/0.05</f>
        <v>1</v>
      </c>
      <c r="AE1186">
        <v>60</v>
      </c>
      <c r="AF1186" s="11">
        <v>0.7</v>
      </c>
    </row>
    <row r="1187" spans="1:32" x14ac:dyDescent="0.3">
      <c r="A1187" t="s">
        <v>150</v>
      </c>
      <c r="B1187" t="s">
        <v>40</v>
      </c>
      <c r="C1187">
        <v>-0.02</v>
      </c>
      <c r="D1187">
        <v>444.43</v>
      </c>
      <c r="E1187">
        <v>2.1</v>
      </c>
      <c r="F1187">
        <v>3.05</v>
      </c>
      <c r="G1187">
        <v>1.55</v>
      </c>
      <c r="H1187">
        <v>1.7</v>
      </c>
      <c r="I1187">
        <v>2.86</v>
      </c>
      <c r="J1187">
        <v>181.62</v>
      </c>
      <c r="K1187" t="s">
        <v>55</v>
      </c>
      <c r="L1187" t="s">
        <v>51</v>
      </c>
      <c r="M1187">
        <v>2</v>
      </c>
      <c r="N1187">
        <v>27.222000000000001</v>
      </c>
      <c r="O1187">
        <v>0</v>
      </c>
      <c r="P1187" s="13">
        <v>1.5189999999999999</v>
      </c>
      <c r="Q1187" t="s">
        <v>52</v>
      </c>
      <c r="R1187">
        <v>70</v>
      </c>
      <c r="S1187">
        <v>24</v>
      </c>
      <c r="T1187" t="s">
        <v>164</v>
      </c>
      <c r="U1187" t="s">
        <v>164</v>
      </c>
      <c r="V1187" s="7">
        <v>0.81852492392768839</v>
      </c>
      <c r="W1187">
        <v>4</v>
      </c>
      <c r="X1187">
        <v>6.4000000000000003E-3</v>
      </c>
      <c r="Y1187">
        <v>6.4</v>
      </c>
      <c r="AA1187">
        <v>4</v>
      </c>
      <c r="AB1187">
        <v>25</v>
      </c>
      <c r="AC1187" s="17">
        <v>1</v>
      </c>
      <c r="AD1187">
        <f>0.1/0.05</f>
        <v>2</v>
      </c>
      <c r="AE1187">
        <v>60</v>
      </c>
      <c r="AF1187" s="11">
        <v>0.71</v>
      </c>
    </row>
    <row r="1188" spans="1:32" x14ac:dyDescent="0.3">
      <c r="A1188" t="s">
        <v>150</v>
      </c>
      <c r="B1188" t="s">
        <v>40</v>
      </c>
      <c r="C1188">
        <v>-0.02</v>
      </c>
      <c r="D1188">
        <v>444.43</v>
      </c>
      <c r="E1188">
        <v>2.1</v>
      </c>
      <c r="F1188">
        <v>3.05</v>
      </c>
      <c r="G1188">
        <v>1.55</v>
      </c>
      <c r="H1188">
        <v>1.7</v>
      </c>
      <c r="I1188">
        <v>2.86</v>
      </c>
      <c r="J1188">
        <v>181.62</v>
      </c>
      <c r="K1188" t="s">
        <v>55</v>
      </c>
      <c r="L1188" t="s">
        <v>51</v>
      </c>
      <c r="M1188">
        <v>2</v>
      </c>
      <c r="N1188">
        <v>27.222000000000001</v>
      </c>
      <c r="O1188">
        <v>0</v>
      </c>
      <c r="P1188" s="13">
        <v>1.5189999999999999</v>
      </c>
      <c r="Q1188" t="s">
        <v>52</v>
      </c>
      <c r="R1188">
        <v>70</v>
      </c>
      <c r="S1188">
        <v>24</v>
      </c>
      <c r="T1188" t="s">
        <v>164</v>
      </c>
      <c r="U1188" t="s">
        <v>164</v>
      </c>
      <c r="V1188" s="7">
        <v>0.81852492392768839</v>
      </c>
      <c r="W1188">
        <v>4</v>
      </c>
      <c r="X1188">
        <v>6.4000000000000003E-3</v>
      </c>
      <c r="Y1188">
        <v>6.4</v>
      </c>
      <c r="AA1188">
        <v>4</v>
      </c>
      <c r="AB1188">
        <v>25</v>
      </c>
      <c r="AC1188" s="17">
        <v>1</v>
      </c>
      <c r="AD1188">
        <f>0.15/0.05</f>
        <v>2.9999999999999996</v>
      </c>
      <c r="AE1188">
        <v>60</v>
      </c>
      <c r="AF1188" s="11">
        <v>0.79</v>
      </c>
    </row>
    <row r="1189" spans="1:32" x14ac:dyDescent="0.3">
      <c r="A1189" t="s">
        <v>150</v>
      </c>
      <c r="B1189" t="s">
        <v>40</v>
      </c>
      <c r="C1189">
        <v>-0.02</v>
      </c>
      <c r="D1189">
        <v>444.43</v>
      </c>
      <c r="E1189">
        <v>2.1</v>
      </c>
      <c r="F1189">
        <v>3.05</v>
      </c>
      <c r="G1189">
        <v>1.55</v>
      </c>
      <c r="H1189">
        <v>1.7</v>
      </c>
      <c r="I1189">
        <v>2.86</v>
      </c>
      <c r="J1189">
        <v>181.62</v>
      </c>
      <c r="K1189" t="s">
        <v>55</v>
      </c>
      <c r="L1189" t="s">
        <v>51</v>
      </c>
      <c r="M1189">
        <v>2</v>
      </c>
      <c r="N1189">
        <v>27.222000000000001</v>
      </c>
      <c r="O1189">
        <v>0</v>
      </c>
      <c r="P1189" s="13">
        <v>1.5189999999999999</v>
      </c>
      <c r="Q1189" t="s">
        <v>52</v>
      </c>
      <c r="R1189">
        <v>70</v>
      </c>
      <c r="S1189">
        <v>24</v>
      </c>
      <c r="T1189" t="s">
        <v>164</v>
      </c>
      <c r="U1189" t="s">
        <v>164</v>
      </c>
      <c r="V1189" s="7">
        <v>0.81852492392768839</v>
      </c>
      <c r="W1189">
        <v>4</v>
      </c>
      <c r="X1189">
        <v>6.4000000000000003E-3</v>
      </c>
      <c r="Y1189">
        <v>6.4</v>
      </c>
      <c r="AA1189">
        <v>4</v>
      </c>
      <c r="AB1189">
        <v>25</v>
      </c>
      <c r="AC1189" s="17">
        <v>1</v>
      </c>
      <c r="AD1189">
        <f>0.2/0.05</f>
        <v>4</v>
      </c>
      <c r="AE1189">
        <v>60</v>
      </c>
      <c r="AF1189" s="11">
        <v>0.79</v>
      </c>
    </row>
    <row r="1190" spans="1:32" x14ac:dyDescent="0.3">
      <c r="A1190" t="s">
        <v>150</v>
      </c>
      <c r="B1190" t="s">
        <v>40</v>
      </c>
      <c r="C1190">
        <v>-0.02</v>
      </c>
      <c r="D1190">
        <v>444.43</v>
      </c>
      <c r="E1190">
        <v>2.1</v>
      </c>
      <c r="F1190">
        <v>3.05</v>
      </c>
      <c r="G1190">
        <v>1.55</v>
      </c>
      <c r="H1190">
        <v>1.7</v>
      </c>
      <c r="I1190">
        <v>2.86</v>
      </c>
      <c r="J1190">
        <v>181.62</v>
      </c>
      <c r="K1190" t="s">
        <v>55</v>
      </c>
      <c r="L1190" t="s">
        <v>51</v>
      </c>
      <c r="M1190">
        <v>2</v>
      </c>
      <c r="N1190">
        <v>27.222000000000001</v>
      </c>
      <c r="O1190">
        <v>0</v>
      </c>
      <c r="P1190" s="13">
        <v>1.5189999999999999</v>
      </c>
      <c r="Q1190" t="s">
        <v>52</v>
      </c>
      <c r="R1190">
        <v>70</v>
      </c>
      <c r="S1190">
        <v>24</v>
      </c>
      <c r="T1190" t="s">
        <v>164</v>
      </c>
      <c r="U1190" t="s">
        <v>164</v>
      </c>
      <c r="V1190" s="7">
        <v>0.81852492392768839</v>
      </c>
      <c r="W1190">
        <v>4</v>
      </c>
      <c r="X1190">
        <v>6.4000000000000003E-3</v>
      </c>
      <c r="Y1190">
        <v>6.4</v>
      </c>
      <c r="AA1190">
        <v>4</v>
      </c>
      <c r="AB1190">
        <v>25</v>
      </c>
      <c r="AC1190" s="17">
        <v>0.08</v>
      </c>
      <c r="AD1190">
        <f>0.025/0.05</f>
        <v>0.5</v>
      </c>
      <c r="AE1190">
        <v>60</v>
      </c>
      <c r="AF1190" s="11">
        <v>0.22500000000000001</v>
      </c>
    </row>
    <row r="1191" spans="1:32" x14ac:dyDescent="0.3">
      <c r="A1191" t="s">
        <v>150</v>
      </c>
      <c r="B1191" t="s">
        <v>40</v>
      </c>
      <c r="C1191">
        <v>-0.02</v>
      </c>
      <c r="D1191">
        <v>444.43</v>
      </c>
      <c r="E1191">
        <v>2.1</v>
      </c>
      <c r="F1191">
        <v>3.05</v>
      </c>
      <c r="G1191">
        <v>1.55</v>
      </c>
      <c r="H1191">
        <v>1.7</v>
      </c>
      <c r="I1191">
        <v>2.86</v>
      </c>
      <c r="J1191">
        <v>181.62</v>
      </c>
      <c r="K1191" t="s">
        <v>55</v>
      </c>
      <c r="L1191" t="s">
        <v>51</v>
      </c>
      <c r="M1191">
        <v>2</v>
      </c>
      <c r="N1191">
        <v>27.222000000000001</v>
      </c>
      <c r="O1191">
        <v>0</v>
      </c>
      <c r="P1191" s="13">
        <v>1.5189999999999999</v>
      </c>
      <c r="Q1191" t="s">
        <v>52</v>
      </c>
      <c r="R1191">
        <v>70</v>
      </c>
      <c r="S1191">
        <v>24</v>
      </c>
      <c r="T1191" t="s">
        <v>164</v>
      </c>
      <c r="U1191" t="s">
        <v>164</v>
      </c>
      <c r="V1191" s="7">
        <v>0.81852492392768839</v>
      </c>
      <c r="W1191">
        <v>4</v>
      </c>
      <c r="X1191">
        <v>6.4000000000000003E-3</v>
      </c>
      <c r="Y1191">
        <v>6.4</v>
      </c>
      <c r="AA1191">
        <v>4</v>
      </c>
      <c r="AB1191">
        <v>25</v>
      </c>
      <c r="AC1191" s="17">
        <v>0.17</v>
      </c>
      <c r="AD1191">
        <f t="shared" ref="AD1191:AD1211" si="38">0.025/0.05</f>
        <v>0.5</v>
      </c>
      <c r="AE1191">
        <v>60</v>
      </c>
      <c r="AF1191" s="11">
        <v>0.29166666666666669</v>
      </c>
    </row>
    <row r="1192" spans="1:32" x14ac:dyDescent="0.3">
      <c r="A1192" t="s">
        <v>150</v>
      </c>
      <c r="B1192" t="s">
        <v>40</v>
      </c>
      <c r="C1192">
        <v>-0.02</v>
      </c>
      <c r="D1192">
        <v>444.43</v>
      </c>
      <c r="E1192">
        <v>2.1</v>
      </c>
      <c r="F1192">
        <v>3.05</v>
      </c>
      <c r="G1192">
        <v>1.55</v>
      </c>
      <c r="H1192">
        <v>1.7</v>
      </c>
      <c r="I1192">
        <v>2.86</v>
      </c>
      <c r="J1192">
        <v>181.62</v>
      </c>
      <c r="K1192" t="s">
        <v>55</v>
      </c>
      <c r="L1192" t="s">
        <v>51</v>
      </c>
      <c r="M1192">
        <v>2</v>
      </c>
      <c r="N1192">
        <v>27.222000000000001</v>
      </c>
      <c r="O1192">
        <v>0</v>
      </c>
      <c r="P1192" s="13">
        <v>1.5189999999999999</v>
      </c>
      <c r="Q1192" t="s">
        <v>52</v>
      </c>
      <c r="R1192">
        <v>70</v>
      </c>
      <c r="S1192">
        <v>24</v>
      </c>
      <c r="T1192" t="s">
        <v>164</v>
      </c>
      <c r="U1192" t="s">
        <v>164</v>
      </c>
      <c r="V1192" s="7">
        <v>0.81852492392768839</v>
      </c>
      <c r="W1192">
        <v>4</v>
      </c>
      <c r="X1192">
        <v>6.4000000000000003E-3</v>
      </c>
      <c r="Y1192">
        <v>6.4</v>
      </c>
      <c r="AA1192">
        <v>4</v>
      </c>
      <c r="AB1192">
        <v>25</v>
      </c>
      <c r="AC1192" s="17">
        <v>0.25</v>
      </c>
      <c r="AD1192">
        <f t="shared" si="38"/>
        <v>0.5</v>
      </c>
      <c r="AE1192">
        <v>60</v>
      </c>
      <c r="AF1192" s="11">
        <v>0.35833333333333334</v>
      </c>
    </row>
    <row r="1193" spans="1:32" x14ac:dyDescent="0.3">
      <c r="A1193" t="s">
        <v>150</v>
      </c>
      <c r="B1193" t="s">
        <v>40</v>
      </c>
      <c r="C1193">
        <v>-0.02</v>
      </c>
      <c r="D1193">
        <v>444.43</v>
      </c>
      <c r="E1193">
        <v>2.1</v>
      </c>
      <c r="F1193">
        <v>3.05</v>
      </c>
      <c r="G1193">
        <v>1.55</v>
      </c>
      <c r="H1193">
        <v>1.7</v>
      </c>
      <c r="I1193">
        <v>2.86</v>
      </c>
      <c r="J1193">
        <v>181.62</v>
      </c>
      <c r="K1193" t="s">
        <v>55</v>
      </c>
      <c r="L1193" t="s">
        <v>51</v>
      </c>
      <c r="M1193">
        <v>2</v>
      </c>
      <c r="N1193">
        <v>27.222000000000001</v>
      </c>
      <c r="O1193">
        <v>0</v>
      </c>
      <c r="P1193" s="13">
        <v>1.5189999999999999</v>
      </c>
      <c r="Q1193" t="s">
        <v>52</v>
      </c>
      <c r="R1193">
        <v>70</v>
      </c>
      <c r="S1193">
        <v>24</v>
      </c>
      <c r="T1193" t="s">
        <v>164</v>
      </c>
      <c r="U1193" t="s">
        <v>164</v>
      </c>
      <c r="V1193" s="7">
        <v>0.81852492392768839</v>
      </c>
      <c r="W1193">
        <v>4</v>
      </c>
      <c r="X1193">
        <v>6.4000000000000003E-3</v>
      </c>
      <c r="Y1193">
        <v>6.4</v>
      </c>
      <c r="AA1193">
        <v>4</v>
      </c>
      <c r="AB1193">
        <v>25</v>
      </c>
      <c r="AC1193" s="17">
        <v>0.33</v>
      </c>
      <c r="AD1193">
        <f t="shared" si="38"/>
        <v>0.5</v>
      </c>
      <c r="AE1193">
        <v>60</v>
      </c>
      <c r="AF1193" s="11">
        <v>0.41666666666666669</v>
      </c>
    </row>
    <row r="1194" spans="1:32" x14ac:dyDescent="0.3">
      <c r="A1194" t="s">
        <v>150</v>
      </c>
      <c r="B1194" t="s">
        <v>40</v>
      </c>
      <c r="C1194">
        <v>-0.02</v>
      </c>
      <c r="D1194">
        <v>444.43</v>
      </c>
      <c r="E1194">
        <v>2.1</v>
      </c>
      <c r="F1194">
        <v>3.05</v>
      </c>
      <c r="G1194">
        <v>1.55</v>
      </c>
      <c r="H1194">
        <v>1.7</v>
      </c>
      <c r="I1194">
        <v>2.86</v>
      </c>
      <c r="J1194">
        <v>181.62</v>
      </c>
      <c r="K1194" t="s">
        <v>55</v>
      </c>
      <c r="L1194" t="s">
        <v>51</v>
      </c>
      <c r="M1194">
        <v>2</v>
      </c>
      <c r="N1194">
        <v>27.222000000000001</v>
      </c>
      <c r="O1194">
        <v>0</v>
      </c>
      <c r="P1194" s="13">
        <v>1.5189999999999999</v>
      </c>
      <c r="Q1194" t="s">
        <v>52</v>
      </c>
      <c r="R1194">
        <v>70</v>
      </c>
      <c r="S1194">
        <v>24</v>
      </c>
      <c r="T1194" t="s">
        <v>164</v>
      </c>
      <c r="U1194" t="s">
        <v>164</v>
      </c>
      <c r="V1194" s="7">
        <v>0.81852492392768839</v>
      </c>
      <c r="W1194">
        <v>4</v>
      </c>
      <c r="X1194">
        <v>6.4000000000000003E-3</v>
      </c>
      <c r="Y1194">
        <v>6.4</v>
      </c>
      <c r="AA1194">
        <v>4</v>
      </c>
      <c r="AB1194">
        <v>25</v>
      </c>
      <c r="AC1194" s="17">
        <v>0.5</v>
      </c>
      <c r="AD1194">
        <f t="shared" si="38"/>
        <v>0.5</v>
      </c>
      <c r="AE1194">
        <v>60</v>
      </c>
      <c r="AF1194" s="11">
        <v>0.51666666666666672</v>
      </c>
    </row>
    <row r="1195" spans="1:32" x14ac:dyDescent="0.3">
      <c r="A1195" t="s">
        <v>150</v>
      </c>
      <c r="B1195" t="s">
        <v>40</v>
      </c>
      <c r="C1195">
        <v>-0.02</v>
      </c>
      <c r="D1195">
        <v>444.43</v>
      </c>
      <c r="E1195">
        <v>2.1</v>
      </c>
      <c r="F1195">
        <v>3.05</v>
      </c>
      <c r="G1195">
        <v>1.55</v>
      </c>
      <c r="H1195">
        <v>1.7</v>
      </c>
      <c r="I1195">
        <v>2.86</v>
      </c>
      <c r="J1195">
        <v>181.62</v>
      </c>
      <c r="K1195" t="s">
        <v>55</v>
      </c>
      <c r="L1195" t="s">
        <v>51</v>
      </c>
      <c r="M1195">
        <v>2</v>
      </c>
      <c r="N1195">
        <v>27.222000000000001</v>
      </c>
      <c r="O1195">
        <v>0</v>
      </c>
      <c r="P1195" s="13">
        <v>1.5189999999999999</v>
      </c>
      <c r="Q1195" t="s">
        <v>52</v>
      </c>
      <c r="R1195">
        <v>70</v>
      </c>
      <c r="S1195">
        <v>24</v>
      </c>
      <c r="T1195" t="s">
        <v>164</v>
      </c>
      <c r="U1195" t="s">
        <v>164</v>
      </c>
      <c r="V1195" s="7">
        <v>0.81852492392768839</v>
      </c>
      <c r="W1195">
        <v>4</v>
      </c>
      <c r="X1195">
        <v>6.4000000000000003E-3</v>
      </c>
      <c r="Y1195">
        <v>6.4</v>
      </c>
      <c r="AA1195">
        <v>4</v>
      </c>
      <c r="AB1195">
        <v>25</v>
      </c>
      <c r="AC1195" s="17">
        <v>0.57999999999999996</v>
      </c>
      <c r="AD1195">
        <f t="shared" si="38"/>
        <v>0.5</v>
      </c>
      <c r="AE1195">
        <v>60</v>
      </c>
      <c r="AF1195" s="11">
        <v>0.57499999999999996</v>
      </c>
    </row>
    <row r="1196" spans="1:32" x14ac:dyDescent="0.3">
      <c r="A1196" t="s">
        <v>150</v>
      </c>
      <c r="B1196" t="s">
        <v>40</v>
      </c>
      <c r="C1196">
        <v>-0.02</v>
      </c>
      <c r="D1196">
        <v>444.43</v>
      </c>
      <c r="E1196">
        <v>2.1</v>
      </c>
      <c r="F1196">
        <v>3.05</v>
      </c>
      <c r="G1196">
        <v>1.55</v>
      </c>
      <c r="H1196">
        <v>1.7</v>
      </c>
      <c r="I1196">
        <v>2.86</v>
      </c>
      <c r="J1196">
        <v>181.62</v>
      </c>
      <c r="K1196" t="s">
        <v>55</v>
      </c>
      <c r="L1196" t="s">
        <v>51</v>
      </c>
      <c r="M1196">
        <v>2</v>
      </c>
      <c r="N1196">
        <v>27.222000000000001</v>
      </c>
      <c r="O1196">
        <v>0</v>
      </c>
      <c r="P1196" s="13">
        <v>1.5189999999999999</v>
      </c>
      <c r="Q1196" t="s">
        <v>52</v>
      </c>
      <c r="R1196">
        <v>70</v>
      </c>
      <c r="S1196">
        <v>24</v>
      </c>
      <c r="T1196" t="s">
        <v>164</v>
      </c>
      <c r="U1196" t="s">
        <v>164</v>
      </c>
      <c r="V1196" s="7">
        <v>0.81852492392768839</v>
      </c>
      <c r="W1196">
        <v>4</v>
      </c>
      <c r="X1196">
        <v>6.4000000000000003E-3</v>
      </c>
      <c r="Y1196">
        <v>6.4</v>
      </c>
      <c r="AA1196">
        <v>4</v>
      </c>
      <c r="AB1196">
        <v>25</v>
      </c>
      <c r="AC1196" s="17">
        <v>0.75</v>
      </c>
      <c r="AD1196">
        <f t="shared" si="38"/>
        <v>0.5</v>
      </c>
      <c r="AE1196">
        <v>60</v>
      </c>
      <c r="AF1196" s="11">
        <v>0.68333333333333335</v>
      </c>
    </row>
    <row r="1197" spans="1:32" x14ac:dyDescent="0.3">
      <c r="A1197" t="s">
        <v>150</v>
      </c>
      <c r="B1197" t="s">
        <v>40</v>
      </c>
      <c r="C1197">
        <v>-0.02</v>
      </c>
      <c r="D1197">
        <v>444.43</v>
      </c>
      <c r="E1197">
        <v>2.1</v>
      </c>
      <c r="F1197">
        <v>3.05</v>
      </c>
      <c r="G1197">
        <v>1.55</v>
      </c>
      <c r="H1197">
        <v>1.7</v>
      </c>
      <c r="I1197">
        <v>2.86</v>
      </c>
      <c r="J1197">
        <v>181.62</v>
      </c>
      <c r="K1197" t="s">
        <v>55</v>
      </c>
      <c r="L1197" t="s">
        <v>51</v>
      </c>
      <c r="M1197">
        <v>2</v>
      </c>
      <c r="N1197">
        <v>27.222000000000001</v>
      </c>
      <c r="O1197">
        <v>0</v>
      </c>
      <c r="P1197" s="13">
        <v>1.5189999999999999</v>
      </c>
      <c r="Q1197" t="s">
        <v>52</v>
      </c>
      <c r="R1197">
        <v>70</v>
      </c>
      <c r="S1197">
        <v>24</v>
      </c>
      <c r="T1197" t="s">
        <v>164</v>
      </c>
      <c r="U1197" t="s">
        <v>164</v>
      </c>
      <c r="V1197" s="7">
        <v>0.81852492392768839</v>
      </c>
      <c r="W1197">
        <v>4</v>
      </c>
      <c r="X1197">
        <v>6.4000000000000003E-3</v>
      </c>
      <c r="Y1197">
        <v>6.4</v>
      </c>
      <c r="AA1197">
        <v>4</v>
      </c>
      <c r="AB1197">
        <v>25</v>
      </c>
      <c r="AC1197" s="17">
        <v>1</v>
      </c>
      <c r="AD1197">
        <f t="shared" si="38"/>
        <v>0.5</v>
      </c>
      <c r="AE1197">
        <v>60</v>
      </c>
      <c r="AF1197" s="11">
        <v>0.81666666666666665</v>
      </c>
    </row>
    <row r="1198" spans="1:32" x14ac:dyDescent="0.3">
      <c r="A1198" t="s">
        <v>150</v>
      </c>
      <c r="B1198" t="s">
        <v>40</v>
      </c>
      <c r="C1198">
        <v>-0.02</v>
      </c>
      <c r="D1198">
        <v>444.43</v>
      </c>
      <c r="E1198">
        <v>2.1</v>
      </c>
      <c r="F1198">
        <v>3.05</v>
      </c>
      <c r="G1198">
        <v>1.55</v>
      </c>
      <c r="H1198">
        <v>1.7</v>
      </c>
      <c r="I1198">
        <v>2.86</v>
      </c>
      <c r="J1198">
        <v>181.62</v>
      </c>
      <c r="K1198" t="s">
        <v>55</v>
      </c>
      <c r="L1198" t="s">
        <v>51</v>
      </c>
      <c r="M1198">
        <v>2</v>
      </c>
      <c r="N1198">
        <v>27.222000000000001</v>
      </c>
      <c r="O1198">
        <v>0</v>
      </c>
      <c r="P1198" s="13">
        <v>1.5189999999999999</v>
      </c>
      <c r="Q1198" t="s">
        <v>52</v>
      </c>
      <c r="R1198">
        <v>70</v>
      </c>
      <c r="S1198">
        <v>24</v>
      </c>
      <c r="T1198" t="s">
        <v>164</v>
      </c>
      <c r="U1198" t="s">
        <v>164</v>
      </c>
      <c r="V1198" s="7">
        <v>0.81852492392768839</v>
      </c>
      <c r="W1198">
        <v>4</v>
      </c>
      <c r="X1198">
        <v>6.4000000000000003E-3</v>
      </c>
      <c r="Y1198">
        <v>6.4</v>
      </c>
      <c r="AA1198">
        <v>4</v>
      </c>
      <c r="AB1198">
        <v>25</v>
      </c>
      <c r="AC1198" s="17">
        <v>1.5</v>
      </c>
      <c r="AD1198">
        <f t="shared" si="38"/>
        <v>0.5</v>
      </c>
      <c r="AE1198">
        <v>60</v>
      </c>
      <c r="AF1198" s="11">
        <v>0.82499999999999996</v>
      </c>
    </row>
    <row r="1199" spans="1:32" x14ac:dyDescent="0.3">
      <c r="A1199" t="s">
        <v>150</v>
      </c>
      <c r="B1199" t="s">
        <v>40</v>
      </c>
      <c r="C1199">
        <v>-0.02</v>
      </c>
      <c r="D1199">
        <v>444.43</v>
      </c>
      <c r="E1199">
        <v>2.1</v>
      </c>
      <c r="F1199">
        <v>3.05</v>
      </c>
      <c r="G1199">
        <v>1.55</v>
      </c>
      <c r="H1199">
        <v>1.7</v>
      </c>
      <c r="I1199">
        <v>2.86</v>
      </c>
      <c r="J1199">
        <v>181.62</v>
      </c>
      <c r="K1199" t="s">
        <v>55</v>
      </c>
      <c r="L1199" t="s">
        <v>51</v>
      </c>
      <c r="M1199">
        <v>2</v>
      </c>
      <c r="N1199">
        <v>27.222000000000001</v>
      </c>
      <c r="O1199">
        <v>0</v>
      </c>
      <c r="P1199" s="13">
        <v>1.5189999999999999</v>
      </c>
      <c r="Q1199" t="s">
        <v>52</v>
      </c>
      <c r="R1199">
        <v>70</v>
      </c>
      <c r="S1199">
        <v>24</v>
      </c>
      <c r="T1199" t="s">
        <v>164</v>
      </c>
      <c r="U1199" t="s">
        <v>164</v>
      </c>
      <c r="V1199" s="7">
        <v>0.81852492392768839</v>
      </c>
      <c r="W1199">
        <v>4</v>
      </c>
      <c r="X1199">
        <v>6.4000000000000003E-3</v>
      </c>
      <c r="Y1199">
        <v>6.4</v>
      </c>
      <c r="AA1199">
        <v>4</v>
      </c>
      <c r="AB1199">
        <v>25</v>
      </c>
      <c r="AC1199" s="17">
        <v>3.33</v>
      </c>
      <c r="AD1199">
        <f t="shared" si="38"/>
        <v>0.5</v>
      </c>
      <c r="AE1199">
        <v>60</v>
      </c>
      <c r="AF1199" s="11">
        <v>0.82499999999999996</v>
      </c>
    </row>
    <row r="1200" spans="1:32" x14ac:dyDescent="0.3">
      <c r="A1200" t="s">
        <v>150</v>
      </c>
      <c r="B1200" t="s">
        <v>40</v>
      </c>
      <c r="C1200">
        <v>-0.02</v>
      </c>
      <c r="D1200">
        <v>444.43</v>
      </c>
      <c r="E1200">
        <v>2.1</v>
      </c>
      <c r="F1200">
        <v>3.05</v>
      </c>
      <c r="G1200">
        <v>1.55</v>
      </c>
      <c r="H1200">
        <v>1.7</v>
      </c>
      <c r="I1200">
        <v>2.86</v>
      </c>
      <c r="J1200">
        <v>181.62</v>
      </c>
      <c r="K1200" t="s">
        <v>55</v>
      </c>
      <c r="L1200" t="s">
        <v>51</v>
      </c>
      <c r="M1200">
        <v>2</v>
      </c>
      <c r="N1200">
        <v>27.222000000000001</v>
      </c>
      <c r="O1200">
        <v>0</v>
      </c>
      <c r="P1200" s="13">
        <v>1.5189999999999999</v>
      </c>
      <c r="Q1200" t="s">
        <v>52</v>
      </c>
      <c r="R1200">
        <v>70</v>
      </c>
      <c r="S1200">
        <v>24</v>
      </c>
      <c r="T1200" t="s">
        <v>164</v>
      </c>
      <c r="U1200" t="s">
        <v>164</v>
      </c>
      <c r="V1200" s="7">
        <v>0.81852492392768839</v>
      </c>
      <c r="W1200">
        <v>4</v>
      </c>
      <c r="X1200">
        <v>6.4000000000000003E-3</v>
      </c>
      <c r="Y1200">
        <v>6.4</v>
      </c>
      <c r="AA1200">
        <v>4</v>
      </c>
      <c r="AB1200">
        <v>25</v>
      </c>
      <c r="AC1200" s="17">
        <v>1</v>
      </c>
      <c r="AD1200">
        <f t="shared" si="38"/>
        <v>0.5</v>
      </c>
      <c r="AE1200">
        <v>60</v>
      </c>
      <c r="AF1200" s="11">
        <v>0.82499999999999996</v>
      </c>
    </row>
    <row r="1201" spans="1:32" x14ac:dyDescent="0.3">
      <c r="A1201" t="s">
        <v>150</v>
      </c>
      <c r="B1201" t="s">
        <v>40</v>
      </c>
      <c r="C1201">
        <v>-0.02</v>
      </c>
      <c r="D1201">
        <v>444.43</v>
      </c>
      <c r="E1201">
        <v>2.1</v>
      </c>
      <c r="F1201">
        <v>3.05</v>
      </c>
      <c r="G1201">
        <v>1.55</v>
      </c>
      <c r="H1201">
        <v>1.7</v>
      </c>
      <c r="I1201">
        <v>2.86</v>
      </c>
      <c r="J1201">
        <v>181.62</v>
      </c>
      <c r="K1201" t="s">
        <v>55</v>
      </c>
      <c r="L1201" t="s">
        <v>51</v>
      </c>
      <c r="M1201">
        <v>2</v>
      </c>
      <c r="N1201">
        <v>27.222000000000001</v>
      </c>
      <c r="O1201">
        <v>0</v>
      </c>
      <c r="P1201" s="13">
        <v>1.5189999999999999</v>
      </c>
      <c r="Q1201" t="s">
        <v>52</v>
      </c>
      <c r="R1201">
        <v>70</v>
      </c>
      <c r="S1201">
        <v>24</v>
      </c>
      <c r="T1201" t="s">
        <v>164</v>
      </c>
      <c r="U1201" t="s">
        <v>164</v>
      </c>
      <c r="V1201" s="7">
        <v>0.81852492392768839</v>
      </c>
      <c r="W1201">
        <v>4</v>
      </c>
      <c r="X1201">
        <v>6.4000000000000003E-3</v>
      </c>
      <c r="Y1201">
        <v>6.4</v>
      </c>
      <c r="AA1201">
        <v>4</v>
      </c>
      <c r="AB1201">
        <v>25</v>
      </c>
      <c r="AC1201" s="17">
        <v>1</v>
      </c>
      <c r="AD1201">
        <f t="shared" si="38"/>
        <v>0.5</v>
      </c>
      <c r="AE1201">
        <v>10</v>
      </c>
      <c r="AF1201" s="11">
        <v>0.7</v>
      </c>
    </row>
    <row r="1202" spans="1:32" x14ac:dyDescent="0.3">
      <c r="A1202" t="s">
        <v>150</v>
      </c>
      <c r="B1202" t="s">
        <v>40</v>
      </c>
      <c r="C1202">
        <v>-0.02</v>
      </c>
      <c r="D1202">
        <v>444.43</v>
      </c>
      <c r="E1202">
        <v>2.1</v>
      </c>
      <c r="F1202">
        <v>3.05</v>
      </c>
      <c r="G1202">
        <v>1.55</v>
      </c>
      <c r="H1202">
        <v>1.7</v>
      </c>
      <c r="I1202">
        <v>2.86</v>
      </c>
      <c r="J1202">
        <v>181.62</v>
      </c>
      <c r="K1202" t="s">
        <v>55</v>
      </c>
      <c r="L1202" t="s">
        <v>51</v>
      </c>
      <c r="M1202">
        <v>2</v>
      </c>
      <c r="N1202">
        <v>27.222000000000001</v>
      </c>
      <c r="O1202">
        <v>0</v>
      </c>
      <c r="P1202" s="13">
        <v>1.5189999999999999</v>
      </c>
      <c r="Q1202" t="s">
        <v>52</v>
      </c>
      <c r="R1202">
        <v>70</v>
      </c>
      <c r="S1202">
        <v>24</v>
      </c>
      <c r="T1202" t="s">
        <v>164</v>
      </c>
      <c r="U1202" t="s">
        <v>164</v>
      </c>
      <c r="V1202" s="7">
        <v>0.81852492392768839</v>
      </c>
      <c r="W1202">
        <v>4</v>
      </c>
      <c r="X1202">
        <v>6.4000000000000003E-3</v>
      </c>
      <c r="Y1202">
        <v>6.4</v>
      </c>
      <c r="AA1202">
        <v>4</v>
      </c>
      <c r="AB1202">
        <v>25</v>
      </c>
      <c r="AC1202" s="17">
        <v>1</v>
      </c>
      <c r="AD1202">
        <f t="shared" si="38"/>
        <v>0.5</v>
      </c>
      <c r="AE1202">
        <v>15.3</v>
      </c>
      <c r="AF1202" s="11">
        <v>0.71895424836601307</v>
      </c>
    </row>
    <row r="1203" spans="1:32" x14ac:dyDescent="0.3">
      <c r="A1203" t="s">
        <v>150</v>
      </c>
      <c r="B1203" t="s">
        <v>40</v>
      </c>
      <c r="C1203">
        <v>-0.02</v>
      </c>
      <c r="D1203">
        <v>444.43</v>
      </c>
      <c r="E1203">
        <v>2.1</v>
      </c>
      <c r="F1203">
        <v>3.05</v>
      </c>
      <c r="G1203">
        <v>1.55</v>
      </c>
      <c r="H1203">
        <v>1.7</v>
      </c>
      <c r="I1203">
        <v>2.86</v>
      </c>
      <c r="J1203">
        <v>181.62</v>
      </c>
      <c r="K1203" t="s">
        <v>55</v>
      </c>
      <c r="L1203" t="s">
        <v>51</v>
      </c>
      <c r="M1203">
        <v>2</v>
      </c>
      <c r="N1203">
        <v>27.222000000000001</v>
      </c>
      <c r="O1203">
        <v>0</v>
      </c>
      <c r="P1203" s="13">
        <v>1.5189999999999999</v>
      </c>
      <c r="Q1203" t="s">
        <v>52</v>
      </c>
      <c r="R1203">
        <v>70</v>
      </c>
      <c r="S1203">
        <v>24</v>
      </c>
      <c r="T1203" t="s">
        <v>164</v>
      </c>
      <c r="U1203" t="s">
        <v>164</v>
      </c>
      <c r="V1203" s="7">
        <v>0.81852492392768839</v>
      </c>
      <c r="W1203">
        <v>4</v>
      </c>
      <c r="X1203">
        <v>6.4000000000000003E-3</v>
      </c>
      <c r="Y1203">
        <v>6.4</v>
      </c>
      <c r="AA1203">
        <v>4</v>
      </c>
      <c r="AB1203">
        <v>25</v>
      </c>
      <c r="AC1203" s="17">
        <v>1</v>
      </c>
      <c r="AD1203">
        <f t="shared" si="38"/>
        <v>0.5</v>
      </c>
      <c r="AE1203">
        <v>30</v>
      </c>
      <c r="AF1203" s="11">
        <v>0.76666666666666672</v>
      </c>
    </row>
    <row r="1204" spans="1:32" x14ac:dyDescent="0.3">
      <c r="A1204" t="s">
        <v>150</v>
      </c>
      <c r="B1204" t="s">
        <v>40</v>
      </c>
      <c r="C1204">
        <v>-0.02</v>
      </c>
      <c r="D1204">
        <v>444.43</v>
      </c>
      <c r="E1204">
        <v>2.1</v>
      </c>
      <c r="F1204">
        <v>3.05</v>
      </c>
      <c r="G1204">
        <v>1.55</v>
      </c>
      <c r="H1204">
        <v>1.7</v>
      </c>
      <c r="I1204">
        <v>2.86</v>
      </c>
      <c r="J1204">
        <v>181.62</v>
      </c>
      <c r="K1204" t="s">
        <v>55</v>
      </c>
      <c r="L1204" t="s">
        <v>51</v>
      </c>
      <c r="M1204">
        <v>2</v>
      </c>
      <c r="N1204">
        <v>27.222000000000001</v>
      </c>
      <c r="O1204">
        <v>0</v>
      </c>
      <c r="P1204" s="13">
        <v>1.5189999999999999</v>
      </c>
      <c r="Q1204" t="s">
        <v>52</v>
      </c>
      <c r="R1204">
        <v>70</v>
      </c>
      <c r="S1204">
        <v>24</v>
      </c>
      <c r="T1204" t="s">
        <v>164</v>
      </c>
      <c r="U1204" t="s">
        <v>164</v>
      </c>
      <c r="V1204" s="7">
        <v>0.81852492392768839</v>
      </c>
      <c r="W1204">
        <v>4</v>
      </c>
      <c r="X1204">
        <v>6.4000000000000003E-3</v>
      </c>
      <c r="Y1204">
        <v>6.4</v>
      </c>
      <c r="AA1204">
        <v>4</v>
      </c>
      <c r="AB1204">
        <v>25</v>
      </c>
      <c r="AC1204" s="17">
        <v>1</v>
      </c>
      <c r="AD1204">
        <f t="shared" si="38"/>
        <v>0.5</v>
      </c>
      <c r="AE1204">
        <v>40</v>
      </c>
      <c r="AF1204" s="11">
        <v>0.77500000000000002</v>
      </c>
    </row>
    <row r="1205" spans="1:32" x14ac:dyDescent="0.3">
      <c r="A1205" t="s">
        <v>150</v>
      </c>
      <c r="B1205" t="s">
        <v>40</v>
      </c>
      <c r="C1205">
        <v>-0.02</v>
      </c>
      <c r="D1205">
        <v>444.43</v>
      </c>
      <c r="E1205">
        <v>2.1</v>
      </c>
      <c r="F1205">
        <v>3.05</v>
      </c>
      <c r="G1205">
        <v>1.55</v>
      </c>
      <c r="H1205">
        <v>1.7</v>
      </c>
      <c r="I1205">
        <v>2.86</v>
      </c>
      <c r="J1205">
        <v>181.62</v>
      </c>
      <c r="K1205" t="s">
        <v>55</v>
      </c>
      <c r="L1205" t="s">
        <v>51</v>
      </c>
      <c r="M1205">
        <v>2</v>
      </c>
      <c r="N1205">
        <v>27.222000000000001</v>
      </c>
      <c r="O1205">
        <v>0</v>
      </c>
      <c r="P1205" s="13">
        <v>1.5189999999999999</v>
      </c>
      <c r="Q1205" t="s">
        <v>52</v>
      </c>
      <c r="R1205">
        <v>70</v>
      </c>
      <c r="S1205">
        <v>24</v>
      </c>
      <c r="T1205" t="s">
        <v>164</v>
      </c>
      <c r="U1205" t="s">
        <v>164</v>
      </c>
      <c r="V1205" s="7">
        <v>0.81852492392768839</v>
      </c>
      <c r="W1205">
        <v>4</v>
      </c>
      <c r="X1205">
        <v>6.4000000000000003E-3</v>
      </c>
      <c r="Y1205">
        <v>6.4</v>
      </c>
      <c r="AA1205">
        <v>4</v>
      </c>
      <c r="AB1205">
        <v>25</v>
      </c>
      <c r="AC1205" s="17">
        <v>1</v>
      </c>
      <c r="AD1205">
        <f t="shared" si="38"/>
        <v>0.5</v>
      </c>
      <c r="AE1205">
        <v>50</v>
      </c>
      <c r="AF1205" s="11">
        <v>0.8</v>
      </c>
    </row>
    <row r="1206" spans="1:32" x14ac:dyDescent="0.3">
      <c r="A1206" t="s">
        <v>150</v>
      </c>
      <c r="B1206" t="s">
        <v>40</v>
      </c>
      <c r="C1206">
        <v>-0.02</v>
      </c>
      <c r="D1206">
        <v>444.43</v>
      </c>
      <c r="E1206">
        <v>2.1</v>
      </c>
      <c r="F1206">
        <v>3.05</v>
      </c>
      <c r="G1206">
        <v>1.55</v>
      </c>
      <c r="H1206">
        <v>1.7</v>
      </c>
      <c r="I1206">
        <v>2.86</v>
      </c>
      <c r="J1206">
        <v>181.62</v>
      </c>
      <c r="K1206" t="s">
        <v>55</v>
      </c>
      <c r="L1206" t="s">
        <v>51</v>
      </c>
      <c r="M1206">
        <v>2</v>
      </c>
      <c r="N1206">
        <v>27.222000000000001</v>
      </c>
      <c r="O1206">
        <v>0</v>
      </c>
      <c r="P1206" s="13">
        <v>1.5189999999999999</v>
      </c>
      <c r="Q1206" t="s">
        <v>52</v>
      </c>
      <c r="R1206">
        <v>70</v>
      </c>
      <c r="S1206">
        <v>24</v>
      </c>
      <c r="T1206" t="s">
        <v>164</v>
      </c>
      <c r="U1206" t="s">
        <v>164</v>
      </c>
      <c r="V1206" s="7">
        <v>0.81852492392768839</v>
      </c>
      <c r="W1206">
        <v>4</v>
      </c>
      <c r="X1206">
        <v>6.4000000000000003E-3</v>
      </c>
      <c r="Y1206">
        <v>6.4</v>
      </c>
      <c r="AA1206">
        <v>4</v>
      </c>
      <c r="AB1206">
        <v>25</v>
      </c>
      <c r="AC1206" s="17">
        <v>1</v>
      </c>
      <c r="AD1206">
        <f t="shared" si="38"/>
        <v>0.5</v>
      </c>
      <c r="AE1206">
        <v>60</v>
      </c>
      <c r="AF1206" s="11">
        <v>0.82499999999999996</v>
      </c>
    </row>
    <row r="1207" spans="1:32" x14ac:dyDescent="0.3">
      <c r="A1207" t="s">
        <v>150</v>
      </c>
      <c r="B1207" t="s">
        <v>40</v>
      </c>
      <c r="C1207">
        <v>-0.02</v>
      </c>
      <c r="D1207">
        <v>444.43</v>
      </c>
      <c r="E1207">
        <v>2.1</v>
      </c>
      <c r="F1207">
        <v>3.05</v>
      </c>
      <c r="G1207">
        <v>1.55</v>
      </c>
      <c r="H1207">
        <v>1.7</v>
      </c>
      <c r="I1207">
        <v>2.86</v>
      </c>
      <c r="J1207">
        <v>181.62</v>
      </c>
      <c r="K1207" t="s">
        <v>55</v>
      </c>
      <c r="L1207" t="s">
        <v>46</v>
      </c>
      <c r="M1207">
        <v>2</v>
      </c>
      <c r="N1207" s="1">
        <v>34.817666699999997</v>
      </c>
      <c r="O1207">
        <v>1.6</v>
      </c>
      <c r="P1207" s="13">
        <v>1.4833000000000001</v>
      </c>
      <c r="Q1207" t="s">
        <v>52</v>
      </c>
      <c r="R1207">
        <v>70</v>
      </c>
      <c r="S1207">
        <v>24</v>
      </c>
      <c r="T1207" t="s">
        <v>164</v>
      </c>
      <c r="U1207" t="s">
        <v>164</v>
      </c>
      <c r="V1207" s="7">
        <v>0.7893801085038733</v>
      </c>
      <c r="W1207">
        <v>101.6</v>
      </c>
      <c r="X1207">
        <v>9.9000000000000005E-2</v>
      </c>
      <c r="Y1207">
        <v>3.9</v>
      </c>
      <c r="AA1207">
        <v>2</v>
      </c>
      <c r="AB1207">
        <v>25</v>
      </c>
      <c r="AC1207" s="17">
        <v>1</v>
      </c>
      <c r="AD1207">
        <f t="shared" si="38"/>
        <v>0.5</v>
      </c>
      <c r="AE1207">
        <v>60</v>
      </c>
      <c r="AF1207" s="11">
        <v>0</v>
      </c>
    </row>
    <row r="1208" spans="1:32" x14ac:dyDescent="0.3">
      <c r="A1208" t="s">
        <v>150</v>
      </c>
      <c r="B1208" t="s">
        <v>40</v>
      </c>
      <c r="C1208">
        <v>-0.02</v>
      </c>
      <c r="D1208">
        <v>444.43</v>
      </c>
      <c r="E1208">
        <v>2.1</v>
      </c>
      <c r="F1208">
        <v>3.05</v>
      </c>
      <c r="G1208">
        <v>1.55</v>
      </c>
      <c r="H1208">
        <v>1.7</v>
      </c>
      <c r="I1208">
        <v>2.86</v>
      </c>
      <c r="J1208">
        <v>181.62</v>
      </c>
      <c r="K1208" t="s">
        <v>55</v>
      </c>
      <c r="L1208" t="s">
        <v>46</v>
      </c>
      <c r="M1208">
        <v>2</v>
      </c>
      <c r="N1208" s="1">
        <v>34.817666699999997</v>
      </c>
      <c r="O1208">
        <v>1.6</v>
      </c>
      <c r="P1208" s="13">
        <v>1.4833000000000001</v>
      </c>
      <c r="Q1208" t="s">
        <v>52</v>
      </c>
      <c r="R1208">
        <v>70</v>
      </c>
      <c r="S1208">
        <v>24</v>
      </c>
      <c r="T1208" t="s">
        <v>164</v>
      </c>
      <c r="U1208" t="s">
        <v>164</v>
      </c>
      <c r="V1208" s="7">
        <v>0.7893801085038733</v>
      </c>
      <c r="W1208">
        <v>101.6</v>
      </c>
      <c r="X1208">
        <v>9.9000000000000005E-2</v>
      </c>
      <c r="Y1208">
        <v>3.9</v>
      </c>
      <c r="AA1208">
        <v>4</v>
      </c>
      <c r="AB1208">
        <v>25</v>
      </c>
      <c r="AC1208" s="17">
        <v>1</v>
      </c>
      <c r="AD1208">
        <f t="shared" si="38"/>
        <v>0.5</v>
      </c>
      <c r="AE1208">
        <v>60</v>
      </c>
      <c r="AF1208" s="11">
        <v>0.80400000000000005</v>
      </c>
    </row>
    <row r="1209" spans="1:32" x14ac:dyDescent="0.3">
      <c r="A1209" t="s">
        <v>150</v>
      </c>
      <c r="B1209" t="s">
        <v>40</v>
      </c>
      <c r="C1209">
        <v>-0.02</v>
      </c>
      <c r="D1209">
        <v>444.43</v>
      </c>
      <c r="E1209">
        <v>2.1</v>
      </c>
      <c r="F1209">
        <v>3.05</v>
      </c>
      <c r="G1209">
        <v>1.55</v>
      </c>
      <c r="H1209">
        <v>1.7</v>
      </c>
      <c r="I1209">
        <v>2.86</v>
      </c>
      <c r="J1209">
        <v>181.62</v>
      </c>
      <c r="K1209" t="s">
        <v>55</v>
      </c>
      <c r="L1209" t="s">
        <v>46</v>
      </c>
      <c r="M1209">
        <v>2</v>
      </c>
      <c r="N1209" s="1">
        <v>34.817666699999997</v>
      </c>
      <c r="O1209">
        <v>1.6</v>
      </c>
      <c r="P1209" s="13">
        <v>1.4833000000000001</v>
      </c>
      <c r="Q1209" t="s">
        <v>52</v>
      </c>
      <c r="R1209">
        <v>70</v>
      </c>
      <c r="S1209">
        <v>24</v>
      </c>
      <c r="T1209" t="s">
        <v>164</v>
      </c>
      <c r="U1209" t="s">
        <v>164</v>
      </c>
      <c r="V1209" s="7">
        <v>0.7893801085038733</v>
      </c>
      <c r="W1209">
        <v>101.6</v>
      </c>
      <c r="X1209">
        <v>9.9000000000000005E-2</v>
      </c>
      <c r="Y1209">
        <v>3.9</v>
      </c>
      <c r="AA1209">
        <v>6</v>
      </c>
      <c r="AB1209">
        <v>25</v>
      </c>
      <c r="AC1209" s="17">
        <v>1</v>
      </c>
      <c r="AD1209">
        <f t="shared" si="38"/>
        <v>0.5</v>
      </c>
      <c r="AE1209">
        <v>60</v>
      </c>
      <c r="AF1209" s="11">
        <v>0.80500000000000005</v>
      </c>
    </row>
    <row r="1210" spans="1:32" x14ac:dyDescent="0.3">
      <c r="A1210" t="s">
        <v>150</v>
      </c>
      <c r="B1210" t="s">
        <v>40</v>
      </c>
      <c r="C1210">
        <v>-0.02</v>
      </c>
      <c r="D1210">
        <v>444.43</v>
      </c>
      <c r="E1210">
        <v>2.1</v>
      </c>
      <c r="F1210">
        <v>3.05</v>
      </c>
      <c r="G1210">
        <v>1.55</v>
      </c>
      <c r="H1210">
        <v>1.7</v>
      </c>
      <c r="I1210">
        <v>2.86</v>
      </c>
      <c r="J1210">
        <v>181.62</v>
      </c>
      <c r="K1210" t="s">
        <v>55</v>
      </c>
      <c r="L1210" t="s">
        <v>46</v>
      </c>
      <c r="M1210">
        <v>2</v>
      </c>
      <c r="N1210" s="1">
        <v>34.817666699999997</v>
      </c>
      <c r="O1210">
        <v>1.6</v>
      </c>
      <c r="P1210" s="13">
        <v>1.4833000000000001</v>
      </c>
      <c r="Q1210" t="s">
        <v>52</v>
      </c>
      <c r="R1210">
        <v>70</v>
      </c>
      <c r="S1210">
        <v>24</v>
      </c>
      <c r="T1210" t="s">
        <v>164</v>
      </c>
      <c r="U1210" t="s">
        <v>164</v>
      </c>
      <c r="V1210" s="7">
        <v>0.7893801085038733</v>
      </c>
      <c r="W1210">
        <v>101.6</v>
      </c>
      <c r="X1210">
        <v>9.9000000000000005E-2</v>
      </c>
      <c r="Y1210">
        <v>3.9</v>
      </c>
      <c r="AA1210">
        <v>8</v>
      </c>
      <c r="AB1210">
        <v>25</v>
      </c>
      <c r="AC1210" s="17">
        <v>1</v>
      </c>
      <c r="AD1210">
        <f t="shared" si="38"/>
        <v>0.5</v>
      </c>
      <c r="AE1210">
        <v>60</v>
      </c>
      <c r="AF1210" s="11">
        <v>0.77500000000000002</v>
      </c>
    </row>
    <row r="1211" spans="1:32" x14ac:dyDescent="0.3">
      <c r="A1211" t="s">
        <v>150</v>
      </c>
      <c r="B1211" t="s">
        <v>40</v>
      </c>
      <c r="C1211">
        <v>-0.02</v>
      </c>
      <c r="D1211">
        <v>444.43</v>
      </c>
      <c r="E1211">
        <v>2.1</v>
      </c>
      <c r="F1211">
        <v>3.05</v>
      </c>
      <c r="G1211">
        <v>1.55</v>
      </c>
      <c r="H1211">
        <v>1.7</v>
      </c>
      <c r="I1211">
        <v>2.86</v>
      </c>
      <c r="J1211">
        <v>181.62</v>
      </c>
      <c r="K1211" t="s">
        <v>55</v>
      </c>
      <c r="L1211" t="s">
        <v>46</v>
      </c>
      <c r="M1211">
        <v>2</v>
      </c>
      <c r="N1211" s="1">
        <v>34.817666699999997</v>
      </c>
      <c r="O1211">
        <v>1.6</v>
      </c>
      <c r="P1211" s="13">
        <v>1.4833000000000001</v>
      </c>
      <c r="Q1211" t="s">
        <v>52</v>
      </c>
      <c r="R1211">
        <v>70</v>
      </c>
      <c r="S1211">
        <v>24</v>
      </c>
      <c r="T1211" t="s">
        <v>164</v>
      </c>
      <c r="U1211" t="s">
        <v>164</v>
      </c>
      <c r="V1211" s="7">
        <v>0.7893801085038733</v>
      </c>
      <c r="W1211">
        <v>101.6</v>
      </c>
      <c r="X1211">
        <v>9.9000000000000005E-2</v>
      </c>
      <c r="Y1211">
        <v>3.9</v>
      </c>
      <c r="AA1211">
        <v>10</v>
      </c>
      <c r="AB1211">
        <v>25</v>
      </c>
      <c r="AC1211" s="17">
        <v>1</v>
      </c>
      <c r="AD1211">
        <f t="shared" si="38"/>
        <v>0.5</v>
      </c>
      <c r="AE1211">
        <v>60</v>
      </c>
      <c r="AF1211" s="11">
        <v>0.78800000000000003</v>
      </c>
    </row>
    <row r="1212" spans="1:32" x14ac:dyDescent="0.3">
      <c r="A1212" t="s">
        <v>150</v>
      </c>
      <c r="B1212" t="s">
        <v>40</v>
      </c>
      <c r="C1212">
        <v>-0.02</v>
      </c>
      <c r="D1212">
        <v>444.43</v>
      </c>
      <c r="E1212">
        <v>2.1</v>
      </c>
      <c r="F1212">
        <v>3.05</v>
      </c>
      <c r="G1212">
        <v>1.55</v>
      </c>
      <c r="H1212">
        <v>1.7</v>
      </c>
      <c r="I1212">
        <v>2.86</v>
      </c>
      <c r="J1212">
        <v>181.62</v>
      </c>
      <c r="K1212" t="s">
        <v>55</v>
      </c>
      <c r="L1212" t="s">
        <v>46</v>
      </c>
      <c r="M1212">
        <v>2</v>
      </c>
      <c r="N1212" s="1">
        <v>34.817666699999997</v>
      </c>
      <c r="O1212">
        <v>1.6</v>
      </c>
      <c r="P1212" s="13">
        <v>1.4833000000000001</v>
      </c>
      <c r="Q1212" t="s">
        <v>52</v>
      </c>
      <c r="R1212">
        <v>70</v>
      </c>
      <c r="S1212">
        <v>24</v>
      </c>
      <c r="T1212" t="s">
        <v>164</v>
      </c>
      <c r="U1212" t="s">
        <v>164</v>
      </c>
      <c r="V1212" s="7">
        <v>0.7893801085038733</v>
      </c>
      <c r="W1212">
        <v>101.6</v>
      </c>
      <c r="X1212">
        <v>9.9000000000000005E-2</v>
      </c>
      <c r="Y1212">
        <v>3.9</v>
      </c>
      <c r="AA1212">
        <v>4</v>
      </c>
      <c r="AB1212">
        <v>25</v>
      </c>
      <c r="AC1212" s="17">
        <v>1</v>
      </c>
      <c r="AD1212">
        <f>0.025/0.05</f>
        <v>0.5</v>
      </c>
      <c r="AE1212">
        <v>60</v>
      </c>
      <c r="AF1212" s="11">
        <v>0.76800000000000002</v>
      </c>
    </row>
    <row r="1213" spans="1:32" x14ac:dyDescent="0.3">
      <c r="A1213" t="s">
        <v>150</v>
      </c>
      <c r="B1213" t="s">
        <v>40</v>
      </c>
      <c r="C1213">
        <v>-0.02</v>
      </c>
      <c r="D1213">
        <v>444.43</v>
      </c>
      <c r="E1213">
        <v>2.1</v>
      </c>
      <c r="F1213">
        <v>3.05</v>
      </c>
      <c r="G1213">
        <v>1.55</v>
      </c>
      <c r="H1213">
        <v>1.7</v>
      </c>
      <c r="I1213">
        <v>2.86</v>
      </c>
      <c r="J1213">
        <v>181.62</v>
      </c>
      <c r="K1213" t="s">
        <v>55</v>
      </c>
      <c r="L1213" t="s">
        <v>46</v>
      </c>
      <c r="M1213">
        <v>2</v>
      </c>
      <c r="N1213" s="1">
        <v>34.817666699999997</v>
      </c>
      <c r="O1213">
        <v>1.6</v>
      </c>
      <c r="P1213" s="13">
        <v>1.4833000000000001</v>
      </c>
      <c r="Q1213" t="s">
        <v>52</v>
      </c>
      <c r="R1213">
        <v>70</v>
      </c>
      <c r="S1213">
        <v>24</v>
      </c>
      <c r="T1213" t="s">
        <v>164</v>
      </c>
      <c r="U1213" t="s">
        <v>164</v>
      </c>
      <c r="V1213" s="7">
        <v>0.7893801085038733</v>
      </c>
      <c r="W1213">
        <v>101.6</v>
      </c>
      <c r="X1213">
        <v>9.9000000000000005E-2</v>
      </c>
      <c r="Y1213">
        <v>3.9</v>
      </c>
      <c r="AA1213">
        <v>4</v>
      </c>
      <c r="AB1213">
        <v>25</v>
      </c>
      <c r="AC1213" s="17">
        <v>1</v>
      </c>
      <c r="AD1213">
        <f>0.05/0.05</f>
        <v>1</v>
      </c>
      <c r="AE1213">
        <v>60</v>
      </c>
      <c r="AF1213" s="11">
        <v>0.76</v>
      </c>
    </row>
    <row r="1214" spans="1:32" x14ac:dyDescent="0.3">
      <c r="A1214" t="s">
        <v>150</v>
      </c>
      <c r="B1214" t="s">
        <v>40</v>
      </c>
      <c r="C1214">
        <v>-0.02</v>
      </c>
      <c r="D1214">
        <v>444.43</v>
      </c>
      <c r="E1214">
        <v>2.1</v>
      </c>
      <c r="F1214">
        <v>3.05</v>
      </c>
      <c r="G1214">
        <v>1.55</v>
      </c>
      <c r="H1214">
        <v>1.7</v>
      </c>
      <c r="I1214">
        <v>2.86</v>
      </c>
      <c r="J1214">
        <v>181.62</v>
      </c>
      <c r="K1214" t="s">
        <v>55</v>
      </c>
      <c r="L1214" t="s">
        <v>46</v>
      </c>
      <c r="M1214">
        <v>2</v>
      </c>
      <c r="N1214" s="1">
        <v>34.817666699999997</v>
      </c>
      <c r="O1214">
        <v>1.6</v>
      </c>
      <c r="P1214" s="13">
        <v>1.4833000000000001</v>
      </c>
      <c r="Q1214" t="s">
        <v>52</v>
      </c>
      <c r="R1214">
        <v>70</v>
      </c>
      <c r="S1214">
        <v>24</v>
      </c>
      <c r="T1214" t="s">
        <v>164</v>
      </c>
      <c r="U1214" t="s">
        <v>164</v>
      </c>
      <c r="V1214" s="7">
        <v>0.7893801085038733</v>
      </c>
      <c r="W1214">
        <v>101.6</v>
      </c>
      <c r="X1214">
        <v>9.9000000000000005E-2</v>
      </c>
      <c r="Y1214">
        <v>3.9</v>
      </c>
      <c r="AA1214">
        <v>4</v>
      </c>
      <c r="AB1214">
        <v>25</v>
      </c>
      <c r="AC1214" s="17">
        <v>1</v>
      </c>
      <c r="AD1214">
        <f>0.1/0.05</f>
        <v>2</v>
      </c>
      <c r="AE1214">
        <v>60</v>
      </c>
      <c r="AF1214" s="11">
        <v>0.80600000000000005</v>
      </c>
    </row>
    <row r="1215" spans="1:32" x14ac:dyDescent="0.3">
      <c r="A1215" t="s">
        <v>150</v>
      </c>
      <c r="B1215" t="s">
        <v>40</v>
      </c>
      <c r="C1215">
        <v>-0.02</v>
      </c>
      <c r="D1215">
        <v>444.43</v>
      </c>
      <c r="E1215">
        <v>2.1</v>
      </c>
      <c r="F1215">
        <v>3.05</v>
      </c>
      <c r="G1215">
        <v>1.55</v>
      </c>
      <c r="H1215">
        <v>1.7</v>
      </c>
      <c r="I1215">
        <v>2.86</v>
      </c>
      <c r="J1215">
        <v>181.62</v>
      </c>
      <c r="K1215" t="s">
        <v>55</v>
      </c>
      <c r="L1215" t="s">
        <v>46</v>
      </c>
      <c r="M1215">
        <v>2</v>
      </c>
      <c r="N1215" s="1">
        <v>34.817666699999997</v>
      </c>
      <c r="O1215">
        <v>1.6</v>
      </c>
      <c r="P1215" s="13">
        <v>1.4833000000000001</v>
      </c>
      <c r="Q1215" t="s">
        <v>52</v>
      </c>
      <c r="R1215">
        <v>70</v>
      </c>
      <c r="S1215">
        <v>24</v>
      </c>
      <c r="T1215" t="s">
        <v>164</v>
      </c>
      <c r="U1215" t="s">
        <v>164</v>
      </c>
      <c r="V1215" s="7">
        <v>0.7893801085038733</v>
      </c>
      <c r="W1215">
        <v>101.6</v>
      </c>
      <c r="X1215">
        <v>9.9000000000000005E-2</v>
      </c>
      <c r="Y1215">
        <v>3.9</v>
      </c>
      <c r="AA1215">
        <v>4</v>
      </c>
      <c r="AB1215">
        <v>25</v>
      </c>
      <c r="AC1215" s="17">
        <v>1</v>
      </c>
      <c r="AD1215">
        <f>0.15/0.05</f>
        <v>2.9999999999999996</v>
      </c>
      <c r="AE1215">
        <v>60</v>
      </c>
      <c r="AF1215" s="11">
        <v>0.82899999999999996</v>
      </c>
    </row>
    <row r="1216" spans="1:32" x14ac:dyDescent="0.3">
      <c r="A1216" t="s">
        <v>150</v>
      </c>
      <c r="B1216" t="s">
        <v>40</v>
      </c>
      <c r="C1216">
        <v>-0.02</v>
      </c>
      <c r="D1216">
        <v>444.43</v>
      </c>
      <c r="E1216">
        <v>2.1</v>
      </c>
      <c r="F1216">
        <v>3.05</v>
      </c>
      <c r="G1216">
        <v>1.55</v>
      </c>
      <c r="H1216">
        <v>1.7</v>
      </c>
      <c r="I1216">
        <v>2.86</v>
      </c>
      <c r="J1216">
        <v>181.62</v>
      </c>
      <c r="K1216" t="s">
        <v>55</v>
      </c>
      <c r="L1216" t="s">
        <v>46</v>
      </c>
      <c r="M1216">
        <v>2</v>
      </c>
      <c r="N1216" s="1">
        <v>34.817666699999997</v>
      </c>
      <c r="O1216">
        <v>1.6</v>
      </c>
      <c r="P1216" s="13">
        <v>1.4833000000000001</v>
      </c>
      <c r="Q1216" t="s">
        <v>52</v>
      </c>
      <c r="R1216">
        <v>70</v>
      </c>
      <c r="S1216">
        <v>24</v>
      </c>
      <c r="T1216" t="s">
        <v>164</v>
      </c>
      <c r="U1216" t="s">
        <v>164</v>
      </c>
      <c r="V1216" s="7">
        <v>0.7893801085038733</v>
      </c>
      <c r="W1216">
        <v>101.6</v>
      </c>
      <c r="X1216">
        <v>9.9000000000000005E-2</v>
      </c>
      <c r="Y1216">
        <v>3.9</v>
      </c>
      <c r="AA1216">
        <v>4</v>
      </c>
      <c r="AB1216">
        <v>25</v>
      </c>
      <c r="AC1216" s="17">
        <v>1</v>
      </c>
      <c r="AD1216">
        <f>0.2/0.05</f>
        <v>4</v>
      </c>
      <c r="AE1216">
        <v>60</v>
      </c>
      <c r="AF1216" s="11">
        <v>0.86</v>
      </c>
    </row>
    <row r="1217" spans="1:32" x14ac:dyDescent="0.3">
      <c r="A1217" t="s">
        <v>150</v>
      </c>
      <c r="B1217" t="s">
        <v>40</v>
      </c>
      <c r="C1217">
        <v>-0.02</v>
      </c>
      <c r="D1217">
        <v>444.43</v>
      </c>
      <c r="E1217">
        <v>2.1</v>
      </c>
      <c r="F1217">
        <v>3.05</v>
      </c>
      <c r="G1217">
        <v>1.55</v>
      </c>
      <c r="H1217">
        <v>1.7</v>
      </c>
      <c r="I1217">
        <v>2.86</v>
      </c>
      <c r="J1217">
        <v>181.62</v>
      </c>
      <c r="K1217" t="s">
        <v>55</v>
      </c>
      <c r="L1217" t="s">
        <v>46</v>
      </c>
      <c r="M1217">
        <v>2</v>
      </c>
      <c r="N1217" s="1">
        <v>34.817666699999997</v>
      </c>
      <c r="O1217">
        <v>1.6</v>
      </c>
      <c r="P1217" s="13">
        <v>1.4833000000000001</v>
      </c>
      <c r="Q1217" t="s">
        <v>52</v>
      </c>
      <c r="R1217">
        <v>70</v>
      </c>
      <c r="S1217">
        <v>24</v>
      </c>
      <c r="T1217" t="s">
        <v>164</v>
      </c>
      <c r="U1217" t="s">
        <v>164</v>
      </c>
      <c r="V1217" s="7">
        <v>0.7893801085038733</v>
      </c>
      <c r="W1217">
        <v>101.6</v>
      </c>
      <c r="X1217">
        <v>9.9000000000000005E-2</v>
      </c>
      <c r="Y1217">
        <v>3.9</v>
      </c>
      <c r="AA1217">
        <v>4</v>
      </c>
      <c r="AB1217">
        <v>25</v>
      </c>
      <c r="AC1217" s="17">
        <v>8.3000000000000004E-2</v>
      </c>
      <c r="AD1217">
        <f t="shared" ref="AD1217:AD1234" si="39">0.025/0.05</f>
        <v>0.5</v>
      </c>
      <c r="AE1217">
        <v>60</v>
      </c>
      <c r="AF1217" s="11">
        <v>6.4999999999999974E-2</v>
      </c>
    </row>
    <row r="1218" spans="1:32" x14ac:dyDescent="0.3">
      <c r="A1218" t="s">
        <v>150</v>
      </c>
      <c r="B1218" t="s">
        <v>40</v>
      </c>
      <c r="C1218">
        <v>-0.02</v>
      </c>
      <c r="D1218">
        <v>444.43</v>
      </c>
      <c r="E1218">
        <v>2.1</v>
      </c>
      <c r="F1218">
        <v>3.05</v>
      </c>
      <c r="G1218">
        <v>1.55</v>
      </c>
      <c r="H1218">
        <v>1.7</v>
      </c>
      <c r="I1218">
        <v>2.86</v>
      </c>
      <c r="J1218">
        <v>181.62</v>
      </c>
      <c r="K1218" t="s">
        <v>55</v>
      </c>
      <c r="L1218" t="s">
        <v>46</v>
      </c>
      <c r="M1218">
        <v>2</v>
      </c>
      <c r="N1218" s="1">
        <v>34.817666699999997</v>
      </c>
      <c r="O1218">
        <v>1.6</v>
      </c>
      <c r="P1218" s="13">
        <v>1.4833000000000001</v>
      </c>
      <c r="Q1218" t="s">
        <v>52</v>
      </c>
      <c r="R1218">
        <v>70</v>
      </c>
      <c r="S1218">
        <v>24</v>
      </c>
      <c r="T1218" t="s">
        <v>164</v>
      </c>
      <c r="U1218" t="s">
        <v>164</v>
      </c>
      <c r="V1218" s="7">
        <v>0.7893801085038733</v>
      </c>
      <c r="W1218">
        <v>101.6</v>
      </c>
      <c r="X1218">
        <v>9.9000000000000005E-2</v>
      </c>
      <c r="Y1218">
        <v>3.9</v>
      </c>
      <c r="AA1218">
        <v>4</v>
      </c>
      <c r="AB1218">
        <v>25</v>
      </c>
      <c r="AC1218" s="17">
        <v>0.16700000000000001</v>
      </c>
      <c r="AD1218">
        <f t="shared" si="39"/>
        <v>0.5</v>
      </c>
      <c r="AE1218">
        <v>60</v>
      </c>
      <c r="AF1218" s="11">
        <v>7.0833333333333331E-2</v>
      </c>
    </row>
    <row r="1219" spans="1:32" x14ac:dyDescent="0.3">
      <c r="A1219" t="s">
        <v>150</v>
      </c>
      <c r="B1219" t="s">
        <v>40</v>
      </c>
      <c r="C1219">
        <v>-0.02</v>
      </c>
      <c r="D1219">
        <v>444.43</v>
      </c>
      <c r="E1219">
        <v>2.1</v>
      </c>
      <c r="F1219">
        <v>3.05</v>
      </c>
      <c r="G1219">
        <v>1.55</v>
      </c>
      <c r="H1219">
        <v>1.7</v>
      </c>
      <c r="I1219">
        <v>2.86</v>
      </c>
      <c r="J1219">
        <v>181.62</v>
      </c>
      <c r="K1219" t="s">
        <v>55</v>
      </c>
      <c r="L1219" t="s">
        <v>46</v>
      </c>
      <c r="M1219">
        <v>2</v>
      </c>
      <c r="N1219" s="1">
        <v>34.817666699999997</v>
      </c>
      <c r="O1219">
        <v>1.6</v>
      </c>
      <c r="P1219" s="13">
        <v>1.4833000000000001</v>
      </c>
      <c r="Q1219" t="s">
        <v>52</v>
      </c>
      <c r="R1219">
        <v>70</v>
      </c>
      <c r="S1219">
        <v>24</v>
      </c>
      <c r="T1219" t="s">
        <v>164</v>
      </c>
      <c r="U1219" t="s">
        <v>164</v>
      </c>
      <c r="V1219" s="7">
        <v>0.7893801085038733</v>
      </c>
      <c r="W1219">
        <v>101.6</v>
      </c>
      <c r="X1219">
        <v>9.9000000000000005E-2</v>
      </c>
      <c r="Y1219">
        <v>3.9</v>
      </c>
      <c r="AA1219">
        <v>4</v>
      </c>
      <c r="AB1219">
        <v>25</v>
      </c>
      <c r="AC1219" s="17">
        <v>0.25</v>
      </c>
      <c r="AD1219">
        <f t="shared" si="39"/>
        <v>0.5</v>
      </c>
      <c r="AE1219">
        <v>60</v>
      </c>
      <c r="AF1219" s="11">
        <v>7.833333333333338E-2</v>
      </c>
    </row>
    <row r="1220" spans="1:32" x14ac:dyDescent="0.3">
      <c r="A1220" t="s">
        <v>150</v>
      </c>
      <c r="B1220" t="s">
        <v>40</v>
      </c>
      <c r="C1220">
        <v>-0.02</v>
      </c>
      <c r="D1220">
        <v>444.43</v>
      </c>
      <c r="E1220">
        <v>2.1</v>
      </c>
      <c r="F1220">
        <v>3.05</v>
      </c>
      <c r="G1220">
        <v>1.55</v>
      </c>
      <c r="H1220">
        <v>1.7</v>
      </c>
      <c r="I1220">
        <v>2.86</v>
      </c>
      <c r="J1220">
        <v>181.62</v>
      </c>
      <c r="K1220" t="s">
        <v>55</v>
      </c>
      <c r="L1220" t="s">
        <v>46</v>
      </c>
      <c r="M1220">
        <v>2</v>
      </c>
      <c r="N1220" s="1">
        <v>34.817666699999997</v>
      </c>
      <c r="O1220">
        <v>1.6</v>
      </c>
      <c r="P1220" s="13">
        <v>1.4833000000000001</v>
      </c>
      <c r="Q1220" t="s">
        <v>52</v>
      </c>
      <c r="R1220">
        <v>70</v>
      </c>
      <c r="S1220">
        <v>24</v>
      </c>
      <c r="T1220" t="s">
        <v>164</v>
      </c>
      <c r="U1220" t="s">
        <v>164</v>
      </c>
      <c r="V1220" s="7">
        <v>0.7893801085038733</v>
      </c>
      <c r="W1220">
        <v>101.6</v>
      </c>
      <c r="X1220">
        <v>9.9000000000000005E-2</v>
      </c>
      <c r="Y1220">
        <v>3.9</v>
      </c>
      <c r="AA1220">
        <v>4</v>
      </c>
      <c r="AB1220">
        <v>25</v>
      </c>
      <c r="AC1220" s="17">
        <v>0.33</v>
      </c>
      <c r="AD1220">
        <f t="shared" si="39"/>
        <v>0.5</v>
      </c>
      <c r="AE1220">
        <v>60</v>
      </c>
      <c r="AF1220" s="11">
        <v>8.3333333333333329E-2</v>
      </c>
    </row>
    <row r="1221" spans="1:32" x14ac:dyDescent="0.3">
      <c r="A1221" t="s">
        <v>150</v>
      </c>
      <c r="B1221" t="s">
        <v>40</v>
      </c>
      <c r="C1221">
        <v>-0.02</v>
      </c>
      <c r="D1221">
        <v>444.43</v>
      </c>
      <c r="E1221">
        <v>2.1</v>
      </c>
      <c r="F1221">
        <v>3.05</v>
      </c>
      <c r="G1221">
        <v>1.55</v>
      </c>
      <c r="H1221">
        <v>1.7</v>
      </c>
      <c r="I1221">
        <v>2.86</v>
      </c>
      <c r="J1221">
        <v>181.62</v>
      </c>
      <c r="K1221" t="s">
        <v>55</v>
      </c>
      <c r="L1221" t="s">
        <v>46</v>
      </c>
      <c r="M1221">
        <v>2</v>
      </c>
      <c r="N1221" s="1">
        <v>34.817666699999997</v>
      </c>
      <c r="O1221">
        <v>1.6</v>
      </c>
      <c r="P1221" s="13">
        <v>1.4833000000000001</v>
      </c>
      <c r="Q1221" t="s">
        <v>52</v>
      </c>
      <c r="R1221">
        <v>70</v>
      </c>
      <c r="S1221">
        <v>24</v>
      </c>
      <c r="T1221" t="s">
        <v>164</v>
      </c>
      <c r="U1221" t="s">
        <v>164</v>
      </c>
      <c r="V1221" s="7">
        <v>0.7893801085038733</v>
      </c>
      <c r="W1221">
        <v>101.6</v>
      </c>
      <c r="X1221">
        <v>9.9000000000000005E-2</v>
      </c>
      <c r="Y1221">
        <v>3.9</v>
      </c>
      <c r="AA1221">
        <v>4</v>
      </c>
      <c r="AB1221">
        <v>25</v>
      </c>
      <c r="AC1221" s="17">
        <v>0.5</v>
      </c>
      <c r="AD1221">
        <f t="shared" si="39"/>
        <v>0.5</v>
      </c>
      <c r="AE1221">
        <v>60</v>
      </c>
      <c r="AF1221" s="11">
        <v>9.166666666666666E-2</v>
      </c>
    </row>
    <row r="1222" spans="1:32" x14ac:dyDescent="0.3">
      <c r="A1222" t="s">
        <v>150</v>
      </c>
      <c r="B1222" t="s">
        <v>40</v>
      </c>
      <c r="C1222">
        <v>-0.02</v>
      </c>
      <c r="D1222">
        <v>444.43</v>
      </c>
      <c r="E1222">
        <v>2.1</v>
      </c>
      <c r="F1222">
        <v>3.05</v>
      </c>
      <c r="G1222">
        <v>1.55</v>
      </c>
      <c r="H1222">
        <v>1.7</v>
      </c>
      <c r="I1222">
        <v>2.86</v>
      </c>
      <c r="J1222">
        <v>181.62</v>
      </c>
      <c r="K1222" t="s">
        <v>55</v>
      </c>
      <c r="L1222" t="s">
        <v>46</v>
      </c>
      <c r="M1222">
        <v>2</v>
      </c>
      <c r="N1222" s="1">
        <v>34.817666699999997</v>
      </c>
      <c r="O1222">
        <v>1.6</v>
      </c>
      <c r="P1222" s="13">
        <v>1.4833000000000001</v>
      </c>
      <c r="Q1222" t="s">
        <v>52</v>
      </c>
      <c r="R1222">
        <v>70</v>
      </c>
      <c r="S1222">
        <v>24</v>
      </c>
      <c r="T1222" t="s">
        <v>164</v>
      </c>
      <c r="U1222" t="s">
        <v>164</v>
      </c>
      <c r="V1222" s="7">
        <v>0.7893801085038733</v>
      </c>
      <c r="W1222">
        <v>101.6</v>
      </c>
      <c r="X1222">
        <v>9.9000000000000005E-2</v>
      </c>
      <c r="Y1222">
        <v>3.9</v>
      </c>
      <c r="AA1222">
        <v>4</v>
      </c>
      <c r="AB1222">
        <v>25</v>
      </c>
      <c r="AC1222" s="17">
        <v>0.57999999999999996</v>
      </c>
      <c r="AD1222">
        <f t="shared" si="39"/>
        <v>0.5</v>
      </c>
      <c r="AE1222">
        <v>60</v>
      </c>
      <c r="AF1222" s="11">
        <v>9.4166666666666649E-2</v>
      </c>
    </row>
    <row r="1223" spans="1:32" x14ac:dyDescent="0.3">
      <c r="A1223" t="s">
        <v>150</v>
      </c>
      <c r="B1223" t="s">
        <v>40</v>
      </c>
      <c r="C1223">
        <v>-0.02</v>
      </c>
      <c r="D1223">
        <v>444.43</v>
      </c>
      <c r="E1223">
        <v>2.1</v>
      </c>
      <c r="F1223">
        <v>3.05</v>
      </c>
      <c r="G1223">
        <v>1.55</v>
      </c>
      <c r="H1223">
        <v>1.7</v>
      </c>
      <c r="I1223">
        <v>2.86</v>
      </c>
      <c r="J1223">
        <v>181.62</v>
      </c>
      <c r="K1223" t="s">
        <v>55</v>
      </c>
      <c r="L1223" t="s">
        <v>46</v>
      </c>
      <c r="M1223">
        <v>2</v>
      </c>
      <c r="N1223" s="1">
        <v>34.817666699999997</v>
      </c>
      <c r="O1223">
        <v>1.6</v>
      </c>
      <c r="P1223" s="13">
        <v>1.4833000000000001</v>
      </c>
      <c r="Q1223" t="s">
        <v>52</v>
      </c>
      <c r="R1223">
        <v>70</v>
      </c>
      <c r="S1223">
        <v>24</v>
      </c>
      <c r="T1223" t="s">
        <v>164</v>
      </c>
      <c r="U1223" t="s">
        <v>164</v>
      </c>
      <c r="V1223" s="7">
        <v>0.7893801085038733</v>
      </c>
      <c r="W1223">
        <v>101.6</v>
      </c>
      <c r="X1223">
        <v>9.9000000000000005E-2</v>
      </c>
      <c r="Y1223">
        <v>3.9</v>
      </c>
      <c r="AA1223">
        <v>4</v>
      </c>
      <c r="AB1223">
        <v>25</v>
      </c>
      <c r="AC1223" s="17">
        <v>0.75</v>
      </c>
      <c r="AD1223">
        <f t="shared" si="39"/>
        <v>0.5</v>
      </c>
      <c r="AE1223">
        <v>60</v>
      </c>
      <c r="AF1223" s="11">
        <v>9.9166666666666708E-2</v>
      </c>
    </row>
    <row r="1224" spans="1:32" x14ac:dyDescent="0.3">
      <c r="A1224" t="s">
        <v>150</v>
      </c>
      <c r="B1224" t="s">
        <v>40</v>
      </c>
      <c r="C1224">
        <v>-0.02</v>
      </c>
      <c r="D1224">
        <v>444.43</v>
      </c>
      <c r="E1224">
        <v>2.1</v>
      </c>
      <c r="F1224">
        <v>3.05</v>
      </c>
      <c r="G1224">
        <v>1.55</v>
      </c>
      <c r="H1224">
        <v>1.7</v>
      </c>
      <c r="I1224">
        <v>2.86</v>
      </c>
      <c r="J1224">
        <v>181.62</v>
      </c>
      <c r="K1224" t="s">
        <v>55</v>
      </c>
      <c r="L1224" t="s">
        <v>46</v>
      </c>
      <c r="M1224">
        <v>2</v>
      </c>
      <c r="N1224" s="1">
        <v>34.817666699999997</v>
      </c>
      <c r="O1224">
        <v>1.6</v>
      </c>
      <c r="P1224" s="13">
        <v>1.4833000000000001</v>
      </c>
      <c r="Q1224" t="s">
        <v>52</v>
      </c>
      <c r="R1224">
        <v>70</v>
      </c>
      <c r="S1224">
        <v>24</v>
      </c>
      <c r="T1224" t="s">
        <v>164</v>
      </c>
      <c r="U1224" t="s">
        <v>164</v>
      </c>
      <c r="V1224" s="7">
        <v>0.7893801085038733</v>
      </c>
      <c r="W1224">
        <v>101.6</v>
      </c>
      <c r="X1224">
        <v>9.9000000000000005E-2</v>
      </c>
      <c r="Y1224">
        <v>3.9</v>
      </c>
      <c r="AA1224">
        <v>4</v>
      </c>
      <c r="AB1224">
        <v>25</v>
      </c>
      <c r="AC1224" s="17">
        <v>1</v>
      </c>
      <c r="AD1224">
        <f t="shared" si="39"/>
        <v>0.5</v>
      </c>
      <c r="AE1224">
        <v>60</v>
      </c>
      <c r="AF1224" s="11">
        <v>0.10333333333333337</v>
      </c>
    </row>
    <row r="1225" spans="1:32" x14ac:dyDescent="0.3">
      <c r="A1225" t="s">
        <v>150</v>
      </c>
      <c r="B1225" t="s">
        <v>40</v>
      </c>
      <c r="C1225">
        <v>-0.02</v>
      </c>
      <c r="D1225">
        <v>444.43</v>
      </c>
      <c r="E1225">
        <v>2.1</v>
      </c>
      <c r="F1225">
        <v>3.05</v>
      </c>
      <c r="G1225">
        <v>1.55</v>
      </c>
      <c r="H1225">
        <v>1.7</v>
      </c>
      <c r="I1225">
        <v>2.86</v>
      </c>
      <c r="J1225">
        <v>181.62</v>
      </c>
      <c r="K1225" t="s">
        <v>55</v>
      </c>
      <c r="L1225" t="s">
        <v>46</v>
      </c>
      <c r="M1225">
        <v>2</v>
      </c>
      <c r="N1225" s="1">
        <v>34.817666699999997</v>
      </c>
      <c r="O1225">
        <v>1.6</v>
      </c>
      <c r="P1225" s="13">
        <v>1.4833000000000001</v>
      </c>
      <c r="Q1225" t="s">
        <v>52</v>
      </c>
      <c r="R1225">
        <v>70</v>
      </c>
      <c r="S1225">
        <v>24</v>
      </c>
      <c r="T1225" t="s">
        <v>164</v>
      </c>
      <c r="U1225" t="s">
        <v>164</v>
      </c>
      <c r="V1225" s="7">
        <v>0.7893801085038733</v>
      </c>
      <c r="W1225">
        <v>101.6</v>
      </c>
      <c r="X1225">
        <v>9.9000000000000005E-2</v>
      </c>
      <c r="Y1225">
        <v>3.9</v>
      </c>
      <c r="AA1225">
        <v>4</v>
      </c>
      <c r="AB1225">
        <v>25</v>
      </c>
      <c r="AC1225" s="17">
        <v>1.5</v>
      </c>
      <c r="AD1225">
        <f t="shared" si="39"/>
        <v>0.5</v>
      </c>
      <c r="AE1225">
        <v>60</v>
      </c>
      <c r="AF1225" s="11">
        <v>0.10333333333333337</v>
      </c>
    </row>
    <row r="1226" spans="1:32" x14ac:dyDescent="0.3">
      <c r="A1226" t="s">
        <v>150</v>
      </c>
      <c r="B1226" t="s">
        <v>40</v>
      </c>
      <c r="C1226">
        <v>-0.02</v>
      </c>
      <c r="D1226">
        <v>444.43</v>
      </c>
      <c r="E1226">
        <v>2.1</v>
      </c>
      <c r="F1226">
        <v>3.05</v>
      </c>
      <c r="G1226">
        <v>1.55</v>
      </c>
      <c r="H1226">
        <v>1.7</v>
      </c>
      <c r="I1226">
        <v>2.86</v>
      </c>
      <c r="J1226">
        <v>181.62</v>
      </c>
      <c r="K1226" t="s">
        <v>55</v>
      </c>
      <c r="L1226" t="s">
        <v>46</v>
      </c>
      <c r="M1226">
        <v>2</v>
      </c>
      <c r="N1226" s="1">
        <v>34.817666699999997</v>
      </c>
      <c r="O1226">
        <v>1.6</v>
      </c>
      <c r="P1226" s="13">
        <v>1.4833000000000001</v>
      </c>
      <c r="Q1226" t="s">
        <v>52</v>
      </c>
      <c r="R1226">
        <v>70</v>
      </c>
      <c r="S1226">
        <v>24</v>
      </c>
      <c r="T1226" t="s">
        <v>164</v>
      </c>
      <c r="U1226" t="s">
        <v>164</v>
      </c>
      <c r="V1226" s="7">
        <v>0.7893801085038733</v>
      </c>
      <c r="W1226">
        <v>101.6</v>
      </c>
      <c r="X1226">
        <v>9.9000000000000005E-2</v>
      </c>
      <c r="Y1226">
        <v>3.9</v>
      </c>
      <c r="AA1226">
        <v>4</v>
      </c>
      <c r="AB1226">
        <v>25</v>
      </c>
      <c r="AC1226" s="17">
        <v>3</v>
      </c>
      <c r="AD1226">
        <f t="shared" si="39"/>
        <v>0.5</v>
      </c>
      <c r="AE1226">
        <v>60</v>
      </c>
      <c r="AF1226" s="11">
        <v>0.10333333333333337</v>
      </c>
    </row>
    <row r="1227" spans="1:32" x14ac:dyDescent="0.3">
      <c r="A1227" t="s">
        <v>150</v>
      </c>
      <c r="B1227" t="s">
        <v>40</v>
      </c>
      <c r="C1227">
        <v>-0.02</v>
      </c>
      <c r="D1227">
        <v>444.43</v>
      </c>
      <c r="E1227">
        <v>2.1</v>
      </c>
      <c r="F1227">
        <v>3.05</v>
      </c>
      <c r="G1227">
        <v>1.55</v>
      </c>
      <c r="H1227">
        <v>1.7</v>
      </c>
      <c r="I1227">
        <v>2.86</v>
      </c>
      <c r="J1227">
        <v>181.62</v>
      </c>
      <c r="K1227" t="s">
        <v>55</v>
      </c>
      <c r="L1227" t="s">
        <v>46</v>
      </c>
      <c r="M1227">
        <v>2</v>
      </c>
      <c r="N1227" s="1">
        <v>34.817666699999997</v>
      </c>
      <c r="O1227">
        <v>1.6</v>
      </c>
      <c r="P1227" s="13">
        <v>1.4833000000000001</v>
      </c>
      <c r="Q1227" t="s">
        <v>52</v>
      </c>
      <c r="R1227">
        <v>70</v>
      </c>
      <c r="S1227">
        <v>24</v>
      </c>
      <c r="T1227" t="s">
        <v>164</v>
      </c>
      <c r="U1227" t="s">
        <v>164</v>
      </c>
      <c r="V1227" s="7">
        <v>0.7893801085038733</v>
      </c>
      <c r="W1227">
        <v>101.6</v>
      </c>
      <c r="X1227">
        <v>9.9000000000000005E-2</v>
      </c>
      <c r="Y1227">
        <v>3.9</v>
      </c>
      <c r="AA1227">
        <v>4</v>
      </c>
      <c r="AB1227">
        <v>25</v>
      </c>
      <c r="AC1227" s="17">
        <v>3.33</v>
      </c>
      <c r="AD1227">
        <f t="shared" si="39"/>
        <v>0.5</v>
      </c>
      <c r="AE1227">
        <v>60</v>
      </c>
      <c r="AF1227" s="11">
        <v>0.10333333333333337</v>
      </c>
    </row>
    <row r="1228" spans="1:32" x14ac:dyDescent="0.3">
      <c r="A1228" t="s">
        <v>150</v>
      </c>
      <c r="B1228" t="s">
        <v>40</v>
      </c>
      <c r="C1228">
        <v>-0.02</v>
      </c>
      <c r="D1228">
        <v>444.43</v>
      </c>
      <c r="E1228">
        <v>2.1</v>
      </c>
      <c r="F1228">
        <v>3.05</v>
      </c>
      <c r="G1228">
        <v>1.55</v>
      </c>
      <c r="H1228">
        <v>1.7</v>
      </c>
      <c r="I1228">
        <v>2.86</v>
      </c>
      <c r="J1228">
        <v>181.62</v>
      </c>
      <c r="K1228" t="s">
        <v>55</v>
      </c>
      <c r="L1228" t="s">
        <v>46</v>
      </c>
      <c r="M1228">
        <v>2</v>
      </c>
      <c r="N1228" s="1">
        <v>34.817666699999997</v>
      </c>
      <c r="O1228">
        <v>1.6</v>
      </c>
      <c r="P1228" s="13">
        <v>1.4833000000000001</v>
      </c>
      <c r="Q1228" t="s">
        <v>52</v>
      </c>
      <c r="R1228">
        <v>70</v>
      </c>
      <c r="S1228">
        <v>24</v>
      </c>
      <c r="T1228" t="s">
        <v>164</v>
      </c>
      <c r="U1228" t="s">
        <v>164</v>
      </c>
      <c r="V1228" s="7">
        <v>0.7893801085038733</v>
      </c>
      <c r="W1228">
        <v>101.6</v>
      </c>
      <c r="X1228">
        <v>9.9000000000000005E-2</v>
      </c>
      <c r="Y1228">
        <v>3.9</v>
      </c>
      <c r="AA1228">
        <v>4</v>
      </c>
      <c r="AB1228">
        <v>25</v>
      </c>
      <c r="AC1228" s="17">
        <v>5</v>
      </c>
      <c r="AD1228">
        <f t="shared" si="39"/>
        <v>0.5</v>
      </c>
      <c r="AE1228">
        <v>60</v>
      </c>
      <c r="AF1228" s="11">
        <v>0.10333333333333337</v>
      </c>
    </row>
    <row r="1229" spans="1:32" x14ac:dyDescent="0.3">
      <c r="A1229" t="s">
        <v>150</v>
      </c>
      <c r="B1229" t="s">
        <v>40</v>
      </c>
      <c r="C1229">
        <v>-0.02</v>
      </c>
      <c r="D1229">
        <v>444.43</v>
      </c>
      <c r="E1229">
        <v>2.1</v>
      </c>
      <c r="F1229">
        <v>3.05</v>
      </c>
      <c r="G1229">
        <v>1.55</v>
      </c>
      <c r="H1229">
        <v>1.7</v>
      </c>
      <c r="I1229">
        <v>2.86</v>
      </c>
      <c r="J1229">
        <v>181.62</v>
      </c>
      <c r="K1229" t="s">
        <v>55</v>
      </c>
      <c r="L1229" t="s">
        <v>46</v>
      </c>
      <c r="M1229">
        <v>2</v>
      </c>
      <c r="N1229" s="1">
        <v>34.817666699999997</v>
      </c>
      <c r="O1229">
        <v>1.6</v>
      </c>
      <c r="P1229" s="13">
        <v>1.4833000000000001</v>
      </c>
      <c r="Q1229" t="s">
        <v>52</v>
      </c>
      <c r="R1229">
        <v>70</v>
      </c>
      <c r="S1229">
        <v>24</v>
      </c>
      <c r="T1229" t="s">
        <v>164</v>
      </c>
      <c r="U1229" t="s">
        <v>164</v>
      </c>
      <c r="V1229" s="7">
        <v>0.7893801085038733</v>
      </c>
      <c r="W1229">
        <v>101.6</v>
      </c>
      <c r="X1229">
        <v>9.9000000000000005E-2</v>
      </c>
      <c r="Y1229">
        <v>3.9</v>
      </c>
      <c r="AA1229">
        <v>4</v>
      </c>
      <c r="AB1229">
        <v>25</v>
      </c>
      <c r="AC1229" s="17">
        <v>5</v>
      </c>
      <c r="AD1229">
        <f t="shared" si="39"/>
        <v>0.5</v>
      </c>
      <c r="AE1229" s="9">
        <v>3.9</v>
      </c>
      <c r="AF1229" s="11">
        <v>0.23076923076923075</v>
      </c>
    </row>
    <row r="1230" spans="1:32" x14ac:dyDescent="0.3">
      <c r="A1230" t="s">
        <v>150</v>
      </c>
      <c r="B1230" t="s">
        <v>40</v>
      </c>
      <c r="C1230">
        <v>-0.02</v>
      </c>
      <c r="D1230">
        <v>444.43</v>
      </c>
      <c r="E1230">
        <v>2.1</v>
      </c>
      <c r="F1230">
        <v>3.05</v>
      </c>
      <c r="G1230">
        <v>1.55</v>
      </c>
      <c r="H1230">
        <v>1.7</v>
      </c>
      <c r="I1230">
        <v>2.86</v>
      </c>
      <c r="J1230">
        <v>181.62</v>
      </c>
      <c r="K1230" t="s">
        <v>55</v>
      </c>
      <c r="L1230" t="s">
        <v>46</v>
      </c>
      <c r="M1230">
        <v>2</v>
      </c>
      <c r="N1230" s="1">
        <v>34.817666699999997</v>
      </c>
      <c r="O1230">
        <v>1.6</v>
      </c>
      <c r="P1230" s="13">
        <v>1.4833000000000001</v>
      </c>
      <c r="Q1230" t="s">
        <v>52</v>
      </c>
      <c r="R1230">
        <v>70</v>
      </c>
      <c r="S1230">
        <v>24</v>
      </c>
      <c r="T1230" t="s">
        <v>164</v>
      </c>
      <c r="U1230" t="s">
        <v>164</v>
      </c>
      <c r="V1230" s="7">
        <v>0.7893801085038733</v>
      </c>
      <c r="W1230">
        <v>101.6</v>
      </c>
      <c r="X1230">
        <v>9.9000000000000005E-2</v>
      </c>
      <c r="Y1230">
        <v>3.9</v>
      </c>
      <c r="AA1230">
        <v>4</v>
      </c>
      <c r="AB1230">
        <v>25</v>
      </c>
      <c r="AC1230" s="17">
        <v>5</v>
      </c>
      <c r="AD1230">
        <f t="shared" si="39"/>
        <v>0.5</v>
      </c>
      <c r="AE1230" s="9">
        <v>5.3999999999999995</v>
      </c>
      <c r="AF1230" s="11">
        <v>0.25925925925925919</v>
      </c>
    </row>
    <row r="1231" spans="1:32" x14ac:dyDescent="0.3">
      <c r="A1231" t="s">
        <v>150</v>
      </c>
      <c r="B1231" t="s">
        <v>40</v>
      </c>
      <c r="C1231">
        <v>-0.02</v>
      </c>
      <c r="D1231">
        <v>444.43</v>
      </c>
      <c r="E1231">
        <v>2.1</v>
      </c>
      <c r="F1231">
        <v>3.05</v>
      </c>
      <c r="G1231">
        <v>1.55</v>
      </c>
      <c r="H1231">
        <v>1.7</v>
      </c>
      <c r="I1231">
        <v>2.86</v>
      </c>
      <c r="J1231">
        <v>181.62</v>
      </c>
      <c r="K1231" t="s">
        <v>55</v>
      </c>
      <c r="L1231" t="s">
        <v>46</v>
      </c>
      <c r="M1231">
        <v>2</v>
      </c>
      <c r="N1231" s="1">
        <v>34.817666699999997</v>
      </c>
      <c r="O1231">
        <v>1.6</v>
      </c>
      <c r="P1231" s="13">
        <v>1.4833000000000001</v>
      </c>
      <c r="Q1231" t="s">
        <v>52</v>
      </c>
      <c r="R1231">
        <v>70</v>
      </c>
      <c r="S1231">
        <v>24</v>
      </c>
      <c r="T1231" t="s">
        <v>164</v>
      </c>
      <c r="U1231" t="s">
        <v>164</v>
      </c>
      <c r="V1231" s="7">
        <v>0.7893801085038733</v>
      </c>
      <c r="W1231">
        <v>101.6</v>
      </c>
      <c r="X1231">
        <v>9.9000000000000005E-2</v>
      </c>
      <c r="Y1231">
        <v>3.9</v>
      </c>
      <c r="AA1231">
        <v>4</v>
      </c>
      <c r="AB1231">
        <v>25</v>
      </c>
      <c r="AC1231" s="17">
        <v>5</v>
      </c>
      <c r="AD1231">
        <f t="shared" si="39"/>
        <v>0.5</v>
      </c>
      <c r="AE1231" s="9">
        <v>10.299999999999999</v>
      </c>
      <c r="AF1231" s="11">
        <v>0.27184466019417469</v>
      </c>
    </row>
    <row r="1232" spans="1:32" x14ac:dyDescent="0.3">
      <c r="A1232" t="s">
        <v>150</v>
      </c>
      <c r="B1232" t="s">
        <v>40</v>
      </c>
      <c r="C1232">
        <v>-0.02</v>
      </c>
      <c r="D1232">
        <v>444.43</v>
      </c>
      <c r="E1232">
        <v>2.1</v>
      </c>
      <c r="F1232">
        <v>3.05</v>
      </c>
      <c r="G1232">
        <v>1.55</v>
      </c>
      <c r="H1232">
        <v>1.7</v>
      </c>
      <c r="I1232">
        <v>2.86</v>
      </c>
      <c r="J1232">
        <v>181.62</v>
      </c>
      <c r="K1232" t="s">
        <v>55</v>
      </c>
      <c r="L1232" t="s">
        <v>46</v>
      </c>
      <c r="M1232">
        <v>2</v>
      </c>
      <c r="N1232" s="1">
        <v>34.817666699999997</v>
      </c>
      <c r="O1232">
        <v>1.6</v>
      </c>
      <c r="P1232" s="13">
        <v>1.4833000000000001</v>
      </c>
      <c r="Q1232" t="s">
        <v>52</v>
      </c>
      <c r="R1232">
        <v>70</v>
      </c>
      <c r="S1232">
        <v>24</v>
      </c>
      <c r="T1232" t="s">
        <v>164</v>
      </c>
      <c r="U1232" t="s">
        <v>164</v>
      </c>
      <c r="V1232" s="7">
        <v>0.7893801085038733</v>
      </c>
      <c r="W1232">
        <v>101.6</v>
      </c>
      <c r="X1232">
        <v>9.9000000000000005E-2</v>
      </c>
      <c r="Y1232">
        <v>3.9</v>
      </c>
      <c r="AA1232">
        <v>4</v>
      </c>
      <c r="AB1232">
        <v>25</v>
      </c>
      <c r="AC1232" s="17">
        <v>5</v>
      </c>
      <c r="AD1232">
        <f t="shared" si="39"/>
        <v>0.5</v>
      </c>
      <c r="AE1232" s="9">
        <v>12.6</v>
      </c>
      <c r="AF1232" s="11">
        <v>0.30952380952380953</v>
      </c>
    </row>
    <row r="1233" spans="1:32" x14ac:dyDescent="0.3">
      <c r="A1233" t="s">
        <v>150</v>
      </c>
      <c r="B1233" t="s">
        <v>40</v>
      </c>
      <c r="C1233">
        <v>-0.02</v>
      </c>
      <c r="D1233">
        <v>444.43</v>
      </c>
      <c r="E1233">
        <v>2.1</v>
      </c>
      <c r="F1233">
        <v>3.05</v>
      </c>
      <c r="G1233">
        <v>1.55</v>
      </c>
      <c r="H1233">
        <v>1.7</v>
      </c>
      <c r="I1233">
        <v>2.86</v>
      </c>
      <c r="J1233">
        <v>181.62</v>
      </c>
      <c r="K1233" t="s">
        <v>55</v>
      </c>
      <c r="L1233" t="s">
        <v>46</v>
      </c>
      <c r="M1233">
        <v>2</v>
      </c>
      <c r="N1233" s="1">
        <v>34.817666699999997</v>
      </c>
      <c r="O1233">
        <v>1.6</v>
      </c>
      <c r="P1233" s="13">
        <v>1.4833000000000001</v>
      </c>
      <c r="Q1233" t="s">
        <v>52</v>
      </c>
      <c r="R1233">
        <v>70</v>
      </c>
      <c r="S1233">
        <v>24</v>
      </c>
      <c r="T1233" t="s">
        <v>164</v>
      </c>
      <c r="U1233" t="s">
        <v>164</v>
      </c>
      <c r="V1233" s="7">
        <v>0.7893801085038733</v>
      </c>
      <c r="W1233">
        <v>101.6</v>
      </c>
      <c r="X1233">
        <v>9.9000000000000005E-2</v>
      </c>
      <c r="Y1233">
        <v>3.9</v>
      </c>
      <c r="AA1233">
        <v>4</v>
      </c>
      <c r="AB1233">
        <v>25</v>
      </c>
      <c r="AC1233" s="17">
        <v>5</v>
      </c>
      <c r="AD1233">
        <f t="shared" si="39"/>
        <v>0.5</v>
      </c>
      <c r="AE1233" s="9">
        <v>14.8</v>
      </c>
      <c r="AF1233" s="11">
        <v>0.33783783783783783</v>
      </c>
    </row>
    <row r="1234" spans="1:32" x14ac:dyDescent="0.3">
      <c r="A1234" t="s">
        <v>150</v>
      </c>
      <c r="B1234" t="s">
        <v>40</v>
      </c>
      <c r="C1234">
        <v>-0.02</v>
      </c>
      <c r="D1234">
        <v>444.43</v>
      </c>
      <c r="E1234">
        <v>2.1</v>
      </c>
      <c r="F1234">
        <v>3.05</v>
      </c>
      <c r="G1234">
        <v>1.55</v>
      </c>
      <c r="H1234">
        <v>1.7</v>
      </c>
      <c r="I1234">
        <v>2.86</v>
      </c>
      <c r="J1234">
        <v>181.62</v>
      </c>
      <c r="K1234" t="s">
        <v>55</v>
      </c>
      <c r="L1234" t="s">
        <v>46</v>
      </c>
      <c r="M1234">
        <v>2</v>
      </c>
      <c r="N1234" s="1">
        <v>34.817666699999997</v>
      </c>
      <c r="O1234">
        <v>1.6</v>
      </c>
      <c r="P1234" s="13">
        <v>1.4833000000000001</v>
      </c>
      <c r="Q1234" t="s">
        <v>52</v>
      </c>
      <c r="R1234">
        <v>70</v>
      </c>
      <c r="S1234">
        <v>24</v>
      </c>
      <c r="T1234" t="s">
        <v>164</v>
      </c>
      <c r="U1234" t="s">
        <v>164</v>
      </c>
      <c r="V1234" s="7">
        <v>0.7893801085038733</v>
      </c>
      <c r="W1234">
        <v>101.6</v>
      </c>
      <c r="X1234">
        <v>9.9000000000000005E-2</v>
      </c>
      <c r="Y1234">
        <v>3.9</v>
      </c>
      <c r="AA1234">
        <v>4</v>
      </c>
      <c r="AB1234">
        <v>25</v>
      </c>
      <c r="AC1234" s="17">
        <v>5</v>
      </c>
      <c r="AD1234">
        <f t="shared" si="39"/>
        <v>0.5</v>
      </c>
      <c r="AE1234" s="9">
        <v>16.700000000000003</v>
      </c>
      <c r="AF1234" s="11">
        <v>0.37125748502994022</v>
      </c>
    </row>
    <row r="1235" spans="1:32" x14ac:dyDescent="0.3">
      <c r="A1235" t="s">
        <v>151</v>
      </c>
      <c r="B1235" t="s">
        <v>14</v>
      </c>
      <c r="C1235">
        <v>-1.3</v>
      </c>
      <c r="D1235">
        <v>444.44</v>
      </c>
      <c r="E1235">
        <v>3.5</v>
      </c>
      <c r="F1235">
        <v>3.6</v>
      </c>
      <c r="G1235">
        <v>1.35</v>
      </c>
      <c r="H1235">
        <v>3.29</v>
      </c>
      <c r="I1235">
        <v>3.0992000000000002</v>
      </c>
      <c r="J1235">
        <v>181.62</v>
      </c>
      <c r="K1235" t="s">
        <v>152</v>
      </c>
      <c r="L1235" t="s">
        <v>153</v>
      </c>
      <c r="M1235">
        <v>3</v>
      </c>
      <c r="N1235" s="1">
        <v>48.058700000000002</v>
      </c>
      <c r="O1235">
        <v>4.25</v>
      </c>
      <c r="P1235" s="13">
        <v>1.7424999999999999</v>
      </c>
      <c r="Q1235" t="s">
        <v>154</v>
      </c>
      <c r="R1235">
        <v>160</v>
      </c>
      <c r="S1235">
        <v>40</v>
      </c>
      <c r="T1235" t="s">
        <v>164</v>
      </c>
      <c r="U1235" t="s">
        <v>164</v>
      </c>
      <c r="V1235" s="7">
        <v>0.77287302100406985</v>
      </c>
      <c r="W1235">
        <v>121.845</v>
      </c>
      <c r="X1235">
        <v>0.21199999999999999</v>
      </c>
      <c r="Y1235">
        <v>3.82</v>
      </c>
      <c r="AA1235">
        <v>3</v>
      </c>
      <c r="AB1235">
        <v>25</v>
      </c>
      <c r="AC1235" s="17">
        <v>1</v>
      </c>
      <c r="AD1235">
        <v>1.6</v>
      </c>
      <c r="AE1235">
        <v>60</v>
      </c>
      <c r="AF1235" s="11">
        <v>0.06</v>
      </c>
    </row>
    <row r="1236" spans="1:32" x14ac:dyDescent="0.3">
      <c r="A1236" t="s">
        <v>151</v>
      </c>
      <c r="B1236" t="s">
        <v>14</v>
      </c>
      <c r="C1236">
        <v>-1.3</v>
      </c>
      <c r="D1236">
        <v>444.44</v>
      </c>
      <c r="E1236">
        <v>3.5</v>
      </c>
      <c r="F1236">
        <v>3.6</v>
      </c>
      <c r="G1236">
        <v>1.35</v>
      </c>
      <c r="H1236">
        <v>3.29</v>
      </c>
      <c r="I1236">
        <v>3.0992000000000002</v>
      </c>
      <c r="J1236">
        <v>182</v>
      </c>
      <c r="K1236" t="s">
        <v>152</v>
      </c>
      <c r="L1236" t="s">
        <v>153</v>
      </c>
      <c r="M1236">
        <v>3</v>
      </c>
      <c r="N1236" s="1">
        <v>48.058700000000002</v>
      </c>
      <c r="O1236">
        <v>4.25</v>
      </c>
      <c r="P1236" s="13">
        <v>1.7424999999999999</v>
      </c>
      <c r="Q1236" t="s">
        <v>154</v>
      </c>
      <c r="R1236">
        <v>160</v>
      </c>
      <c r="S1236">
        <v>40</v>
      </c>
      <c r="T1236" t="s">
        <v>164</v>
      </c>
      <c r="U1236" t="s">
        <v>164</v>
      </c>
      <c r="V1236" s="7">
        <v>0.77287302100406985</v>
      </c>
      <c r="W1236">
        <v>121.845</v>
      </c>
      <c r="X1236">
        <v>0.21199999999999999</v>
      </c>
      <c r="Y1236">
        <v>3.82</v>
      </c>
      <c r="AA1236">
        <v>5</v>
      </c>
      <c r="AB1236">
        <v>25</v>
      </c>
      <c r="AC1236" s="17">
        <v>1</v>
      </c>
      <c r="AD1236">
        <v>1.6</v>
      </c>
      <c r="AE1236">
        <v>60</v>
      </c>
      <c r="AF1236" s="11">
        <v>0.44</v>
      </c>
    </row>
    <row r="1237" spans="1:32" x14ac:dyDescent="0.3">
      <c r="A1237" t="s">
        <v>151</v>
      </c>
      <c r="B1237" t="s">
        <v>14</v>
      </c>
      <c r="C1237">
        <v>-1.3</v>
      </c>
      <c r="D1237">
        <v>444.44</v>
      </c>
      <c r="E1237">
        <v>3.5</v>
      </c>
      <c r="F1237">
        <v>3.6</v>
      </c>
      <c r="G1237">
        <v>1.35</v>
      </c>
      <c r="H1237">
        <v>3.29</v>
      </c>
      <c r="I1237">
        <v>3.0992000000000002</v>
      </c>
      <c r="J1237">
        <v>182</v>
      </c>
      <c r="K1237" t="s">
        <v>152</v>
      </c>
      <c r="L1237" t="s">
        <v>153</v>
      </c>
      <c r="M1237">
        <v>3</v>
      </c>
      <c r="N1237" s="1">
        <v>48.058700000000002</v>
      </c>
      <c r="O1237">
        <v>4.25</v>
      </c>
      <c r="P1237" s="13">
        <v>1.7424999999999999</v>
      </c>
      <c r="Q1237" t="s">
        <v>154</v>
      </c>
      <c r="R1237">
        <v>160</v>
      </c>
      <c r="S1237">
        <v>40</v>
      </c>
      <c r="T1237" t="s">
        <v>164</v>
      </c>
      <c r="U1237" t="s">
        <v>164</v>
      </c>
      <c r="V1237" s="7">
        <v>0.77287302100406985</v>
      </c>
      <c r="W1237">
        <v>121.845</v>
      </c>
      <c r="X1237">
        <v>0.21199999999999999</v>
      </c>
      <c r="Y1237">
        <v>3.82</v>
      </c>
      <c r="AA1237">
        <v>7</v>
      </c>
      <c r="AB1237">
        <v>25</v>
      </c>
      <c r="AC1237" s="17">
        <v>1</v>
      </c>
      <c r="AD1237">
        <v>1.6</v>
      </c>
      <c r="AE1237">
        <v>60</v>
      </c>
      <c r="AF1237" s="11">
        <v>0.88</v>
      </c>
    </row>
    <row r="1238" spans="1:32" x14ac:dyDescent="0.3">
      <c r="A1238" t="s">
        <v>151</v>
      </c>
      <c r="B1238" t="s">
        <v>14</v>
      </c>
      <c r="C1238">
        <v>-1.3</v>
      </c>
      <c r="D1238">
        <v>444.44</v>
      </c>
      <c r="E1238">
        <v>3.5</v>
      </c>
      <c r="F1238">
        <v>3.6</v>
      </c>
      <c r="G1238">
        <v>1.35</v>
      </c>
      <c r="H1238">
        <v>3.29</v>
      </c>
      <c r="I1238">
        <v>3.0992000000000002</v>
      </c>
      <c r="J1238">
        <v>182</v>
      </c>
      <c r="K1238" t="s">
        <v>152</v>
      </c>
      <c r="L1238" t="s">
        <v>153</v>
      </c>
      <c r="M1238">
        <v>3</v>
      </c>
      <c r="N1238" s="1">
        <v>48.058700000000002</v>
      </c>
      <c r="O1238">
        <v>4.25</v>
      </c>
      <c r="P1238" s="13">
        <v>1.7424999999999999</v>
      </c>
      <c r="Q1238" t="s">
        <v>154</v>
      </c>
      <c r="R1238">
        <v>160</v>
      </c>
      <c r="S1238">
        <v>40</v>
      </c>
      <c r="T1238" t="s">
        <v>164</v>
      </c>
      <c r="U1238" t="s">
        <v>164</v>
      </c>
      <c r="V1238" s="7">
        <v>0.77287302100406985</v>
      </c>
      <c r="W1238">
        <v>121.845</v>
      </c>
      <c r="X1238">
        <v>0.21199999999999999</v>
      </c>
      <c r="Y1238">
        <v>3.82</v>
      </c>
      <c r="AA1238">
        <v>9</v>
      </c>
      <c r="AB1238">
        <v>25</v>
      </c>
      <c r="AC1238" s="17">
        <v>1</v>
      </c>
      <c r="AD1238">
        <v>1.6</v>
      </c>
      <c r="AE1238">
        <v>60</v>
      </c>
      <c r="AF1238" s="11">
        <v>0.98</v>
      </c>
    </row>
    <row r="1239" spans="1:32" x14ac:dyDescent="0.3">
      <c r="A1239" t="s">
        <v>151</v>
      </c>
      <c r="B1239" t="s">
        <v>14</v>
      </c>
      <c r="C1239">
        <v>-1.3</v>
      </c>
      <c r="D1239">
        <v>444.44</v>
      </c>
      <c r="E1239">
        <v>3.5</v>
      </c>
      <c r="F1239">
        <v>3.6</v>
      </c>
      <c r="G1239">
        <v>1.35</v>
      </c>
      <c r="H1239">
        <v>3.29</v>
      </c>
      <c r="I1239">
        <v>3.0992000000000002</v>
      </c>
      <c r="J1239">
        <v>182</v>
      </c>
      <c r="K1239" t="s">
        <v>152</v>
      </c>
      <c r="L1239" t="s">
        <v>153</v>
      </c>
      <c r="M1239">
        <v>3</v>
      </c>
      <c r="N1239" s="1">
        <v>48.058700000000002</v>
      </c>
      <c r="O1239">
        <v>4.25</v>
      </c>
      <c r="P1239" s="13">
        <v>1.7424999999999999</v>
      </c>
      <c r="Q1239" t="s">
        <v>154</v>
      </c>
      <c r="R1239">
        <v>160</v>
      </c>
      <c r="S1239">
        <v>40</v>
      </c>
      <c r="T1239" t="s">
        <v>164</v>
      </c>
      <c r="U1239" t="s">
        <v>164</v>
      </c>
      <c r="V1239" s="7">
        <v>0.77287302100406985</v>
      </c>
      <c r="W1239">
        <v>121.845</v>
      </c>
      <c r="X1239">
        <v>0.21199999999999999</v>
      </c>
      <c r="Y1239">
        <v>3.82</v>
      </c>
      <c r="AA1239">
        <v>11</v>
      </c>
      <c r="AB1239">
        <v>25</v>
      </c>
      <c r="AC1239" s="17">
        <v>1</v>
      </c>
      <c r="AD1239">
        <v>1.6</v>
      </c>
      <c r="AE1239">
        <v>60</v>
      </c>
      <c r="AF1239" s="11">
        <v>0.79</v>
      </c>
    </row>
    <row r="1240" spans="1:32" x14ac:dyDescent="0.3">
      <c r="A1240" t="s">
        <v>151</v>
      </c>
      <c r="B1240" t="s">
        <v>14</v>
      </c>
      <c r="C1240">
        <v>-1.3</v>
      </c>
      <c r="D1240">
        <v>444.44</v>
      </c>
      <c r="E1240">
        <v>3.5</v>
      </c>
      <c r="F1240">
        <v>3.6</v>
      </c>
      <c r="G1240">
        <v>1.35</v>
      </c>
      <c r="H1240">
        <v>3.29</v>
      </c>
      <c r="I1240">
        <v>3.0992000000000002</v>
      </c>
      <c r="J1240">
        <v>182</v>
      </c>
      <c r="K1240" t="s">
        <v>152</v>
      </c>
      <c r="L1240" t="s">
        <v>153</v>
      </c>
      <c r="M1240">
        <v>3</v>
      </c>
      <c r="N1240" s="1">
        <v>48.058700000000002</v>
      </c>
      <c r="O1240">
        <v>4.25</v>
      </c>
      <c r="P1240" s="13">
        <v>1.7424999999999999</v>
      </c>
      <c r="Q1240" t="s">
        <v>154</v>
      </c>
      <c r="R1240">
        <v>160</v>
      </c>
      <c r="S1240">
        <v>40</v>
      </c>
      <c r="T1240" t="s">
        <v>164</v>
      </c>
      <c r="U1240" t="s">
        <v>164</v>
      </c>
      <c r="V1240" s="7">
        <v>0.77287302100406985</v>
      </c>
      <c r="W1240">
        <v>121.845</v>
      </c>
      <c r="X1240">
        <v>0.21199999999999999</v>
      </c>
      <c r="Y1240">
        <v>3.82</v>
      </c>
      <c r="AA1240">
        <v>9</v>
      </c>
      <c r="AB1240">
        <v>25</v>
      </c>
      <c r="AC1240" s="17">
        <v>1</v>
      </c>
      <c r="AD1240">
        <v>0.2</v>
      </c>
      <c r="AE1240">
        <v>60</v>
      </c>
      <c r="AF1240" s="11">
        <v>0.12</v>
      </c>
    </row>
    <row r="1241" spans="1:32" x14ac:dyDescent="0.3">
      <c r="A1241" t="s">
        <v>151</v>
      </c>
      <c r="B1241" t="s">
        <v>14</v>
      </c>
      <c r="C1241">
        <v>-1.3</v>
      </c>
      <c r="D1241">
        <v>444.44</v>
      </c>
      <c r="E1241">
        <v>3.5</v>
      </c>
      <c r="F1241">
        <v>3.6</v>
      </c>
      <c r="G1241">
        <v>1.35</v>
      </c>
      <c r="H1241">
        <v>3.29</v>
      </c>
      <c r="I1241">
        <v>3.0992000000000002</v>
      </c>
      <c r="J1241">
        <v>182</v>
      </c>
      <c r="K1241" t="s">
        <v>152</v>
      </c>
      <c r="L1241" t="s">
        <v>153</v>
      </c>
      <c r="M1241">
        <v>3</v>
      </c>
      <c r="N1241" s="1">
        <v>48.058700000000002</v>
      </c>
      <c r="O1241">
        <v>4.25</v>
      </c>
      <c r="P1241" s="13">
        <v>1.7424999999999999</v>
      </c>
      <c r="Q1241" t="s">
        <v>154</v>
      </c>
      <c r="R1241">
        <v>160</v>
      </c>
      <c r="S1241">
        <v>40</v>
      </c>
      <c r="T1241" t="s">
        <v>164</v>
      </c>
      <c r="U1241" t="s">
        <v>164</v>
      </c>
      <c r="V1241" s="7">
        <v>0.77287302100406985</v>
      </c>
      <c r="W1241">
        <v>121.845</v>
      </c>
      <c r="X1241">
        <v>0.21199999999999999</v>
      </c>
      <c r="Y1241">
        <v>3.82</v>
      </c>
      <c r="AA1241">
        <v>9</v>
      </c>
      <c r="AB1241">
        <v>25</v>
      </c>
      <c r="AC1241" s="17">
        <v>1</v>
      </c>
      <c r="AD1241">
        <v>0.4</v>
      </c>
      <c r="AE1241">
        <v>60</v>
      </c>
      <c r="AF1241" s="11">
        <v>0.34</v>
      </c>
    </row>
    <row r="1242" spans="1:32" x14ac:dyDescent="0.3">
      <c r="A1242" t="s">
        <v>151</v>
      </c>
      <c r="B1242" t="s">
        <v>14</v>
      </c>
      <c r="C1242">
        <v>-1.3</v>
      </c>
      <c r="D1242">
        <v>444.44</v>
      </c>
      <c r="E1242">
        <v>3.5</v>
      </c>
      <c r="F1242">
        <v>3.6</v>
      </c>
      <c r="G1242">
        <v>1.35</v>
      </c>
      <c r="H1242">
        <v>3.29</v>
      </c>
      <c r="I1242">
        <v>3.0992000000000002</v>
      </c>
      <c r="J1242">
        <v>182</v>
      </c>
      <c r="K1242" t="s">
        <v>152</v>
      </c>
      <c r="L1242" t="s">
        <v>153</v>
      </c>
      <c r="M1242">
        <v>3</v>
      </c>
      <c r="N1242" s="1">
        <v>48.058700000000002</v>
      </c>
      <c r="O1242">
        <v>4.25</v>
      </c>
      <c r="P1242" s="13">
        <v>1.7424999999999999</v>
      </c>
      <c r="Q1242" t="s">
        <v>154</v>
      </c>
      <c r="R1242">
        <v>160</v>
      </c>
      <c r="S1242">
        <v>40</v>
      </c>
      <c r="T1242" t="s">
        <v>164</v>
      </c>
      <c r="U1242" t="s">
        <v>164</v>
      </c>
      <c r="V1242" s="7">
        <v>0.77287302100406985</v>
      </c>
      <c r="W1242">
        <v>121.845</v>
      </c>
      <c r="X1242">
        <v>0.21199999999999999</v>
      </c>
      <c r="Y1242">
        <v>3.82</v>
      </c>
      <c r="AA1242">
        <v>9</v>
      </c>
      <c r="AB1242">
        <v>25</v>
      </c>
      <c r="AC1242" s="17">
        <v>1</v>
      </c>
      <c r="AD1242">
        <v>0.8</v>
      </c>
      <c r="AE1242">
        <v>60</v>
      </c>
      <c r="AF1242" s="11">
        <v>0.52</v>
      </c>
    </row>
    <row r="1243" spans="1:32" x14ac:dyDescent="0.3">
      <c r="A1243" t="s">
        <v>151</v>
      </c>
      <c r="B1243" t="s">
        <v>14</v>
      </c>
      <c r="C1243">
        <v>-1.3</v>
      </c>
      <c r="D1243">
        <v>444.44</v>
      </c>
      <c r="E1243">
        <v>3.5</v>
      </c>
      <c r="F1243">
        <v>3.6</v>
      </c>
      <c r="G1243">
        <v>1.35</v>
      </c>
      <c r="H1243">
        <v>3.29</v>
      </c>
      <c r="I1243">
        <v>3.0992000000000002</v>
      </c>
      <c r="J1243">
        <v>182</v>
      </c>
      <c r="K1243" t="s">
        <v>152</v>
      </c>
      <c r="L1243" t="s">
        <v>153</v>
      </c>
      <c r="M1243">
        <v>3</v>
      </c>
      <c r="N1243" s="1">
        <v>48.058700000000002</v>
      </c>
      <c r="O1243">
        <v>4.25</v>
      </c>
      <c r="P1243" s="13">
        <v>1.7424999999999999</v>
      </c>
      <c r="Q1243" t="s">
        <v>154</v>
      </c>
      <c r="R1243">
        <v>160</v>
      </c>
      <c r="S1243">
        <v>40</v>
      </c>
      <c r="T1243" t="s">
        <v>164</v>
      </c>
      <c r="U1243" t="s">
        <v>164</v>
      </c>
      <c r="V1243" s="7">
        <v>0.77287302100406985</v>
      </c>
      <c r="W1243">
        <v>121.845</v>
      </c>
      <c r="X1243">
        <v>0.21199999999999999</v>
      </c>
      <c r="Y1243">
        <v>3.82</v>
      </c>
      <c r="AA1243">
        <v>9</v>
      </c>
      <c r="AB1243">
        <v>25</v>
      </c>
      <c r="AC1243" s="17">
        <v>1</v>
      </c>
      <c r="AD1243">
        <v>1</v>
      </c>
      <c r="AE1243">
        <v>60</v>
      </c>
      <c r="AF1243" s="11">
        <v>0.6</v>
      </c>
    </row>
    <row r="1244" spans="1:32" x14ac:dyDescent="0.3">
      <c r="A1244" t="s">
        <v>151</v>
      </c>
      <c r="B1244" t="s">
        <v>14</v>
      </c>
      <c r="C1244">
        <v>-1.3</v>
      </c>
      <c r="D1244">
        <v>444.44</v>
      </c>
      <c r="E1244">
        <v>3.5</v>
      </c>
      <c r="F1244">
        <v>3.6</v>
      </c>
      <c r="G1244">
        <v>1.35</v>
      </c>
      <c r="H1244">
        <v>3.29</v>
      </c>
      <c r="I1244">
        <v>3.0992000000000002</v>
      </c>
      <c r="J1244">
        <v>182</v>
      </c>
      <c r="K1244" t="s">
        <v>152</v>
      </c>
      <c r="L1244" t="s">
        <v>153</v>
      </c>
      <c r="M1244">
        <v>3</v>
      </c>
      <c r="N1244" s="1">
        <v>48.058700000000002</v>
      </c>
      <c r="O1244">
        <v>4.25</v>
      </c>
      <c r="P1244" s="13">
        <v>1.7424999999999999</v>
      </c>
      <c r="Q1244" t="s">
        <v>154</v>
      </c>
      <c r="R1244">
        <v>160</v>
      </c>
      <c r="S1244">
        <v>40</v>
      </c>
      <c r="T1244" t="s">
        <v>164</v>
      </c>
      <c r="U1244" t="s">
        <v>164</v>
      </c>
      <c r="V1244" s="7">
        <v>0.77287302100406985</v>
      </c>
      <c r="W1244">
        <v>121.845</v>
      </c>
      <c r="X1244">
        <v>0.21199999999999999</v>
      </c>
      <c r="Y1244">
        <v>3.82</v>
      </c>
      <c r="AA1244">
        <v>9</v>
      </c>
      <c r="AB1244">
        <v>25</v>
      </c>
      <c r="AC1244" s="17">
        <v>1</v>
      </c>
      <c r="AD1244">
        <v>1.2</v>
      </c>
      <c r="AE1244">
        <v>60</v>
      </c>
      <c r="AF1244" s="11">
        <v>0.88</v>
      </c>
    </row>
    <row r="1245" spans="1:32" x14ac:dyDescent="0.3">
      <c r="A1245" t="s">
        <v>151</v>
      </c>
      <c r="B1245" t="s">
        <v>14</v>
      </c>
      <c r="C1245">
        <v>-1.3</v>
      </c>
      <c r="D1245">
        <v>444.44</v>
      </c>
      <c r="E1245">
        <v>3.5</v>
      </c>
      <c r="F1245">
        <v>3.6</v>
      </c>
      <c r="G1245">
        <v>1.35</v>
      </c>
      <c r="H1245">
        <v>3.29</v>
      </c>
      <c r="I1245">
        <v>3.0992000000000002</v>
      </c>
      <c r="J1245">
        <v>182</v>
      </c>
      <c r="K1245" t="s">
        <v>152</v>
      </c>
      <c r="L1245" t="s">
        <v>153</v>
      </c>
      <c r="M1245">
        <v>3</v>
      </c>
      <c r="N1245" s="1">
        <v>48.058700000000002</v>
      </c>
      <c r="O1245">
        <v>4.25</v>
      </c>
      <c r="P1245" s="13">
        <v>1.7424999999999999</v>
      </c>
      <c r="Q1245" t="s">
        <v>154</v>
      </c>
      <c r="R1245">
        <v>160</v>
      </c>
      <c r="S1245">
        <v>40</v>
      </c>
      <c r="T1245" t="s">
        <v>164</v>
      </c>
      <c r="U1245" t="s">
        <v>164</v>
      </c>
      <c r="V1245" s="7">
        <v>0.77287302100406985</v>
      </c>
      <c r="W1245">
        <v>121.845</v>
      </c>
      <c r="X1245">
        <v>0.21199999999999999</v>
      </c>
      <c r="Y1245">
        <v>3.82</v>
      </c>
      <c r="AA1245">
        <v>9</v>
      </c>
      <c r="AB1245">
        <v>25</v>
      </c>
      <c r="AC1245" s="17">
        <v>1</v>
      </c>
      <c r="AD1245">
        <v>1.4</v>
      </c>
      <c r="AE1245">
        <v>60</v>
      </c>
      <c r="AF1245" s="11">
        <v>0.94</v>
      </c>
    </row>
    <row r="1246" spans="1:32" x14ac:dyDescent="0.3">
      <c r="A1246" t="s">
        <v>151</v>
      </c>
      <c r="B1246" t="s">
        <v>14</v>
      </c>
      <c r="C1246">
        <v>-1.3</v>
      </c>
      <c r="D1246">
        <v>444.44</v>
      </c>
      <c r="E1246">
        <v>3.5</v>
      </c>
      <c r="F1246">
        <v>3.6</v>
      </c>
      <c r="G1246">
        <v>1.35</v>
      </c>
      <c r="H1246">
        <v>3.29</v>
      </c>
      <c r="I1246">
        <v>3.0992000000000002</v>
      </c>
      <c r="J1246">
        <v>182</v>
      </c>
      <c r="K1246" t="s">
        <v>152</v>
      </c>
      <c r="L1246" t="s">
        <v>153</v>
      </c>
      <c r="M1246">
        <v>3</v>
      </c>
      <c r="N1246" s="1">
        <v>48.058700000000002</v>
      </c>
      <c r="O1246">
        <v>4.25</v>
      </c>
      <c r="P1246" s="13">
        <v>1.7424999999999999</v>
      </c>
      <c r="Q1246" t="s">
        <v>154</v>
      </c>
      <c r="R1246">
        <v>160</v>
      </c>
      <c r="S1246">
        <v>40</v>
      </c>
      <c r="T1246" t="s">
        <v>164</v>
      </c>
      <c r="U1246" t="s">
        <v>164</v>
      </c>
      <c r="V1246" s="7">
        <v>0.77287302100406985</v>
      </c>
      <c r="W1246">
        <v>121.845</v>
      </c>
      <c r="X1246">
        <v>0.21199999999999999</v>
      </c>
      <c r="Y1246">
        <v>3.82</v>
      </c>
      <c r="AA1246">
        <v>9</v>
      </c>
      <c r="AB1246">
        <v>25</v>
      </c>
      <c r="AC1246" s="17">
        <v>1</v>
      </c>
      <c r="AD1246">
        <v>1.6</v>
      </c>
      <c r="AE1246">
        <v>60</v>
      </c>
      <c r="AF1246" s="11">
        <v>0.96</v>
      </c>
    </row>
    <row r="1247" spans="1:32" x14ac:dyDescent="0.3">
      <c r="A1247" t="s">
        <v>151</v>
      </c>
      <c r="B1247" t="s">
        <v>14</v>
      </c>
      <c r="C1247">
        <v>-1.3</v>
      </c>
      <c r="D1247">
        <v>444.44</v>
      </c>
      <c r="E1247">
        <v>3.5</v>
      </c>
      <c r="F1247">
        <v>3.6</v>
      </c>
      <c r="G1247">
        <v>1.35</v>
      </c>
      <c r="H1247">
        <v>3.29</v>
      </c>
      <c r="I1247">
        <v>3.0992000000000002</v>
      </c>
      <c r="J1247">
        <v>182</v>
      </c>
      <c r="K1247" t="s">
        <v>152</v>
      </c>
      <c r="L1247" t="s">
        <v>153</v>
      </c>
      <c r="M1247">
        <v>3</v>
      </c>
      <c r="N1247" s="1">
        <v>48.058700000000002</v>
      </c>
      <c r="O1247">
        <v>4.25</v>
      </c>
      <c r="P1247" s="13">
        <v>1.7424999999999999</v>
      </c>
      <c r="Q1247" t="s">
        <v>154</v>
      </c>
      <c r="R1247">
        <v>160</v>
      </c>
      <c r="S1247">
        <v>40</v>
      </c>
      <c r="T1247" t="s">
        <v>164</v>
      </c>
      <c r="U1247" t="s">
        <v>164</v>
      </c>
      <c r="V1247" s="7">
        <v>0.77287302100406985</v>
      </c>
      <c r="W1247">
        <v>121.845</v>
      </c>
      <c r="X1247">
        <v>0.21199999999999999</v>
      </c>
      <c r="Y1247">
        <v>3.82</v>
      </c>
      <c r="AA1247">
        <v>9</v>
      </c>
      <c r="AB1247">
        <v>25</v>
      </c>
      <c r="AC1247" s="17">
        <v>1</v>
      </c>
      <c r="AD1247">
        <v>1.8</v>
      </c>
      <c r="AE1247">
        <v>60</v>
      </c>
      <c r="AF1247" s="11">
        <v>0.96</v>
      </c>
    </row>
    <row r="1248" spans="1:32" x14ac:dyDescent="0.3">
      <c r="A1248" t="s">
        <v>151</v>
      </c>
      <c r="B1248" t="s">
        <v>14</v>
      </c>
      <c r="C1248">
        <v>-1.3</v>
      </c>
      <c r="D1248">
        <v>444.44</v>
      </c>
      <c r="E1248">
        <v>3.5</v>
      </c>
      <c r="F1248">
        <v>3.6</v>
      </c>
      <c r="G1248">
        <v>1.35</v>
      </c>
      <c r="H1248">
        <v>3.29</v>
      </c>
      <c r="I1248">
        <v>3.0992000000000002</v>
      </c>
      <c r="J1248">
        <v>182</v>
      </c>
      <c r="K1248" t="s">
        <v>152</v>
      </c>
      <c r="L1248" t="s">
        <v>153</v>
      </c>
      <c r="M1248">
        <v>3</v>
      </c>
      <c r="N1248" s="1">
        <v>48.058700000000002</v>
      </c>
      <c r="O1248">
        <v>4.25</v>
      </c>
      <c r="P1248" s="13">
        <v>1.7424999999999999</v>
      </c>
      <c r="Q1248" t="s">
        <v>154</v>
      </c>
      <c r="R1248">
        <v>160</v>
      </c>
      <c r="S1248">
        <v>40</v>
      </c>
      <c r="T1248" t="s">
        <v>164</v>
      </c>
      <c r="U1248" t="s">
        <v>164</v>
      </c>
      <c r="V1248" s="7">
        <v>0.77287302100406985</v>
      </c>
      <c r="W1248">
        <v>121.845</v>
      </c>
      <c r="X1248">
        <v>0.21199999999999999</v>
      </c>
      <c r="Y1248">
        <v>3.82</v>
      </c>
      <c r="AA1248">
        <v>9</v>
      </c>
      <c r="AB1248">
        <v>25</v>
      </c>
      <c r="AC1248" s="17">
        <v>1</v>
      </c>
      <c r="AD1248">
        <v>2</v>
      </c>
      <c r="AE1248">
        <v>60</v>
      </c>
      <c r="AF1248" s="11">
        <v>0.96</v>
      </c>
    </row>
    <row r="1249" spans="1:32" x14ac:dyDescent="0.3">
      <c r="A1249" t="s">
        <v>151</v>
      </c>
      <c r="B1249" t="s">
        <v>14</v>
      </c>
      <c r="C1249">
        <v>-1.3</v>
      </c>
      <c r="D1249">
        <v>444.44</v>
      </c>
      <c r="E1249">
        <v>3.5</v>
      </c>
      <c r="F1249">
        <v>3.6</v>
      </c>
      <c r="G1249">
        <v>1.35</v>
      </c>
      <c r="H1249">
        <v>3.29</v>
      </c>
      <c r="I1249">
        <v>3.0992000000000002</v>
      </c>
      <c r="J1249">
        <v>182</v>
      </c>
      <c r="K1249" t="s">
        <v>152</v>
      </c>
      <c r="L1249" t="s">
        <v>153</v>
      </c>
      <c r="M1249">
        <v>3</v>
      </c>
      <c r="N1249" s="1">
        <v>48.058700000000002</v>
      </c>
      <c r="O1249">
        <v>4.25</v>
      </c>
      <c r="P1249" s="13">
        <v>1.7424999999999999</v>
      </c>
      <c r="Q1249" t="s">
        <v>154</v>
      </c>
      <c r="R1249">
        <v>160</v>
      </c>
      <c r="S1249">
        <v>40</v>
      </c>
      <c r="T1249" t="s">
        <v>164</v>
      </c>
      <c r="U1249" t="s">
        <v>164</v>
      </c>
      <c r="V1249" s="7">
        <v>0.77287302100406985</v>
      </c>
      <c r="W1249">
        <v>121.845</v>
      </c>
      <c r="X1249">
        <v>0.21199999999999999</v>
      </c>
      <c r="Y1249">
        <v>3.82</v>
      </c>
      <c r="AA1249">
        <v>9</v>
      </c>
      <c r="AB1249">
        <v>25</v>
      </c>
      <c r="AC1249" s="17">
        <v>3.3000000000000002E-2</v>
      </c>
      <c r="AD1249">
        <v>1.6</v>
      </c>
      <c r="AE1249">
        <v>60</v>
      </c>
      <c r="AF1249" s="11">
        <v>0.6</v>
      </c>
    </row>
    <row r="1250" spans="1:32" x14ac:dyDescent="0.3">
      <c r="A1250" t="s">
        <v>151</v>
      </c>
      <c r="B1250" t="s">
        <v>14</v>
      </c>
      <c r="C1250">
        <v>-1.3</v>
      </c>
      <c r="D1250">
        <v>444.44</v>
      </c>
      <c r="E1250">
        <v>3.5</v>
      </c>
      <c r="F1250">
        <v>3.6</v>
      </c>
      <c r="G1250">
        <v>1.35</v>
      </c>
      <c r="H1250">
        <v>3.29</v>
      </c>
      <c r="I1250">
        <v>3.0992000000000002</v>
      </c>
      <c r="J1250">
        <v>182</v>
      </c>
      <c r="K1250" t="s">
        <v>152</v>
      </c>
      <c r="L1250" t="s">
        <v>153</v>
      </c>
      <c r="M1250">
        <v>3</v>
      </c>
      <c r="N1250" s="1">
        <v>48.058700000000002</v>
      </c>
      <c r="O1250">
        <v>4.25</v>
      </c>
      <c r="P1250" s="13">
        <v>1.7424999999999999</v>
      </c>
      <c r="Q1250" t="s">
        <v>154</v>
      </c>
      <c r="R1250">
        <v>160</v>
      </c>
      <c r="S1250">
        <v>40</v>
      </c>
      <c r="T1250" t="s">
        <v>164</v>
      </c>
      <c r="U1250" t="s">
        <v>164</v>
      </c>
      <c r="V1250" s="7">
        <v>0.77287302100406985</v>
      </c>
      <c r="W1250">
        <v>121.845</v>
      </c>
      <c r="X1250">
        <v>0.21199999999999999</v>
      </c>
      <c r="Y1250">
        <v>3.82</v>
      </c>
      <c r="AA1250">
        <v>9</v>
      </c>
      <c r="AB1250">
        <v>25</v>
      </c>
      <c r="AC1250" s="17">
        <v>6.7000000000000004E-2</v>
      </c>
      <c r="AD1250">
        <v>1.6</v>
      </c>
      <c r="AE1250">
        <v>60</v>
      </c>
      <c r="AF1250" s="11">
        <v>0.95</v>
      </c>
    </row>
    <row r="1251" spans="1:32" x14ac:dyDescent="0.3">
      <c r="A1251" t="s">
        <v>151</v>
      </c>
      <c r="B1251" t="s">
        <v>14</v>
      </c>
      <c r="C1251">
        <v>-1.3</v>
      </c>
      <c r="D1251">
        <v>444.44</v>
      </c>
      <c r="E1251">
        <v>3.5</v>
      </c>
      <c r="F1251">
        <v>3.6</v>
      </c>
      <c r="G1251">
        <v>1.35</v>
      </c>
      <c r="H1251">
        <v>3.29</v>
      </c>
      <c r="I1251">
        <v>3.0992000000000002</v>
      </c>
      <c r="J1251">
        <v>182</v>
      </c>
      <c r="K1251" t="s">
        <v>152</v>
      </c>
      <c r="L1251" t="s">
        <v>153</v>
      </c>
      <c r="M1251">
        <v>3</v>
      </c>
      <c r="N1251" s="1">
        <v>48.058700000000002</v>
      </c>
      <c r="O1251">
        <v>4.25</v>
      </c>
      <c r="P1251" s="13">
        <v>1.7424999999999999</v>
      </c>
      <c r="Q1251" t="s">
        <v>154</v>
      </c>
      <c r="R1251">
        <v>160</v>
      </c>
      <c r="S1251">
        <v>40</v>
      </c>
      <c r="T1251" t="s">
        <v>164</v>
      </c>
      <c r="U1251" t="s">
        <v>164</v>
      </c>
      <c r="V1251" s="7">
        <v>0.77287302100406985</v>
      </c>
      <c r="W1251">
        <v>121.845</v>
      </c>
      <c r="X1251">
        <v>0.21199999999999999</v>
      </c>
      <c r="Y1251">
        <v>3.82</v>
      </c>
      <c r="AA1251">
        <v>9</v>
      </c>
      <c r="AB1251">
        <v>25</v>
      </c>
      <c r="AC1251" s="17">
        <v>0.1</v>
      </c>
      <c r="AD1251">
        <v>1.6</v>
      </c>
      <c r="AE1251">
        <v>60</v>
      </c>
      <c r="AF1251" s="11">
        <v>0.97</v>
      </c>
    </row>
    <row r="1252" spans="1:32" x14ac:dyDescent="0.3">
      <c r="A1252" t="s">
        <v>151</v>
      </c>
      <c r="B1252" t="s">
        <v>14</v>
      </c>
      <c r="C1252">
        <v>-1.3</v>
      </c>
      <c r="D1252">
        <v>444.44</v>
      </c>
      <c r="E1252">
        <v>3.5</v>
      </c>
      <c r="F1252">
        <v>3.6</v>
      </c>
      <c r="G1252">
        <v>1.35</v>
      </c>
      <c r="H1252">
        <v>3.29</v>
      </c>
      <c r="I1252">
        <v>3.0992000000000002</v>
      </c>
      <c r="J1252">
        <v>182</v>
      </c>
      <c r="K1252" t="s">
        <v>152</v>
      </c>
      <c r="L1252" t="s">
        <v>153</v>
      </c>
      <c r="M1252">
        <v>3</v>
      </c>
      <c r="N1252" s="1">
        <v>48.058700000000002</v>
      </c>
      <c r="O1252">
        <v>4.25</v>
      </c>
      <c r="P1252" s="13">
        <v>1.7424999999999999</v>
      </c>
      <c r="Q1252" t="s">
        <v>154</v>
      </c>
      <c r="R1252">
        <v>160</v>
      </c>
      <c r="S1252">
        <v>40</v>
      </c>
      <c r="T1252" t="s">
        <v>164</v>
      </c>
      <c r="U1252" t="s">
        <v>164</v>
      </c>
      <c r="V1252" s="7">
        <v>0.77287302100406985</v>
      </c>
      <c r="W1252">
        <v>121.845</v>
      </c>
      <c r="X1252">
        <v>0.21199999999999999</v>
      </c>
      <c r="Y1252">
        <v>3.82</v>
      </c>
      <c r="AA1252">
        <v>9</v>
      </c>
      <c r="AB1252">
        <v>25</v>
      </c>
      <c r="AC1252" s="17">
        <v>0.16700000000000001</v>
      </c>
      <c r="AD1252">
        <v>1.6</v>
      </c>
      <c r="AE1252">
        <v>60</v>
      </c>
      <c r="AF1252" s="11">
        <v>0.98</v>
      </c>
    </row>
    <row r="1253" spans="1:32" x14ac:dyDescent="0.3">
      <c r="A1253" t="s">
        <v>151</v>
      </c>
      <c r="B1253" t="s">
        <v>14</v>
      </c>
      <c r="C1253">
        <v>-1.3</v>
      </c>
      <c r="D1253">
        <v>444.44</v>
      </c>
      <c r="E1253">
        <v>3.5</v>
      </c>
      <c r="F1253">
        <v>3.6</v>
      </c>
      <c r="G1253">
        <v>1.35</v>
      </c>
      <c r="H1253">
        <v>3.29</v>
      </c>
      <c r="I1253">
        <v>3.0992000000000002</v>
      </c>
      <c r="J1253">
        <v>182</v>
      </c>
      <c r="K1253" t="s">
        <v>152</v>
      </c>
      <c r="L1253" t="s">
        <v>153</v>
      </c>
      <c r="M1253">
        <v>3</v>
      </c>
      <c r="N1253" s="1">
        <v>48.058700000000002</v>
      </c>
      <c r="O1253">
        <v>4.25</v>
      </c>
      <c r="P1253" s="13">
        <v>1.7424999999999999</v>
      </c>
      <c r="Q1253" t="s">
        <v>154</v>
      </c>
      <c r="R1253">
        <v>160</v>
      </c>
      <c r="S1253">
        <v>40</v>
      </c>
      <c r="T1253" t="s">
        <v>164</v>
      </c>
      <c r="U1253" t="s">
        <v>164</v>
      </c>
      <c r="V1253" s="7">
        <v>0.77287302100406985</v>
      </c>
      <c r="W1253">
        <v>121.845</v>
      </c>
      <c r="X1253">
        <v>0.21199999999999999</v>
      </c>
      <c r="Y1253">
        <v>3.82</v>
      </c>
      <c r="AA1253">
        <v>9</v>
      </c>
      <c r="AB1253">
        <v>25</v>
      </c>
      <c r="AC1253" s="17">
        <v>0.33300000000000002</v>
      </c>
      <c r="AD1253">
        <v>1.6</v>
      </c>
      <c r="AE1253">
        <v>60</v>
      </c>
      <c r="AF1253" s="11">
        <v>0.98</v>
      </c>
    </row>
    <row r="1254" spans="1:32" x14ac:dyDescent="0.3">
      <c r="A1254" t="s">
        <v>151</v>
      </c>
      <c r="B1254" t="s">
        <v>14</v>
      </c>
      <c r="C1254">
        <v>-1.3</v>
      </c>
      <c r="D1254">
        <v>444.44</v>
      </c>
      <c r="E1254">
        <v>3.5</v>
      </c>
      <c r="F1254">
        <v>3.6</v>
      </c>
      <c r="G1254">
        <v>1.35</v>
      </c>
      <c r="H1254">
        <v>3.29</v>
      </c>
      <c r="I1254">
        <v>3.0992000000000002</v>
      </c>
      <c r="J1254">
        <v>182</v>
      </c>
      <c r="K1254" t="s">
        <v>152</v>
      </c>
      <c r="L1254" t="s">
        <v>153</v>
      </c>
      <c r="M1254">
        <v>3</v>
      </c>
      <c r="N1254" s="1">
        <v>48.058700000000002</v>
      </c>
      <c r="O1254">
        <v>4.25</v>
      </c>
      <c r="P1254" s="13">
        <v>1.7424999999999999</v>
      </c>
      <c r="Q1254" t="s">
        <v>154</v>
      </c>
      <c r="R1254">
        <v>160</v>
      </c>
      <c r="S1254">
        <v>40</v>
      </c>
      <c r="T1254" t="s">
        <v>164</v>
      </c>
      <c r="U1254" t="s">
        <v>164</v>
      </c>
      <c r="V1254" s="7">
        <v>0.77287302100406985</v>
      </c>
      <c r="W1254">
        <v>121.845</v>
      </c>
      <c r="X1254">
        <v>0.21199999999999999</v>
      </c>
      <c r="Y1254">
        <v>3.82</v>
      </c>
      <c r="AA1254">
        <v>9</v>
      </c>
      <c r="AB1254">
        <v>25</v>
      </c>
      <c r="AC1254" s="17">
        <v>0.66700000000000004</v>
      </c>
      <c r="AD1254">
        <v>1.6</v>
      </c>
      <c r="AE1254">
        <v>60</v>
      </c>
      <c r="AF1254" s="11">
        <v>0.98</v>
      </c>
    </row>
    <row r="1255" spans="1:32" x14ac:dyDescent="0.3">
      <c r="A1255" t="s">
        <v>151</v>
      </c>
      <c r="B1255" t="s">
        <v>14</v>
      </c>
      <c r="C1255">
        <v>-1.3</v>
      </c>
      <c r="D1255">
        <v>444.44</v>
      </c>
      <c r="E1255">
        <v>3.5</v>
      </c>
      <c r="F1255">
        <v>3.6</v>
      </c>
      <c r="G1255">
        <v>1.35</v>
      </c>
      <c r="H1255">
        <v>3.29</v>
      </c>
      <c r="I1255">
        <v>3.0992000000000002</v>
      </c>
      <c r="J1255">
        <v>182</v>
      </c>
      <c r="K1255" t="s">
        <v>152</v>
      </c>
      <c r="L1255" t="s">
        <v>153</v>
      </c>
      <c r="M1255">
        <v>3</v>
      </c>
      <c r="N1255" s="1">
        <v>48.058700000000002</v>
      </c>
      <c r="O1255">
        <v>4.25</v>
      </c>
      <c r="P1255" s="13">
        <v>1.7424999999999999</v>
      </c>
      <c r="Q1255" t="s">
        <v>154</v>
      </c>
      <c r="R1255">
        <v>160</v>
      </c>
      <c r="S1255">
        <v>40</v>
      </c>
      <c r="T1255" t="s">
        <v>164</v>
      </c>
      <c r="U1255" t="s">
        <v>164</v>
      </c>
      <c r="V1255" s="7">
        <v>0.77287302100406985</v>
      </c>
      <c r="W1255">
        <v>121.845</v>
      </c>
      <c r="X1255">
        <v>0.21199999999999999</v>
      </c>
      <c r="Y1255">
        <v>3.82</v>
      </c>
      <c r="AA1255">
        <v>9</v>
      </c>
      <c r="AB1255">
        <v>25</v>
      </c>
      <c r="AC1255" s="17">
        <v>1</v>
      </c>
      <c r="AD1255">
        <v>1.6</v>
      </c>
      <c r="AE1255">
        <v>60</v>
      </c>
      <c r="AF1255" s="11">
        <v>0.98</v>
      </c>
    </row>
    <row r="1256" spans="1:32" x14ac:dyDescent="0.3">
      <c r="A1256" t="s">
        <v>151</v>
      </c>
      <c r="B1256" t="s">
        <v>14</v>
      </c>
      <c r="C1256">
        <v>-1.3</v>
      </c>
      <c r="D1256">
        <v>444.44</v>
      </c>
      <c r="E1256">
        <v>3.5</v>
      </c>
      <c r="F1256">
        <v>3.6</v>
      </c>
      <c r="G1256">
        <v>1.35</v>
      </c>
      <c r="H1256">
        <v>3.29</v>
      </c>
      <c r="I1256">
        <v>3.0992000000000002</v>
      </c>
      <c r="J1256">
        <v>182</v>
      </c>
      <c r="K1256" t="s">
        <v>152</v>
      </c>
      <c r="L1256" t="s">
        <v>153</v>
      </c>
      <c r="M1256">
        <v>3</v>
      </c>
      <c r="N1256" s="1">
        <v>48.058700000000002</v>
      </c>
      <c r="O1256">
        <v>4.25</v>
      </c>
      <c r="P1256" s="13">
        <v>1.7424999999999999</v>
      </c>
      <c r="Q1256" t="s">
        <v>154</v>
      </c>
      <c r="R1256">
        <v>160</v>
      </c>
      <c r="S1256">
        <v>40</v>
      </c>
      <c r="T1256" t="s">
        <v>164</v>
      </c>
      <c r="U1256" t="s">
        <v>164</v>
      </c>
      <c r="V1256" s="7">
        <v>0.77287302100406985</v>
      </c>
      <c r="W1256">
        <v>121.845</v>
      </c>
      <c r="X1256">
        <v>0.21199999999999999</v>
      </c>
      <c r="Y1256">
        <v>3.82</v>
      </c>
      <c r="AA1256">
        <v>9</v>
      </c>
      <c r="AB1256">
        <v>25</v>
      </c>
      <c r="AC1256" s="17">
        <v>1</v>
      </c>
      <c r="AD1256">
        <v>1.6</v>
      </c>
      <c r="AE1256">
        <v>20</v>
      </c>
      <c r="AF1256" s="11">
        <v>1</v>
      </c>
    </row>
    <row r="1257" spans="1:32" x14ac:dyDescent="0.3">
      <c r="A1257" t="s">
        <v>151</v>
      </c>
      <c r="B1257" t="s">
        <v>14</v>
      </c>
      <c r="C1257">
        <v>-1.3</v>
      </c>
      <c r="D1257">
        <v>444.44</v>
      </c>
      <c r="E1257">
        <v>3.5</v>
      </c>
      <c r="F1257">
        <v>3.6</v>
      </c>
      <c r="G1257">
        <v>1.35</v>
      </c>
      <c r="H1257">
        <v>3.29</v>
      </c>
      <c r="I1257">
        <v>3.0992000000000002</v>
      </c>
      <c r="J1257">
        <v>182</v>
      </c>
      <c r="K1257" t="s">
        <v>152</v>
      </c>
      <c r="L1257" t="s">
        <v>153</v>
      </c>
      <c r="M1257">
        <v>3</v>
      </c>
      <c r="N1257" s="1">
        <v>48.058700000000002</v>
      </c>
      <c r="O1257">
        <v>4.25</v>
      </c>
      <c r="P1257" s="13">
        <v>1.7424999999999999</v>
      </c>
      <c r="Q1257" t="s">
        <v>154</v>
      </c>
      <c r="R1257">
        <v>160</v>
      </c>
      <c r="S1257">
        <v>40</v>
      </c>
      <c r="T1257" t="s">
        <v>164</v>
      </c>
      <c r="U1257" t="s">
        <v>164</v>
      </c>
      <c r="V1257" s="7">
        <v>0.77287302100406985</v>
      </c>
      <c r="W1257">
        <v>121.845</v>
      </c>
      <c r="X1257">
        <v>0.21199999999999999</v>
      </c>
      <c r="Y1257">
        <v>3.82</v>
      </c>
      <c r="AA1257">
        <v>9</v>
      </c>
      <c r="AB1257">
        <v>25</v>
      </c>
      <c r="AC1257" s="17">
        <v>1</v>
      </c>
      <c r="AD1257">
        <v>1.6</v>
      </c>
      <c r="AE1257">
        <v>60</v>
      </c>
      <c r="AF1257" s="11">
        <v>1</v>
      </c>
    </row>
    <row r="1258" spans="1:32" x14ac:dyDescent="0.3">
      <c r="A1258" t="s">
        <v>151</v>
      </c>
      <c r="B1258" t="s">
        <v>14</v>
      </c>
      <c r="C1258">
        <v>-1.3</v>
      </c>
      <c r="D1258">
        <v>444.44</v>
      </c>
      <c r="E1258">
        <v>3.5</v>
      </c>
      <c r="F1258">
        <v>3.6</v>
      </c>
      <c r="G1258">
        <v>1.35</v>
      </c>
      <c r="H1258">
        <v>3.29</v>
      </c>
      <c r="I1258">
        <v>3.0992000000000002</v>
      </c>
      <c r="J1258">
        <v>182</v>
      </c>
      <c r="K1258" t="s">
        <v>152</v>
      </c>
      <c r="L1258" t="s">
        <v>153</v>
      </c>
      <c r="M1258">
        <v>3</v>
      </c>
      <c r="N1258" s="1">
        <v>48.058700000000002</v>
      </c>
      <c r="O1258">
        <v>4.25</v>
      </c>
      <c r="P1258" s="13">
        <v>1.7424999999999999</v>
      </c>
      <c r="Q1258" t="s">
        <v>154</v>
      </c>
      <c r="R1258">
        <v>160</v>
      </c>
      <c r="S1258">
        <v>40</v>
      </c>
      <c r="T1258" t="s">
        <v>164</v>
      </c>
      <c r="U1258" t="s">
        <v>164</v>
      </c>
      <c r="V1258" s="7">
        <v>0.77287302100406985</v>
      </c>
      <c r="W1258">
        <v>121.845</v>
      </c>
      <c r="X1258">
        <v>0.21199999999999999</v>
      </c>
      <c r="Y1258">
        <v>3.82</v>
      </c>
      <c r="AA1258">
        <v>9</v>
      </c>
      <c r="AB1258">
        <v>25</v>
      </c>
      <c r="AC1258" s="17">
        <v>1</v>
      </c>
      <c r="AD1258">
        <v>1.6</v>
      </c>
      <c r="AE1258">
        <v>100</v>
      </c>
      <c r="AF1258" s="11">
        <v>0.97</v>
      </c>
    </row>
    <row r="1259" spans="1:32" x14ac:dyDescent="0.3">
      <c r="A1259" t="s">
        <v>151</v>
      </c>
      <c r="B1259" t="s">
        <v>14</v>
      </c>
      <c r="C1259">
        <v>-1.3</v>
      </c>
      <c r="D1259">
        <v>444.44</v>
      </c>
      <c r="E1259">
        <v>3.5</v>
      </c>
      <c r="F1259">
        <v>3.6</v>
      </c>
      <c r="G1259">
        <v>1.35</v>
      </c>
      <c r="H1259">
        <v>3.29</v>
      </c>
      <c r="I1259">
        <v>3.0992000000000002</v>
      </c>
      <c r="J1259">
        <v>182</v>
      </c>
      <c r="K1259" t="s">
        <v>152</v>
      </c>
      <c r="L1259" t="s">
        <v>153</v>
      </c>
      <c r="M1259">
        <v>3</v>
      </c>
      <c r="N1259" s="1">
        <v>48.058700000000002</v>
      </c>
      <c r="O1259">
        <v>4.25</v>
      </c>
      <c r="P1259" s="13">
        <v>1.7424999999999999</v>
      </c>
      <c r="Q1259" t="s">
        <v>154</v>
      </c>
      <c r="R1259">
        <v>160</v>
      </c>
      <c r="S1259">
        <v>40</v>
      </c>
      <c r="T1259" t="s">
        <v>164</v>
      </c>
      <c r="U1259" t="s">
        <v>164</v>
      </c>
      <c r="V1259" s="7">
        <v>0.77287302100406985</v>
      </c>
      <c r="W1259">
        <v>121.845</v>
      </c>
      <c r="X1259">
        <v>0.21199999999999999</v>
      </c>
      <c r="Y1259">
        <v>3.82</v>
      </c>
      <c r="AA1259">
        <v>9</v>
      </c>
      <c r="AB1259">
        <v>25</v>
      </c>
      <c r="AC1259" s="17">
        <v>1</v>
      </c>
      <c r="AD1259">
        <v>1.6</v>
      </c>
      <c r="AE1259">
        <v>150</v>
      </c>
      <c r="AF1259" s="11">
        <v>0.9</v>
      </c>
    </row>
    <row r="1260" spans="1:32" x14ac:dyDescent="0.3">
      <c r="A1260" t="s">
        <v>151</v>
      </c>
      <c r="B1260" t="s">
        <v>14</v>
      </c>
      <c r="C1260">
        <v>-1.3</v>
      </c>
      <c r="D1260">
        <v>444.44</v>
      </c>
      <c r="E1260">
        <v>3.5</v>
      </c>
      <c r="F1260">
        <v>3.6</v>
      </c>
      <c r="G1260">
        <v>1.35</v>
      </c>
      <c r="H1260">
        <v>3.29</v>
      </c>
      <c r="I1260">
        <v>3.0992000000000002</v>
      </c>
      <c r="J1260">
        <v>182</v>
      </c>
      <c r="K1260" t="s">
        <v>152</v>
      </c>
      <c r="L1260" t="s">
        <v>153</v>
      </c>
      <c r="M1260">
        <v>3</v>
      </c>
      <c r="N1260" s="1">
        <v>48.058700000000002</v>
      </c>
      <c r="O1260">
        <v>4.25</v>
      </c>
      <c r="P1260" s="13">
        <v>1.7424999999999999</v>
      </c>
      <c r="Q1260" t="s">
        <v>154</v>
      </c>
      <c r="R1260">
        <v>160</v>
      </c>
      <c r="S1260">
        <v>40</v>
      </c>
      <c r="T1260" t="s">
        <v>164</v>
      </c>
      <c r="U1260" t="s">
        <v>164</v>
      </c>
      <c r="V1260" s="7">
        <v>0.77287302100406985</v>
      </c>
      <c r="W1260">
        <v>121.845</v>
      </c>
      <c r="X1260">
        <v>0.21199999999999999</v>
      </c>
      <c r="Y1260">
        <v>3.82</v>
      </c>
      <c r="AA1260">
        <v>9</v>
      </c>
      <c r="AB1260">
        <v>25</v>
      </c>
      <c r="AC1260" s="17">
        <v>1</v>
      </c>
      <c r="AD1260">
        <v>1.6</v>
      </c>
      <c r="AE1260">
        <v>300</v>
      </c>
      <c r="AF1260" s="11">
        <v>0.72</v>
      </c>
    </row>
    <row r="1261" spans="1:32" x14ac:dyDescent="0.3">
      <c r="A1261" t="s">
        <v>151</v>
      </c>
      <c r="B1261" t="s">
        <v>14</v>
      </c>
      <c r="C1261">
        <v>-1.3</v>
      </c>
      <c r="D1261">
        <v>444.44</v>
      </c>
      <c r="E1261">
        <v>3.5</v>
      </c>
      <c r="F1261">
        <v>3.6</v>
      </c>
      <c r="G1261">
        <v>1.35</v>
      </c>
      <c r="H1261">
        <v>3.29</v>
      </c>
      <c r="I1261">
        <v>3.0992000000000002</v>
      </c>
      <c r="J1261">
        <v>182</v>
      </c>
      <c r="K1261" t="s">
        <v>152</v>
      </c>
      <c r="L1261" t="s">
        <v>153</v>
      </c>
      <c r="M1261">
        <v>3</v>
      </c>
      <c r="N1261" s="1">
        <v>48.058700000000002</v>
      </c>
      <c r="O1261">
        <v>4.25</v>
      </c>
      <c r="P1261" s="13">
        <v>1.7424999999999999</v>
      </c>
      <c r="Q1261" t="s">
        <v>154</v>
      </c>
      <c r="R1261">
        <v>160</v>
      </c>
      <c r="S1261">
        <v>40</v>
      </c>
      <c r="T1261" t="s">
        <v>164</v>
      </c>
      <c r="U1261" t="s">
        <v>164</v>
      </c>
      <c r="V1261" s="7">
        <v>0.77287302100406985</v>
      </c>
      <c r="W1261">
        <v>121.845</v>
      </c>
      <c r="X1261">
        <v>0.21199999999999999</v>
      </c>
      <c r="Y1261">
        <v>3.82</v>
      </c>
      <c r="AA1261">
        <v>9</v>
      </c>
      <c r="AB1261">
        <v>25</v>
      </c>
      <c r="AC1261" s="17">
        <v>1</v>
      </c>
      <c r="AD1261">
        <v>1.6</v>
      </c>
      <c r="AE1261">
        <v>500</v>
      </c>
      <c r="AF1261" s="11">
        <v>0.68</v>
      </c>
    </row>
    <row r="1262" spans="1:32" x14ac:dyDescent="0.3">
      <c r="A1262" t="s">
        <v>151</v>
      </c>
      <c r="B1262" t="s">
        <v>14</v>
      </c>
      <c r="C1262">
        <v>-1.3</v>
      </c>
      <c r="D1262">
        <v>444.44</v>
      </c>
      <c r="E1262">
        <v>3.5</v>
      </c>
      <c r="F1262">
        <v>3.6</v>
      </c>
      <c r="G1262">
        <v>1.35</v>
      </c>
      <c r="H1262">
        <v>3.29</v>
      </c>
      <c r="I1262">
        <v>3.0992000000000002</v>
      </c>
      <c r="J1262">
        <v>182</v>
      </c>
      <c r="K1262" t="s">
        <v>152</v>
      </c>
      <c r="L1262" t="s">
        <v>153</v>
      </c>
      <c r="M1262">
        <v>3</v>
      </c>
      <c r="N1262" s="1">
        <v>48.058700000000002</v>
      </c>
      <c r="O1262">
        <v>4.25</v>
      </c>
      <c r="P1262" s="13">
        <v>1.7424999999999999</v>
      </c>
      <c r="Q1262" t="s">
        <v>154</v>
      </c>
      <c r="R1262">
        <v>160</v>
      </c>
      <c r="S1262">
        <v>40</v>
      </c>
      <c r="T1262" t="s">
        <v>164</v>
      </c>
      <c r="U1262" t="s">
        <v>164</v>
      </c>
      <c r="V1262" s="7">
        <v>0.77287302100406985</v>
      </c>
      <c r="W1262">
        <v>121.845</v>
      </c>
      <c r="X1262">
        <v>0.21199999999999999</v>
      </c>
      <c r="Y1262">
        <v>3.82</v>
      </c>
      <c r="AA1262">
        <v>9</v>
      </c>
      <c r="AB1262">
        <v>25</v>
      </c>
      <c r="AC1262" s="17">
        <v>1</v>
      </c>
      <c r="AD1262">
        <v>1.6</v>
      </c>
      <c r="AE1262">
        <v>700</v>
      </c>
      <c r="AF1262" s="11">
        <v>0.52</v>
      </c>
    </row>
    <row r="1263" spans="1:32" x14ac:dyDescent="0.3">
      <c r="A1263" t="s">
        <v>155</v>
      </c>
      <c r="B1263" t="s">
        <v>14</v>
      </c>
      <c r="C1263">
        <v>-1.3</v>
      </c>
      <c r="D1263">
        <v>444.44</v>
      </c>
      <c r="E1263">
        <v>3.5</v>
      </c>
      <c r="F1263">
        <v>3.6</v>
      </c>
      <c r="G1263">
        <v>1.35</v>
      </c>
      <c r="H1263">
        <v>3.29</v>
      </c>
      <c r="I1263">
        <v>3.0992000000000002</v>
      </c>
      <c r="J1263">
        <v>182</v>
      </c>
      <c r="K1263" t="s">
        <v>55</v>
      </c>
      <c r="L1263" t="s">
        <v>51</v>
      </c>
      <c r="M1263">
        <v>2</v>
      </c>
      <c r="N1263">
        <v>27.222000000000001</v>
      </c>
      <c r="O1263">
        <v>0</v>
      </c>
      <c r="P1263" s="13">
        <v>1.5189999999999999</v>
      </c>
      <c r="Q1263" t="s">
        <v>52</v>
      </c>
      <c r="R1263">
        <v>70</v>
      </c>
      <c r="S1263">
        <v>18</v>
      </c>
      <c r="T1263" t="s">
        <v>164</v>
      </c>
      <c r="U1263" t="s">
        <v>164</v>
      </c>
      <c r="V1263" s="7">
        <v>0.74937347017159028</v>
      </c>
      <c r="W1263">
        <v>17.59</v>
      </c>
      <c r="X1263">
        <v>5.2999999999999999E-2</v>
      </c>
      <c r="Y1263">
        <v>12.09</v>
      </c>
      <c r="Z1263">
        <v>8.1999999999999993</v>
      </c>
      <c r="AA1263">
        <v>4.5</v>
      </c>
      <c r="AB1263">
        <v>25</v>
      </c>
      <c r="AC1263" s="21">
        <v>8.3333333329999995E-2</v>
      </c>
      <c r="AD1263">
        <v>0.8</v>
      </c>
      <c r="AE1263">
        <v>700</v>
      </c>
      <c r="AF1263" s="11">
        <v>0.11428571428571428</v>
      </c>
    </row>
    <row r="1264" spans="1:32" x14ac:dyDescent="0.3">
      <c r="A1264" t="s">
        <v>155</v>
      </c>
      <c r="B1264" t="s">
        <v>14</v>
      </c>
      <c r="C1264">
        <v>-1.3</v>
      </c>
      <c r="D1264">
        <v>444.44</v>
      </c>
      <c r="E1264">
        <v>3.5</v>
      </c>
      <c r="F1264">
        <v>3.6</v>
      </c>
      <c r="G1264">
        <v>1.35</v>
      </c>
      <c r="H1264">
        <v>3.29</v>
      </c>
      <c r="I1264">
        <v>3.0992000000000002</v>
      </c>
      <c r="J1264">
        <v>182</v>
      </c>
      <c r="K1264" t="s">
        <v>55</v>
      </c>
      <c r="L1264" t="s">
        <v>51</v>
      </c>
      <c r="M1264">
        <v>2</v>
      </c>
      <c r="N1264">
        <v>27.222000000000001</v>
      </c>
      <c r="O1264">
        <v>0</v>
      </c>
      <c r="P1264" s="13">
        <v>1.5189999999999999</v>
      </c>
      <c r="Q1264" t="s">
        <v>52</v>
      </c>
      <c r="R1264">
        <v>70</v>
      </c>
      <c r="S1264">
        <v>18</v>
      </c>
      <c r="T1264" t="s">
        <v>164</v>
      </c>
      <c r="U1264" t="s">
        <v>164</v>
      </c>
      <c r="V1264" s="7">
        <v>0.74937347017159028</v>
      </c>
      <c r="W1264">
        <v>17.59</v>
      </c>
      <c r="X1264">
        <v>5.2999999999999999E-2</v>
      </c>
      <c r="Y1264">
        <v>12.09</v>
      </c>
      <c r="Z1264">
        <v>8.1999999999999993</v>
      </c>
      <c r="AA1264">
        <v>4.5</v>
      </c>
      <c r="AB1264">
        <v>25</v>
      </c>
      <c r="AC1264" s="21">
        <v>0.16666666669999999</v>
      </c>
      <c r="AD1264">
        <v>0.8</v>
      </c>
      <c r="AE1264">
        <v>700</v>
      </c>
      <c r="AF1264" s="11">
        <v>0.16</v>
      </c>
    </row>
    <row r="1265" spans="1:32" x14ac:dyDescent="0.3">
      <c r="A1265" t="s">
        <v>155</v>
      </c>
      <c r="B1265" t="s">
        <v>14</v>
      </c>
      <c r="C1265">
        <v>-1.3</v>
      </c>
      <c r="D1265">
        <v>444.44</v>
      </c>
      <c r="E1265">
        <v>3.5</v>
      </c>
      <c r="F1265">
        <v>3.6</v>
      </c>
      <c r="G1265">
        <v>1.35</v>
      </c>
      <c r="H1265">
        <v>3.29</v>
      </c>
      <c r="I1265">
        <v>3.0992000000000002</v>
      </c>
      <c r="J1265">
        <v>182</v>
      </c>
      <c r="K1265" t="s">
        <v>55</v>
      </c>
      <c r="L1265" t="s">
        <v>51</v>
      </c>
      <c r="M1265">
        <v>2</v>
      </c>
      <c r="N1265">
        <v>27.222000000000001</v>
      </c>
      <c r="O1265">
        <v>0</v>
      </c>
      <c r="P1265" s="13">
        <v>1.5189999999999999</v>
      </c>
      <c r="Q1265" t="s">
        <v>52</v>
      </c>
      <c r="R1265">
        <v>70</v>
      </c>
      <c r="S1265">
        <v>18</v>
      </c>
      <c r="T1265" t="s">
        <v>164</v>
      </c>
      <c r="U1265" t="s">
        <v>164</v>
      </c>
      <c r="V1265" s="7">
        <v>0.74937347017159028</v>
      </c>
      <c r="W1265">
        <v>17.59</v>
      </c>
      <c r="X1265">
        <v>5.2999999999999999E-2</v>
      </c>
      <c r="Y1265">
        <v>12.09</v>
      </c>
      <c r="Z1265">
        <v>8.1999999999999993</v>
      </c>
      <c r="AA1265">
        <v>4.5</v>
      </c>
      <c r="AB1265">
        <v>25</v>
      </c>
      <c r="AC1265" s="17">
        <v>0.25</v>
      </c>
      <c r="AD1265">
        <v>0.8</v>
      </c>
      <c r="AE1265">
        <v>700</v>
      </c>
      <c r="AF1265" s="11">
        <v>0.18285714285714286</v>
      </c>
    </row>
    <row r="1266" spans="1:32" x14ac:dyDescent="0.3">
      <c r="A1266" t="s">
        <v>155</v>
      </c>
      <c r="B1266" t="s">
        <v>14</v>
      </c>
      <c r="C1266">
        <v>-1.3</v>
      </c>
      <c r="D1266">
        <v>444.44</v>
      </c>
      <c r="E1266">
        <v>3.5</v>
      </c>
      <c r="F1266">
        <v>3.6</v>
      </c>
      <c r="G1266">
        <v>1.35</v>
      </c>
      <c r="H1266">
        <v>3.29</v>
      </c>
      <c r="I1266">
        <v>3.0992000000000002</v>
      </c>
      <c r="J1266">
        <v>182</v>
      </c>
      <c r="K1266" t="s">
        <v>55</v>
      </c>
      <c r="L1266" t="s">
        <v>51</v>
      </c>
      <c r="M1266">
        <v>2</v>
      </c>
      <c r="N1266">
        <v>27.222000000000001</v>
      </c>
      <c r="O1266">
        <v>0</v>
      </c>
      <c r="P1266" s="13">
        <v>1.5189999999999999</v>
      </c>
      <c r="Q1266" t="s">
        <v>52</v>
      </c>
      <c r="R1266">
        <v>70</v>
      </c>
      <c r="S1266">
        <v>18</v>
      </c>
      <c r="T1266" t="s">
        <v>164</v>
      </c>
      <c r="U1266" t="s">
        <v>164</v>
      </c>
      <c r="V1266" s="7">
        <v>0.74937347017159028</v>
      </c>
      <c r="W1266">
        <v>17.59</v>
      </c>
      <c r="X1266">
        <v>5.2999999999999999E-2</v>
      </c>
      <c r="Y1266">
        <v>12.09</v>
      </c>
      <c r="Z1266">
        <v>8.1999999999999993</v>
      </c>
      <c r="AA1266">
        <v>4.5</v>
      </c>
      <c r="AB1266">
        <v>25</v>
      </c>
      <c r="AC1266" s="20">
        <v>0.33333333329999998</v>
      </c>
      <c r="AD1266">
        <v>0.8</v>
      </c>
      <c r="AE1266">
        <v>700</v>
      </c>
      <c r="AF1266" s="11">
        <v>0.20571428571428571</v>
      </c>
    </row>
    <row r="1267" spans="1:32" x14ac:dyDescent="0.3">
      <c r="A1267" t="s">
        <v>155</v>
      </c>
      <c r="B1267" t="s">
        <v>14</v>
      </c>
      <c r="C1267">
        <v>-1.3</v>
      </c>
      <c r="D1267">
        <v>444.44</v>
      </c>
      <c r="E1267">
        <v>3.5</v>
      </c>
      <c r="F1267">
        <v>3.6</v>
      </c>
      <c r="G1267">
        <v>1.35</v>
      </c>
      <c r="H1267">
        <v>3.29</v>
      </c>
      <c r="I1267">
        <v>3.0992000000000002</v>
      </c>
      <c r="J1267">
        <v>182</v>
      </c>
      <c r="K1267" t="s">
        <v>55</v>
      </c>
      <c r="L1267" t="s">
        <v>51</v>
      </c>
      <c r="M1267">
        <v>2</v>
      </c>
      <c r="N1267">
        <v>27.222000000000001</v>
      </c>
      <c r="O1267">
        <v>0</v>
      </c>
      <c r="P1267" s="13">
        <v>1.5189999999999999</v>
      </c>
      <c r="Q1267" t="s">
        <v>52</v>
      </c>
      <c r="R1267">
        <v>70</v>
      </c>
      <c r="S1267">
        <v>18</v>
      </c>
      <c r="T1267" t="s">
        <v>164</v>
      </c>
      <c r="U1267" t="s">
        <v>164</v>
      </c>
      <c r="V1267" s="7">
        <v>0.74937347017159028</v>
      </c>
      <c r="W1267">
        <v>17.59</v>
      </c>
      <c r="X1267">
        <v>5.2999999999999999E-2</v>
      </c>
      <c r="Y1267">
        <v>12.09</v>
      </c>
      <c r="Z1267">
        <v>8.1999999999999993</v>
      </c>
      <c r="AA1267">
        <v>4.5</v>
      </c>
      <c r="AB1267">
        <v>25</v>
      </c>
      <c r="AC1267" s="17">
        <v>0.5</v>
      </c>
      <c r="AD1267">
        <v>0.8</v>
      </c>
      <c r="AE1267">
        <v>700</v>
      </c>
      <c r="AF1267" s="11">
        <v>0.24</v>
      </c>
    </row>
    <row r="1268" spans="1:32" x14ac:dyDescent="0.3">
      <c r="A1268" t="s">
        <v>155</v>
      </c>
      <c r="B1268" t="s">
        <v>14</v>
      </c>
      <c r="C1268">
        <v>-1.3</v>
      </c>
      <c r="D1268">
        <v>444.44</v>
      </c>
      <c r="E1268">
        <v>3.5</v>
      </c>
      <c r="F1268">
        <v>3.6</v>
      </c>
      <c r="G1268">
        <v>1.35</v>
      </c>
      <c r="H1268">
        <v>3.29</v>
      </c>
      <c r="I1268">
        <v>3.0992000000000002</v>
      </c>
      <c r="J1268">
        <v>182</v>
      </c>
      <c r="K1268" t="s">
        <v>55</v>
      </c>
      <c r="L1268" t="s">
        <v>51</v>
      </c>
      <c r="M1268">
        <v>2</v>
      </c>
      <c r="N1268">
        <v>27.222000000000001</v>
      </c>
      <c r="O1268">
        <v>0</v>
      </c>
      <c r="P1268" s="13">
        <v>1.5189999999999999</v>
      </c>
      <c r="Q1268" t="s">
        <v>52</v>
      </c>
      <c r="R1268">
        <v>70</v>
      </c>
      <c r="S1268">
        <v>18</v>
      </c>
      <c r="T1268" t="s">
        <v>164</v>
      </c>
      <c r="U1268" t="s">
        <v>164</v>
      </c>
      <c r="V1268" s="7">
        <v>0.74937347017159028</v>
      </c>
      <c r="W1268">
        <v>17.59</v>
      </c>
      <c r="X1268">
        <v>5.2999999999999999E-2</v>
      </c>
      <c r="Y1268">
        <v>12.09</v>
      </c>
      <c r="Z1268">
        <v>8.1999999999999993</v>
      </c>
      <c r="AA1268">
        <v>4.5</v>
      </c>
      <c r="AB1268">
        <v>25</v>
      </c>
      <c r="AC1268" s="17">
        <v>0.75</v>
      </c>
      <c r="AD1268">
        <v>0.8</v>
      </c>
      <c r="AE1268">
        <v>700</v>
      </c>
      <c r="AF1268" s="11">
        <v>0.2742857142857143</v>
      </c>
    </row>
    <row r="1269" spans="1:32" x14ac:dyDescent="0.3">
      <c r="A1269" t="s">
        <v>155</v>
      </c>
      <c r="B1269" t="s">
        <v>14</v>
      </c>
      <c r="C1269">
        <v>-1.3</v>
      </c>
      <c r="D1269">
        <v>444.44</v>
      </c>
      <c r="E1269">
        <v>3.5</v>
      </c>
      <c r="F1269">
        <v>3.6</v>
      </c>
      <c r="G1269">
        <v>1.35</v>
      </c>
      <c r="H1269">
        <v>3.29</v>
      </c>
      <c r="I1269">
        <v>3.0992000000000002</v>
      </c>
      <c r="J1269">
        <v>182</v>
      </c>
      <c r="K1269" t="s">
        <v>55</v>
      </c>
      <c r="L1269" t="s">
        <v>51</v>
      </c>
      <c r="M1269">
        <v>2</v>
      </c>
      <c r="N1269">
        <v>27.222000000000001</v>
      </c>
      <c r="O1269">
        <v>0</v>
      </c>
      <c r="P1269" s="13">
        <v>1.5189999999999999</v>
      </c>
      <c r="Q1269" t="s">
        <v>52</v>
      </c>
      <c r="R1269">
        <v>70</v>
      </c>
      <c r="S1269">
        <v>18</v>
      </c>
      <c r="T1269" t="s">
        <v>164</v>
      </c>
      <c r="U1269" t="s">
        <v>164</v>
      </c>
      <c r="V1269" s="7">
        <v>0.74937347017159028</v>
      </c>
      <c r="W1269">
        <v>17.59</v>
      </c>
      <c r="X1269">
        <v>5.2999999999999999E-2</v>
      </c>
      <c r="Y1269">
        <v>12.09</v>
      </c>
      <c r="Z1269">
        <v>8.1999999999999993</v>
      </c>
      <c r="AA1269">
        <v>4.5</v>
      </c>
      <c r="AB1269">
        <v>25</v>
      </c>
      <c r="AC1269" s="17">
        <v>1</v>
      </c>
      <c r="AD1269">
        <v>0.8</v>
      </c>
      <c r="AE1269">
        <v>700</v>
      </c>
      <c r="AF1269" s="11">
        <v>0.29714285714285715</v>
      </c>
    </row>
    <row r="1270" spans="1:32" x14ac:dyDescent="0.3">
      <c r="A1270" t="s">
        <v>155</v>
      </c>
      <c r="B1270" t="s">
        <v>14</v>
      </c>
      <c r="C1270">
        <v>-1.3</v>
      </c>
      <c r="D1270">
        <v>444.44</v>
      </c>
      <c r="E1270">
        <v>3.5</v>
      </c>
      <c r="F1270">
        <v>3.6</v>
      </c>
      <c r="G1270">
        <v>1.35</v>
      </c>
      <c r="H1270">
        <v>3.29</v>
      </c>
      <c r="I1270">
        <v>3.0992000000000002</v>
      </c>
      <c r="J1270">
        <v>182</v>
      </c>
      <c r="K1270" t="s">
        <v>55</v>
      </c>
      <c r="L1270" t="s">
        <v>51</v>
      </c>
      <c r="M1270">
        <v>2</v>
      </c>
      <c r="N1270">
        <v>27.222000000000001</v>
      </c>
      <c r="O1270">
        <v>0</v>
      </c>
      <c r="P1270" s="13">
        <v>1.5189999999999999</v>
      </c>
      <c r="Q1270" t="s">
        <v>52</v>
      </c>
      <c r="R1270">
        <v>70</v>
      </c>
      <c r="S1270">
        <v>18</v>
      </c>
      <c r="T1270" t="s">
        <v>164</v>
      </c>
      <c r="U1270" t="s">
        <v>164</v>
      </c>
      <c r="V1270" s="7">
        <v>0.74937347017159028</v>
      </c>
      <c r="W1270">
        <v>17.59</v>
      </c>
      <c r="X1270">
        <v>5.2999999999999999E-2</v>
      </c>
      <c r="Y1270">
        <v>12.09</v>
      </c>
      <c r="Z1270">
        <v>8.1999999999999993</v>
      </c>
      <c r="AA1270">
        <v>4.5</v>
      </c>
      <c r="AB1270">
        <v>25</v>
      </c>
      <c r="AC1270" s="17">
        <v>2</v>
      </c>
      <c r="AD1270">
        <v>0.8</v>
      </c>
      <c r="AE1270">
        <v>700</v>
      </c>
      <c r="AF1270" s="11">
        <v>0.32</v>
      </c>
    </row>
    <row r="1271" spans="1:32" x14ac:dyDescent="0.3">
      <c r="A1271" t="s">
        <v>155</v>
      </c>
      <c r="B1271" t="s">
        <v>14</v>
      </c>
      <c r="C1271">
        <v>-1.3</v>
      </c>
      <c r="D1271">
        <v>444.44</v>
      </c>
      <c r="E1271">
        <v>3.5</v>
      </c>
      <c r="F1271">
        <v>3.6</v>
      </c>
      <c r="G1271">
        <v>1.35</v>
      </c>
      <c r="H1271">
        <v>3.29</v>
      </c>
      <c r="I1271">
        <v>3.0992000000000002</v>
      </c>
      <c r="J1271">
        <v>182</v>
      </c>
      <c r="K1271" t="s">
        <v>55</v>
      </c>
      <c r="L1271" t="s">
        <v>51</v>
      </c>
      <c r="M1271">
        <v>2</v>
      </c>
      <c r="N1271">
        <v>27.222000000000001</v>
      </c>
      <c r="O1271">
        <v>0</v>
      </c>
      <c r="P1271" s="13">
        <v>1.5189999999999999</v>
      </c>
      <c r="Q1271" t="s">
        <v>52</v>
      </c>
      <c r="R1271">
        <v>70</v>
      </c>
      <c r="S1271">
        <v>18</v>
      </c>
      <c r="T1271" t="s">
        <v>164</v>
      </c>
      <c r="U1271" t="s">
        <v>164</v>
      </c>
      <c r="V1271" s="7">
        <v>0.74937347017159028</v>
      </c>
      <c r="W1271">
        <v>17.59</v>
      </c>
      <c r="X1271">
        <v>5.2999999999999999E-2</v>
      </c>
      <c r="Y1271">
        <v>12.09</v>
      </c>
      <c r="Z1271">
        <v>8.1999999999999993</v>
      </c>
      <c r="AA1271">
        <v>4.5</v>
      </c>
      <c r="AB1271">
        <v>25</v>
      </c>
      <c r="AC1271" s="17">
        <v>3</v>
      </c>
      <c r="AD1271">
        <v>0.8</v>
      </c>
      <c r="AE1271">
        <v>700</v>
      </c>
      <c r="AF1271" s="11">
        <v>0.35428571428571426</v>
      </c>
    </row>
    <row r="1272" spans="1:32" x14ac:dyDescent="0.3">
      <c r="A1272" t="s">
        <v>155</v>
      </c>
      <c r="B1272" t="s">
        <v>14</v>
      </c>
      <c r="C1272">
        <v>-1.3</v>
      </c>
      <c r="D1272">
        <v>444.44</v>
      </c>
      <c r="E1272">
        <v>3.5</v>
      </c>
      <c r="F1272">
        <v>3.6</v>
      </c>
      <c r="G1272">
        <v>1.35</v>
      </c>
      <c r="H1272">
        <v>3.29</v>
      </c>
      <c r="I1272">
        <v>3.0992000000000002</v>
      </c>
      <c r="J1272">
        <v>182</v>
      </c>
      <c r="K1272" t="s">
        <v>55</v>
      </c>
      <c r="L1272" t="s">
        <v>51</v>
      </c>
      <c r="M1272">
        <v>2</v>
      </c>
      <c r="N1272">
        <v>27.222000000000001</v>
      </c>
      <c r="O1272">
        <v>0</v>
      </c>
      <c r="P1272" s="13">
        <v>1.5189999999999999</v>
      </c>
      <c r="Q1272" t="s">
        <v>52</v>
      </c>
      <c r="R1272">
        <v>70</v>
      </c>
      <c r="S1272">
        <v>18</v>
      </c>
      <c r="T1272" t="s">
        <v>164</v>
      </c>
      <c r="U1272" t="s">
        <v>164</v>
      </c>
      <c r="V1272" s="7">
        <v>0.74937347017159028</v>
      </c>
      <c r="W1272">
        <v>17.59</v>
      </c>
      <c r="X1272">
        <v>5.2999999999999999E-2</v>
      </c>
      <c r="Y1272">
        <v>12.09</v>
      </c>
      <c r="Z1272">
        <v>8.1999999999999993</v>
      </c>
      <c r="AA1272">
        <v>4.5</v>
      </c>
      <c r="AB1272">
        <v>25</v>
      </c>
      <c r="AC1272" s="17">
        <v>4</v>
      </c>
      <c r="AD1272">
        <v>0.8</v>
      </c>
      <c r="AE1272">
        <v>700</v>
      </c>
      <c r="AF1272" s="11">
        <v>0.36571428571428571</v>
      </c>
    </row>
    <row r="1273" spans="1:32" x14ac:dyDescent="0.3">
      <c r="A1273" t="s">
        <v>155</v>
      </c>
      <c r="B1273" t="s">
        <v>14</v>
      </c>
      <c r="C1273">
        <v>-1.3</v>
      </c>
      <c r="D1273">
        <v>444.44</v>
      </c>
      <c r="E1273">
        <v>3.5</v>
      </c>
      <c r="F1273">
        <v>3.6</v>
      </c>
      <c r="G1273">
        <v>1.35</v>
      </c>
      <c r="H1273">
        <v>3.29</v>
      </c>
      <c r="I1273">
        <v>3.0992000000000002</v>
      </c>
      <c r="J1273">
        <v>182</v>
      </c>
      <c r="K1273" t="s">
        <v>55</v>
      </c>
      <c r="L1273" t="s">
        <v>51</v>
      </c>
      <c r="M1273">
        <v>2</v>
      </c>
      <c r="N1273">
        <v>27.222000000000001</v>
      </c>
      <c r="O1273">
        <v>0</v>
      </c>
      <c r="P1273" s="13">
        <v>1.5189999999999999</v>
      </c>
      <c r="Q1273" t="s">
        <v>52</v>
      </c>
      <c r="R1273">
        <v>70</v>
      </c>
      <c r="S1273">
        <v>18</v>
      </c>
      <c r="T1273" t="s">
        <v>164</v>
      </c>
      <c r="U1273" t="s">
        <v>164</v>
      </c>
      <c r="V1273" s="7">
        <v>0.74937347017159028</v>
      </c>
      <c r="W1273">
        <v>17.59</v>
      </c>
      <c r="X1273">
        <v>5.2999999999999999E-2</v>
      </c>
      <c r="Y1273">
        <v>12.09</v>
      </c>
      <c r="Z1273">
        <v>8.1999999999999993</v>
      </c>
      <c r="AA1273">
        <v>4.5</v>
      </c>
      <c r="AB1273">
        <v>25</v>
      </c>
      <c r="AC1273" s="17">
        <v>5</v>
      </c>
      <c r="AD1273">
        <v>0.8</v>
      </c>
      <c r="AE1273">
        <v>700</v>
      </c>
      <c r="AF1273" s="11">
        <v>0.36914285714285711</v>
      </c>
    </row>
    <row r="1274" spans="1:32" x14ac:dyDescent="0.3">
      <c r="A1274" t="s">
        <v>155</v>
      </c>
      <c r="B1274" t="s">
        <v>14</v>
      </c>
      <c r="C1274">
        <v>-1.3</v>
      </c>
      <c r="D1274">
        <v>444.44</v>
      </c>
      <c r="E1274">
        <v>3.5</v>
      </c>
      <c r="F1274">
        <v>3.6</v>
      </c>
      <c r="G1274">
        <v>1.35</v>
      </c>
      <c r="H1274">
        <v>3.29</v>
      </c>
      <c r="I1274">
        <v>3.0992000000000002</v>
      </c>
      <c r="J1274">
        <v>182</v>
      </c>
      <c r="K1274" t="s">
        <v>55</v>
      </c>
      <c r="L1274" t="s">
        <v>51</v>
      </c>
      <c r="M1274">
        <v>2</v>
      </c>
      <c r="N1274">
        <v>27.222000000000001</v>
      </c>
      <c r="O1274">
        <v>0</v>
      </c>
      <c r="P1274" s="13">
        <v>1.5189999999999999</v>
      </c>
      <c r="Q1274" t="s">
        <v>52</v>
      </c>
      <c r="R1274">
        <v>70</v>
      </c>
      <c r="S1274">
        <v>18</v>
      </c>
      <c r="T1274" t="s">
        <v>164</v>
      </c>
      <c r="U1274" t="s">
        <v>164</v>
      </c>
      <c r="V1274" s="7">
        <v>0.74937347017159028</v>
      </c>
      <c r="W1274">
        <v>17.59</v>
      </c>
      <c r="X1274">
        <v>5.2999999999999999E-2</v>
      </c>
      <c r="Y1274">
        <v>12.09</v>
      </c>
      <c r="Z1274">
        <v>8.1999999999999993</v>
      </c>
      <c r="AA1274">
        <v>4.5</v>
      </c>
      <c r="AB1274">
        <v>25</v>
      </c>
      <c r="AC1274" s="17">
        <v>6</v>
      </c>
      <c r="AD1274">
        <v>0.8</v>
      </c>
      <c r="AE1274">
        <v>700</v>
      </c>
      <c r="AF1274" s="11">
        <v>0.36914285714285711</v>
      </c>
    </row>
    <row r="1275" spans="1:32" x14ac:dyDescent="0.3">
      <c r="A1275" t="s">
        <v>155</v>
      </c>
      <c r="B1275" t="s">
        <v>14</v>
      </c>
      <c r="C1275">
        <v>-1.3</v>
      </c>
      <c r="D1275">
        <v>444.44</v>
      </c>
      <c r="E1275">
        <v>3.5</v>
      </c>
      <c r="F1275">
        <v>3.6</v>
      </c>
      <c r="G1275">
        <v>1.35</v>
      </c>
      <c r="H1275">
        <v>3.29</v>
      </c>
      <c r="I1275">
        <v>3.0992000000000002</v>
      </c>
      <c r="J1275">
        <v>182</v>
      </c>
      <c r="K1275" t="s">
        <v>55</v>
      </c>
      <c r="L1275" t="s">
        <v>51</v>
      </c>
      <c r="M1275">
        <v>2</v>
      </c>
      <c r="N1275">
        <v>27.222000000000001</v>
      </c>
      <c r="O1275">
        <v>0</v>
      </c>
      <c r="P1275" s="13">
        <v>1.5189999999999999</v>
      </c>
      <c r="Q1275" t="s">
        <v>52</v>
      </c>
      <c r="R1275">
        <v>70</v>
      </c>
      <c r="S1275">
        <v>18</v>
      </c>
      <c r="T1275" t="s">
        <v>164</v>
      </c>
      <c r="U1275" t="s">
        <v>164</v>
      </c>
      <c r="V1275" s="7">
        <v>0.74937347017159028</v>
      </c>
      <c r="W1275">
        <v>17.59</v>
      </c>
      <c r="X1275">
        <v>5.2999999999999999E-2</v>
      </c>
      <c r="Y1275">
        <v>12.09</v>
      </c>
      <c r="Z1275">
        <v>8.1999999999999993</v>
      </c>
      <c r="AA1275">
        <v>4.5</v>
      </c>
      <c r="AB1275">
        <v>25</v>
      </c>
      <c r="AC1275" s="17">
        <v>7</v>
      </c>
      <c r="AD1275">
        <v>0.8</v>
      </c>
      <c r="AE1275">
        <v>700</v>
      </c>
      <c r="AF1275" s="11">
        <v>0.36914285714285711</v>
      </c>
    </row>
    <row r="1276" spans="1:32" x14ac:dyDescent="0.3">
      <c r="A1276" t="s">
        <v>155</v>
      </c>
      <c r="B1276" t="s">
        <v>14</v>
      </c>
      <c r="C1276">
        <v>-1.3</v>
      </c>
      <c r="D1276">
        <v>444.44</v>
      </c>
      <c r="E1276">
        <v>3.5</v>
      </c>
      <c r="F1276">
        <v>3.6</v>
      </c>
      <c r="G1276">
        <v>1.35</v>
      </c>
      <c r="H1276">
        <v>3.29</v>
      </c>
      <c r="I1276">
        <v>3.0992000000000002</v>
      </c>
      <c r="J1276">
        <v>182</v>
      </c>
      <c r="K1276" t="s">
        <v>55</v>
      </c>
      <c r="L1276" t="s">
        <v>51</v>
      </c>
      <c r="M1276">
        <v>2</v>
      </c>
      <c r="N1276">
        <v>27.222000000000001</v>
      </c>
      <c r="O1276">
        <v>0</v>
      </c>
      <c r="P1276" s="13">
        <v>1.5189999999999999</v>
      </c>
      <c r="Q1276" t="s">
        <v>52</v>
      </c>
      <c r="R1276">
        <v>70</v>
      </c>
      <c r="S1276">
        <v>18</v>
      </c>
      <c r="T1276" t="s">
        <v>164</v>
      </c>
      <c r="U1276" t="s">
        <v>164</v>
      </c>
      <c r="V1276" s="7">
        <v>0.74937347017159028</v>
      </c>
      <c r="W1276">
        <v>17.59</v>
      </c>
      <c r="X1276">
        <v>5.2999999999999999E-2</v>
      </c>
      <c r="Y1276">
        <v>12.09</v>
      </c>
      <c r="Z1276">
        <v>8.1999999999999993</v>
      </c>
      <c r="AA1276">
        <v>4.5</v>
      </c>
      <c r="AB1276">
        <v>25</v>
      </c>
      <c r="AC1276" s="17">
        <v>8</v>
      </c>
      <c r="AD1276">
        <v>0.8</v>
      </c>
      <c r="AE1276">
        <v>700</v>
      </c>
      <c r="AF1276" s="11">
        <v>0.36914285714285711</v>
      </c>
    </row>
    <row r="1277" spans="1:32" x14ac:dyDescent="0.3">
      <c r="A1277" t="s">
        <v>155</v>
      </c>
      <c r="B1277" t="s">
        <v>14</v>
      </c>
      <c r="C1277">
        <v>-1.3</v>
      </c>
      <c r="D1277">
        <v>444.44</v>
      </c>
      <c r="E1277">
        <v>3.5</v>
      </c>
      <c r="F1277">
        <v>3.6</v>
      </c>
      <c r="G1277">
        <v>1.35</v>
      </c>
      <c r="H1277">
        <v>3.29</v>
      </c>
      <c r="I1277">
        <v>3.0992000000000002</v>
      </c>
      <c r="J1277">
        <v>182</v>
      </c>
      <c r="K1277" t="s">
        <v>55</v>
      </c>
      <c r="L1277" t="s">
        <v>51</v>
      </c>
      <c r="M1277">
        <v>2</v>
      </c>
      <c r="N1277">
        <v>27.222000000000001</v>
      </c>
      <c r="O1277">
        <v>0</v>
      </c>
      <c r="P1277" s="13">
        <v>1.5189999999999999</v>
      </c>
      <c r="Q1277" t="s">
        <v>52</v>
      </c>
      <c r="R1277">
        <v>70</v>
      </c>
      <c r="S1277">
        <v>18</v>
      </c>
      <c r="T1277" t="s">
        <v>164</v>
      </c>
      <c r="U1277" t="s">
        <v>164</v>
      </c>
      <c r="V1277" s="7">
        <v>0.74937347017159028</v>
      </c>
      <c r="W1277">
        <v>17.59</v>
      </c>
      <c r="X1277">
        <v>5.2999999999999999E-2</v>
      </c>
      <c r="Y1277">
        <v>12.09</v>
      </c>
      <c r="Z1277">
        <v>8.1999999999999993</v>
      </c>
      <c r="AA1277">
        <v>3</v>
      </c>
      <c r="AB1277">
        <v>25</v>
      </c>
      <c r="AC1277" s="17">
        <v>8</v>
      </c>
      <c r="AD1277">
        <v>0.8</v>
      </c>
      <c r="AE1277">
        <v>200</v>
      </c>
      <c r="AF1277" s="11">
        <v>0.36</v>
      </c>
    </row>
    <row r="1278" spans="1:32" x14ac:dyDescent="0.3">
      <c r="A1278" t="s">
        <v>155</v>
      </c>
      <c r="B1278" t="s">
        <v>14</v>
      </c>
      <c r="C1278">
        <v>-1.3</v>
      </c>
      <c r="D1278">
        <v>444.44</v>
      </c>
      <c r="E1278">
        <v>3.5</v>
      </c>
      <c r="F1278">
        <v>3.6</v>
      </c>
      <c r="G1278">
        <v>1.35</v>
      </c>
      <c r="H1278">
        <v>3.29</v>
      </c>
      <c r="I1278">
        <v>3.0992000000000002</v>
      </c>
      <c r="J1278">
        <v>182</v>
      </c>
      <c r="K1278" t="s">
        <v>55</v>
      </c>
      <c r="L1278" t="s">
        <v>51</v>
      </c>
      <c r="M1278">
        <v>2</v>
      </c>
      <c r="N1278">
        <v>27.222000000000001</v>
      </c>
      <c r="O1278">
        <v>0</v>
      </c>
      <c r="P1278" s="13">
        <v>1.5189999999999999</v>
      </c>
      <c r="Q1278" t="s">
        <v>52</v>
      </c>
      <c r="R1278">
        <v>70</v>
      </c>
      <c r="S1278">
        <v>18</v>
      </c>
      <c r="T1278" t="s">
        <v>164</v>
      </c>
      <c r="U1278" t="s">
        <v>164</v>
      </c>
      <c r="V1278" s="7">
        <v>0.74937347017159028</v>
      </c>
      <c r="W1278">
        <v>17.59</v>
      </c>
      <c r="X1278">
        <v>5.2999999999999999E-2</v>
      </c>
      <c r="Y1278">
        <v>12.09</v>
      </c>
      <c r="Z1278">
        <v>8.1999999999999993</v>
      </c>
      <c r="AA1278">
        <v>4</v>
      </c>
      <c r="AB1278">
        <v>25</v>
      </c>
      <c r="AC1278" s="17">
        <v>8</v>
      </c>
      <c r="AD1278">
        <v>0.8</v>
      </c>
      <c r="AE1278">
        <v>200</v>
      </c>
      <c r="AF1278" s="11">
        <v>0.4</v>
      </c>
    </row>
    <row r="1279" spans="1:32" x14ac:dyDescent="0.3">
      <c r="A1279" t="s">
        <v>155</v>
      </c>
      <c r="B1279" t="s">
        <v>14</v>
      </c>
      <c r="C1279">
        <v>-1.3</v>
      </c>
      <c r="D1279">
        <v>444.44</v>
      </c>
      <c r="E1279">
        <v>3.5</v>
      </c>
      <c r="F1279">
        <v>3.6</v>
      </c>
      <c r="G1279">
        <v>1.35</v>
      </c>
      <c r="H1279">
        <v>3.29</v>
      </c>
      <c r="I1279">
        <v>3.0992000000000002</v>
      </c>
      <c r="J1279">
        <v>182</v>
      </c>
      <c r="K1279" t="s">
        <v>55</v>
      </c>
      <c r="L1279" t="s">
        <v>51</v>
      </c>
      <c r="M1279">
        <v>2</v>
      </c>
      <c r="N1279">
        <v>27.222000000000001</v>
      </c>
      <c r="O1279">
        <v>0</v>
      </c>
      <c r="P1279" s="13">
        <v>1.5189999999999999</v>
      </c>
      <c r="Q1279" t="s">
        <v>52</v>
      </c>
      <c r="R1279">
        <v>70</v>
      </c>
      <c r="S1279">
        <v>18</v>
      </c>
      <c r="T1279" t="s">
        <v>164</v>
      </c>
      <c r="U1279" t="s">
        <v>164</v>
      </c>
      <c r="V1279" s="7">
        <v>0.74937347017159028</v>
      </c>
      <c r="W1279">
        <v>17.59</v>
      </c>
      <c r="X1279">
        <v>5.2999999999999999E-2</v>
      </c>
      <c r="Y1279">
        <v>12.09</v>
      </c>
      <c r="Z1279">
        <v>8.1999999999999993</v>
      </c>
      <c r="AA1279">
        <v>5</v>
      </c>
      <c r="AB1279">
        <v>25</v>
      </c>
      <c r="AC1279" s="17">
        <v>8</v>
      </c>
      <c r="AD1279">
        <v>0.8</v>
      </c>
      <c r="AE1279">
        <v>200</v>
      </c>
      <c r="AF1279" s="11">
        <v>0.44</v>
      </c>
    </row>
    <row r="1280" spans="1:32" x14ac:dyDescent="0.3">
      <c r="A1280" t="s">
        <v>155</v>
      </c>
      <c r="B1280" t="s">
        <v>14</v>
      </c>
      <c r="C1280">
        <v>-1.3</v>
      </c>
      <c r="D1280">
        <v>444.44</v>
      </c>
      <c r="E1280">
        <v>3.5</v>
      </c>
      <c r="F1280">
        <v>3.6</v>
      </c>
      <c r="G1280">
        <v>1.35</v>
      </c>
      <c r="H1280">
        <v>3.29</v>
      </c>
      <c r="I1280">
        <v>3.0992000000000002</v>
      </c>
      <c r="J1280">
        <v>182</v>
      </c>
      <c r="K1280" t="s">
        <v>55</v>
      </c>
      <c r="L1280" t="s">
        <v>51</v>
      </c>
      <c r="M1280">
        <v>2</v>
      </c>
      <c r="N1280">
        <v>27.222000000000001</v>
      </c>
      <c r="O1280">
        <v>0</v>
      </c>
      <c r="P1280" s="13">
        <v>1.5189999999999999</v>
      </c>
      <c r="Q1280" t="s">
        <v>52</v>
      </c>
      <c r="R1280">
        <v>70</v>
      </c>
      <c r="S1280">
        <v>18</v>
      </c>
      <c r="T1280" t="s">
        <v>164</v>
      </c>
      <c r="U1280" t="s">
        <v>164</v>
      </c>
      <c r="V1280" s="7">
        <v>0.74937347017159028</v>
      </c>
      <c r="W1280">
        <v>17.59</v>
      </c>
      <c r="X1280">
        <v>5.2999999999999999E-2</v>
      </c>
      <c r="Y1280">
        <v>12.09</v>
      </c>
      <c r="Z1280">
        <v>8.1999999999999993</v>
      </c>
      <c r="AA1280">
        <v>6</v>
      </c>
      <c r="AB1280">
        <v>25</v>
      </c>
      <c r="AC1280" s="17">
        <v>8</v>
      </c>
      <c r="AD1280">
        <v>0.8</v>
      </c>
      <c r="AE1280">
        <v>200</v>
      </c>
      <c r="AF1280" s="11">
        <v>0.47999999999999993</v>
      </c>
    </row>
    <row r="1281" spans="1:32" x14ac:dyDescent="0.3">
      <c r="A1281" t="s">
        <v>155</v>
      </c>
      <c r="B1281" t="s">
        <v>14</v>
      </c>
      <c r="C1281">
        <v>-1.3</v>
      </c>
      <c r="D1281">
        <v>444.44</v>
      </c>
      <c r="E1281">
        <v>3.5</v>
      </c>
      <c r="F1281">
        <v>3.6</v>
      </c>
      <c r="G1281">
        <v>1.35</v>
      </c>
      <c r="H1281">
        <v>3.29</v>
      </c>
      <c r="I1281">
        <v>3.0992000000000002</v>
      </c>
      <c r="J1281">
        <v>182</v>
      </c>
      <c r="K1281" t="s">
        <v>55</v>
      </c>
      <c r="L1281" t="s">
        <v>51</v>
      </c>
      <c r="M1281">
        <v>2</v>
      </c>
      <c r="N1281">
        <v>27.222000000000001</v>
      </c>
      <c r="O1281">
        <v>0</v>
      </c>
      <c r="P1281" s="13">
        <v>1.5189999999999999</v>
      </c>
      <c r="Q1281" t="s">
        <v>52</v>
      </c>
      <c r="R1281">
        <v>70</v>
      </c>
      <c r="S1281">
        <v>18</v>
      </c>
      <c r="T1281" t="s">
        <v>164</v>
      </c>
      <c r="U1281" t="s">
        <v>164</v>
      </c>
      <c r="V1281" s="7">
        <v>0.74937347017159028</v>
      </c>
      <c r="W1281">
        <v>17.59</v>
      </c>
      <c r="X1281">
        <v>5.2999999999999999E-2</v>
      </c>
      <c r="Y1281">
        <v>12.09</v>
      </c>
      <c r="Z1281">
        <v>8.1999999999999993</v>
      </c>
      <c r="AA1281">
        <v>7</v>
      </c>
      <c r="AB1281">
        <v>25</v>
      </c>
      <c r="AC1281" s="17">
        <v>8</v>
      </c>
      <c r="AD1281">
        <v>0.8</v>
      </c>
      <c r="AE1281">
        <v>200</v>
      </c>
      <c r="AF1281" s="11">
        <v>0.52</v>
      </c>
    </row>
    <row r="1282" spans="1:32" x14ac:dyDescent="0.3">
      <c r="A1282" t="s">
        <v>155</v>
      </c>
      <c r="B1282" t="s">
        <v>14</v>
      </c>
      <c r="C1282">
        <v>-1.3</v>
      </c>
      <c r="D1282">
        <v>444.44</v>
      </c>
      <c r="E1282">
        <v>3.5</v>
      </c>
      <c r="F1282">
        <v>3.6</v>
      </c>
      <c r="G1282">
        <v>1.35</v>
      </c>
      <c r="H1282">
        <v>3.29</v>
      </c>
      <c r="I1282">
        <v>3.0992000000000002</v>
      </c>
      <c r="J1282">
        <v>182</v>
      </c>
      <c r="K1282" t="s">
        <v>55</v>
      </c>
      <c r="L1282" t="s">
        <v>51</v>
      </c>
      <c r="M1282">
        <v>2</v>
      </c>
      <c r="N1282">
        <v>27.222000000000001</v>
      </c>
      <c r="O1282">
        <v>0</v>
      </c>
      <c r="P1282" s="13">
        <v>1.5189999999999999</v>
      </c>
      <c r="Q1282" t="s">
        <v>52</v>
      </c>
      <c r="R1282">
        <v>70</v>
      </c>
      <c r="S1282">
        <v>18</v>
      </c>
      <c r="T1282" t="s">
        <v>164</v>
      </c>
      <c r="U1282" t="s">
        <v>164</v>
      </c>
      <c r="V1282" s="7">
        <v>0.74937347017159028</v>
      </c>
      <c r="W1282">
        <v>17.59</v>
      </c>
      <c r="X1282">
        <v>5.2999999999999999E-2</v>
      </c>
      <c r="Y1282">
        <v>12.09</v>
      </c>
      <c r="Z1282">
        <v>8.1999999999999993</v>
      </c>
      <c r="AA1282">
        <v>8</v>
      </c>
      <c r="AB1282">
        <v>25</v>
      </c>
      <c r="AC1282" s="17">
        <v>8</v>
      </c>
      <c r="AD1282">
        <v>0.8</v>
      </c>
      <c r="AE1282">
        <v>200</v>
      </c>
      <c r="AF1282" s="11">
        <v>0.56000000000000005</v>
      </c>
    </row>
    <row r="1283" spans="1:32" x14ac:dyDescent="0.3">
      <c r="A1283" t="s">
        <v>155</v>
      </c>
      <c r="B1283" t="s">
        <v>14</v>
      </c>
      <c r="C1283">
        <v>-1.3</v>
      </c>
      <c r="D1283">
        <v>444.44</v>
      </c>
      <c r="E1283">
        <v>3.5</v>
      </c>
      <c r="F1283">
        <v>3.6</v>
      </c>
      <c r="G1283">
        <v>1.35</v>
      </c>
      <c r="H1283">
        <v>3.29</v>
      </c>
      <c r="I1283">
        <v>3.0992000000000002</v>
      </c>
      <c r="J1283">
        <v>182</v>
      </c>
      <c r="K1283" t="s">
        <v>55</v>
      </c>
      <c r="L1283" t="s">
        <v>51</v>
      </c>
      <c r="M1283">
        <v>2</v>
      </c>
      <c r="N1283">
        <v>27.222000000000001</v>
      </c>
      <c r="O1283">
        <v>0</v>
      </c>
      <c r="P1283" s="13">
        <v>1.5189999999999999</v>
      </c>
      <c r="Q1283" t="s">
        <v>52</v>
      </c>
      <c r="R1283">
        <v>70</v>
      </c>
      <c r="S1283">
        <v>18</v>
      </c>
      <c r="T1283" t="s">
        <v>164</v>
      </c>
      <c r="U1283" t="s">
        <v>164</v>
      </c>
      <c r="V1283" s="7">
        <v>0.74937347017159028</v>
      </c>
      <c r="W1283">
        <v>17.59</v>
      </c>
      <c r="X1283">
        <v>5.2999999999999999E-2</v>
      </c>
      <c r="Y1283">
        <v>12.09</v>
      </c>
      <c r="Z1283">
        <v>8.1999999999999993</v>
      </c>
      <c r="AA1283">
        <v>9</v>
      </c>
      <c r="AB1283">
        <v>25</v>
      </c>
      <c r="AC1283" s="17">
        <v>8</v>
      </c>
      <c r="AD1283">
        <v>0.8</v>
      </c>
      <c r="AE1283">
        <v>200</v>
      </c>
      <c r="AF1283" s="11">
        <v>0.5</v>
      </c>
    </row>
    <row r="1284" spans="1:32" x14ac:dyDescent="0.3">
      <c r="A1284" t="s">
        <v>155</v>
      </c>
      <c r="B1284" t="s">
        <v>14</v>
      </c>
      <c r="C1284">
        <v>-1.3</v>
      </c>
      <c r="D1284">
        <v>444.44</v>
      </c>
      <c r="E1284">
        <v>3.5</v>
      </c>
      <c r="F1284">
        <v>3.6</v>
      </c>
      <c r="G1284">
        <v>1.35</v>
      </c>
      <c r="H1284">
        <v>3.29</v>
      </c>
      <c r="I1284">
        <v>3.0992000000000002</v>
      </c>
      <c r="J1284">
        <v>182</v>
      </c>
      <c r="K1284" t="s">
        <v>55</v>
      </c>
      <c r="L1284" t="s">
        <v>51</v>
      </c>
      <c r="M1284">
        <v>2</v>
      </c>
      <c r="N1284">
        <v>27.222000000000001</v>
      </c>
      <c r="O1284">
        <v>0</v>
      </c>
      <c r="P1284" s="13">
        <v>1.5189999999999999</v>
      </c>
      <c r="Q1284" t="s">
        <v>52</v>
      </c>
      <c r="R1284">
        <v>70</v>
      </c>
      <c r="S1284">
        <v>18</v>
      </c>
      <c r="T1284" t="s">
        <v>164</v>
      </c>
      <c r="U1284" t="s">
        <v>164</v>
      </c>
      <c r="V1284" s="7">
        <v>0.74937347017159028</v>
      </c>
      <c r="W1284">
        <v>17.59</v>
      </c>
      <c r="X1284">
        <v>5.2999999999999999E-2</v>
      </c>
      <c r="Y1284">
        <v>12.09</v>
      </c>
      <c r="Z1284">
        <v>8.1999999999999993</v>
      </c>
      <c r="AA1284">
        <v>10</v>
      </c>
      <c r="AB1284">
        <v>25</v>
      </c>
      <c r="AC1284" s="17">
        <v>8</v>
      </c>
      <c r="AD1284">
        <v>0.8</v>
      </c>
      <c r="AE1284">
        <v>200</v>
      </c>
      <c r="AF1284" s="11">
        <v>0.42</v>
      </c>
    </row>
    <row r="1285" spans="1:32" x14ac:dyDescent="0.3">
      <c r="A1285" t="s">
        <v>155</v>
      </c>
      <c r="B1285" t="s">
        <v>14</v>
      </c>
      <c r="C1285">
        <v>-1.3</v>
      </c>
      <c r="D1285">
        <v>444.44</v>
      </c>
      <c r="E1285">
        <v>3.5</v>
      </c>
      <c r="F1285">
        <v>3.6</v>
      </c>
      <c r="G1285">
        <v>1.35</v>
      </c>
      <c r="H1285">
        <v>3.29</v>
      </c>
      <c r="I1285">
        <v>3.0992000000000002</v>
      </c>
      <c r="J1285">
        <v>182</v>
      </c>
      <c r="K1285" t="s">
        <v>55</v>
      </c>
      <c r="L1285" t="s">
        <v>51</v>
      </c>
      <c r="M1285">
        <v>2</v>
      </c>
      <c r="N1285">
        <v>27.222000000000001</v>
      </c>
      <c r="O1285">
        <v>0</v>
      </c>
      <c r="P1285" s="13">
        <v>1.5189999999999999</v>
      </c>
      <c r="Q1285" t="s">
        <v>52</v>
      </c>
      <c r="R1285">
        <v>70</v>
      </c>
      <c r="S1285">
        <v>18</v>
      </c>
      <c r="T1285" t="s">
        <v>164</v>
      </c>
      <c r="U1285" t="s">
        <v>164</v>
      </c>
      <c r="V1285" s="7">
        <v>0.74937347017159028</v>
      </c>
      <c r="W1285">
        <v>17.59</v>
      </c>
      <c r="X1285">
        <v>5.2999999999999999E-2</v>
      </c>
      <c r="Y1285">
        <v>12.09</v>
      </c>
      <c r="Z1285">
        <v>8.1999999999999993</v>
      </c>
      <c r="AA1285">
        <v>11</v>
      </c>
      <c r="AB1285">
        <v>25</v>
      </c>
      <c r="AC1285" s="17">
        <v>8</v>
      </c>
      <c r="AD1285">
        <v>0.8</v>
      </c>
      <c r="AE1285">
        <v>200</v>
      </c>
      <c r="AF1285" s="11">
        <v>0.32</v>
      </c>
    </row>
    <row r="1286" spans="1:32" x14ac:dyDescent="0.3">
      <c r="A1286" t="s">
        <v>156</v>
      </c>
      <c r="B1286" t="s">
        <v>15</v>
      </c>
      <c r="C1286">
        <v>0.28000000000000003</v>
      </c>
      <c r="D1286">
        <v>331.34</v>
      </c>
      <c r="E1286">
        <v>2.2000000000000002</v>
      </c>
      <c r="F1286">
        <v>2.34</v>
      </c>
      <c r="G1286">
        <v>0.7</v>
      </c>
      <c r="H1286">
        <v>2.52</v>
      </c>
      <c r="I1286">
        <v>2.3047</v>
      </c>
      <c r="J1286">
        <v>72.900000000000006</v>
      </c>
      <c r="K1286" t="s">
        <v>132</v>
      </c>
      <c r="L1286" t="s">
        <v>51</v>
      </c>
      <c r="M1286">
        <v>2</v>
      </c>
      <c r="N1286" s="1">
        <v>48.122599999999998</v>
      </c>
      <c r="O1286">
        <v>5.3</v>
      </c>
      <c r="P1286" s="13">
        <v>1.81</v>
      </c>
      <c r="Q1286" t="s">
        <v>52</v>
      </c>
      <c r="R1286">
        <v>60</v>
      </c>
      <c r="S1286">
        <v>12</v>
      </c>
      <c r="T1286" t="s">
        <v>164</v>
      </c>
      <c r="U1286" t="s">
        <v>164</v>
      </c>
      <c r="V1286" s="7">
        <v>0.76159409213113394</v>
      </c>
      <c r="W1286">
        <v>3.5449999999999999</v>
      </c>
      <c r="X1286">
        <v>5.8742000000000004E-3</v>
      </c>
      <c r="Y1286">
        <v>3.4135</v>
      </c>
      <c r="AA1286">
        <v>6</v>
      </c>
      <c r="AB1286">
        <v>25</v>
      </c>
      <c r="AC1286" s="17">
        <f>180/60</f>
        <v>3</v>
      </c>
      <c r="AD1286">
        <v>0.2</v>
      </c>
      <c r="AE1286">
        <v>10</v>
      </c>
      <c r="AF1286" s="11">
        <v>0.03</v>
      </c>
    </row>
    <row r="1287" spans="1:32" x14ac:dyDescent="0.3">
      <c r="A1287" t="s">
        <v>156</v>
      </c>
      <c r="B1287" t="s">
        <v>15</v>
      </c>
      <c r="C1287">
        <v>0.28000000000000003</v>
      </c>
      <c r="D1287">
        <v>331.34</v>
      </c>
      <c r="E1287">
        <v>2.2000000000000002</v>
      </c>
      <c r="F1287">
        <v>2.34</v>
      </c>
      <c r="G1287">
        <v>0.7</v>
      </c>
      <c r="H1287">
        <v>2.52</v>
      </c>
      <c r="I1287">
        <v>2.3047</v>
      </c>
      <c r="J1287">
        <v>72.900000000000006</v>
      </c>
      <c r="K1287" t="s">
        <v>132</v>
      </c>
      <c r="L1287" t="s">
        <v>51</v>
      </c>
      <c r="M1287">
        <v>2</v>
      </c>
      <c r="N1287" s="1">
        <v>48.122599999999998</v>
      </c>
      <c r="O1287">
        <v>5.3</v>
      </c>
      <c r="P1287" s="13">
        <v>1.81</v>
      </c>
      <c r="Q1287" t="s">
        <v>52</v>
      </c>
      <c r="R1287">
        <v>60</v>
      </c>
      <c r="S1287">
        <v>12</v>
      </c>
      <c r="T1287" t="s">
        <v>164</v>
      </c>
      <c r="U1287" t="s">
        <v>164</v>
      </c>
      <c r="V1287" s="7">
        <v>0.76159409213113394</v>
      </c>
      <c r="W1287">
        <v>3.5449999999999999</v>
      </c>
      <c r="X1287">
        <v>5.8742000000000004E-3</v>
      </c>
      <c r="Y1287">
        <v>3.4135</v>
      </c>
      <c r="AA1287">
        <v>6</v>
      </c>
      <c r="AB1287">
        <v>25</v>
      </c>
      <c r="AC1287" s="17">
        <f t="shared" ref="AC1287:AC1301" si="40">180/60</f>
        <v>3</v>
      </c>
      <c r="AD1287">
        <v>0.5</v>
      </c>
      <c r="AE1287">
        <v>10</v>
      </c>
      <c r="AF1287" s="11">
        <v>0.17</v>
      </c>
    </row>
    <row r="1288" spans="1:32" x14ac:dyDescent="0.3">
      <c r="A1288" t="s">
        <v>156</v>
      </c>
      <c r="B1288" t="s">
        <v>15</v>
      </c>
      <c r="C1288">
        <v>0.28000000000000003</v>
      </c>
      <c r="D1288">
        <v>331.34</v>
      </c>
      <c r="E1288">
        <v>2.2000000000000002</v>
      </c>
      <c r="F1288">
        <v>2.34</v>
      </c>
      <c r="G1288">
        <v>0.7</v>
      </c>
      <c r="H1288">
        <v>2.52</v>
      </c>
      <c r="I1288">
        <v>2.3047</v>
      </c>
      <c r="J1288">
        <v>72.900000000000006</v>
      </c>
      <c r="K1288" t="s">
        <v>132</v>
      </c>
      <c r="L1288" t="s">
        <v>51</v>
      </c>
      <c r="M1288">
        <v>2</v>
      </c>
      <c r="N1288" s="1">
        <v>48.122599999999998</v>
      </c>
      <c r="O1288">
        <v>5.3</v>
      </c>
      <c r="P1288" s="13">
        <v>1.81</v>
      </c>
      <c r="Q1288" t="s">
        <v>52</v>
      </c>
      <c r="R1288">
        <v>60</v>
      </c>
      <c r="S1288">
        <v>12</v>
      </c>
      <c r="T1288" t="s">
        <v>164</v>
      </c>
      <c r="U1288" t="s">
        <v>164</v>
      </c>
      <c r="V1288" s="7">
        <v>0.76159409213113394</v>
      </c>
      <c r="W1288">
        <v>3.5449999999999999</v>
      </c>
      <c r="X1288">
        <v>5.8742000000000004E-3</v>
      </c>
      <c r="Y1288">
        <v>3.4135</v>
      </c>
      <c r="AA1288">
        <v>6</v>
      </c>
      <c r="AB1288">
        <v>25</v>
      </c>
      <c r="AC1288" s="17">
        <f t="shared" si="40"/>
        <v>3</v>
      </c>
      <c r="AD1288">
        <v>0.7</v>
      </c>
      <c r="AE1288">
        <v>10</v>
      </c>
      <c r="AF1288" s="11">
        <v>0.25</v>
      </c>
    </row>
    <row r="1289" spans="1:32" x14ac:dyDescent="0.3">
      <c r="A1289" t="s">
        <v>156</v>
      </c>
      <c r="B1289" t="s">
        <v>15</v>
      </c>
      <c r="C1289">
        <v>0.28000000000000003</v>
      </c>
      <c r="D1289">
        <v>331.34</v>
      </c>
      <c r="E1289">
        <v>2.2000000000000002</v>
      </c>
      <c r="F1289">
        <v>2.34</v>
      </c>
      <c r="G1289">
        <v>0.7</v>
      </c>
      <c r="H1289">
        <v>2.52</v>
      </c>
      <c r="I1289">
        <v>2.3047</v>
      </c>
      <c r="J1289">
        <v>72.900000000000006</v>
      </c>
      <c r="K1289" t="s">
        <v>132</v>
      </c>
      <c r="L1289" t="s">
        <v>51</v>
      </c>
      <c r="M1289">
        <v>2</v>
      </c>
      <c r="N1289" s="1">
        <v>48.122599999999998</v>
      </c>
      <c r="O1289">
        <v>5.3</v>
      </c>
      <c r="P1289" s="13">
        <v>1.81</v>
      </c>
      <c r="Q1289" t="s">
        <v>52</v>
      </c>
      <c r="R1289">
        <v>60</v>
      </c>
      <c r="S1289">
        <v>12</v>
      </c>
      <c r="T1289" t="s">
        <v>164</v>
      </c>
      <c r="U1289" t="s">
        <v>164</v>
      </c>
      <c r="V1289" s="7">
        <v>0.76159409213113394</v>
      </c>
      <c r="W1289">
        <v>3.5449999999999999</v>
      </c>
      <c r="X1289">
        <v>5.8742000000000004E-3</v>
      </c>
      <c r="Y1289">
        <v>3.4135</v>
      </c>
      <c r="AA1289">
        <v>6</v>
      </c>
      <c r="AB1289">
        <v>25</v>
      </c>
      <c r="AC1289" s="17">
        <f t="shared" si="40"/>
        <v>3</v>
      </c>
      <c r="AD1289">
        <v>0.8</v>
      </c>
      <c r="AE1289">
        <v>10</v>
      </c>
      <c r="AF1289" s="11">
        <v>0.27</v>
      </c>
    </row>
    <row r="1290" spans="1:32" x14ac:dyDescent="0.3">
      <c r="A1290" t="s">
        <v>156</v>
      </c>
      <c r="B1290" t="s">
        <v>15</v>
      </c>
      <c r="C1290">
        <v>0.28000000000000003</v>
      </c>
      <c r="D1290">
        <v>331.34</v>
      </c>
      <c r="E1290">
        <v>2.2000000000000002</v>
      </c>
      <c r="F1290">
        <v>2.34</v>
      </c>
      <c r="G1290">
        <v>0.7</v>
      </c>
      <c r="H1290">
        <v>2.52</v>
      </c>
      <c r="I1290">
        <v>2.3047</v>
      </c>
      <c r="J1290">
        <v>72.900000000000006</v>
      </c>
      <c r="K1290" t="s">
        <v>132</v>
      </c>
      <c r="L1290" t="s">
        <v>51</v>
      </c>
      <c r="M1290">
        <v>2</v>
      </c>
      <c r="N1290" s="1">
        <v>48.122599999999998</v>
      </c>
      <c r="O1290">
        <v>5.3</v>
      </c>
      <c r="P1290" s="13">
        <v>1.81</v>
      </c>
      <c r="Q1290" t="s">
        <v>52</v>
      </c>
      <c r="R1290">
        <v>60</v>
      </c>
      <c r="S1290">
        <v>12</v>
      </c>
      <c r="T1290" t="s">
        <v>164</v>
      </c>
      <c r="U1290" t="s">
        <v>164</v>
      </c>
      <c r="V1290" s="7">
        <v>0.76159409213113394</v>
      </c>
      <c r="W1290">
        <v>3.5449999999999999</v>
      </c>
      <c r="X1290">
        <v>5.8742000000000004E-3</v>
      </c>
      <c r="Y1290">
        <v>3.4135</v>
      </c>
      <c r="AA1290">
        <v>6</v>
      </c>
      <c r="AB1290">
        <v>25</v>
      </c>
      <c r="AC1290" s="17">
        <f t="shared" si="40"/>
        <v>3</v>
      </c>
      <c r="AD1290">
        <v>0.9</v>
      </c>
      <c r="AE1290">
        <v>10</v>
      </c>
      <c r="AF1290" s="11">
        <v>0.27</v>
      </c>
    </row>
    <row r="1291" spans="1:32" x14ac:dyDescent="0.3">
      <c r="A1291" t="s">
        <v>156</v>
      </c>
      <c r="B1291" t="s">
        <v>15</v>
      </c>
      <c r="C1291">
        <v>0.28000000000000003</v>
      </c>
      <c r="D1291">
        <v>331.34</v>
      </c>
      <c r="E1291">
        <v>2.2000000000000002</v>
      </c>
      <c r="F1291">
        <v>2.34</v>
      </c>
      <c r="G1291">
        <v>0.7</v>
      </c>
      <c r="H1291">
        <v>2.52</v>
      </c>
      <c r="I1291">
        <v>2.3047</v>
      </c>
      <c r="J1291">
        <v>72.900000000000006</v>
      </c>
      <c r="K1291" t="s">
        <v>132</v>
      </c>
      <c r="L1291" t="s">
        <v>51</v>
      </c>
      <c r="M1291">
        <v>2</v>
      </c>
      <c r="N1291" s="1">
        <v>48.122599999999998</v>
      </c>
      <c r="O1291">
        <v>5.3</v>
      </c>
      <c r="P1291" s="13">
        <v>1.81</v>
      </c>
      <c r="Q1291" t="s">
        <v>52</v>
      </c>
      <c r="R1291">
        <v>60</v>
      </c>
      <c r="S1291">
        <v>12</v>
      </c>
      <c r="T1291" t="s">
        <v>164</v>
      </c>
      <c r="U1291" t="s">
        <v>164</v>
      </c>
      <c r="V1291" s="7">
        <v>0.76159409213113394</v>
      </c>
      <c r="W1291">
        <v>3.5449999999999999</v>
      </c>
      <c r="X1291">
        <v>5.8742000000000004E-3</v>
      </c>
      <c r="Y1291">
        <v>3.4135</v>
      </c>
      <c r="AA1291">
        <v>6</v>
      </c>
      <c r="AB1291">
        <v>25</v>
      </c>
      <c r="AC1291" s="17">
        <f t="shared" si="40"/>
        <v>3</v>
      </c>
      <c r="AD1291">
        <v>1</v>
      </c>
      <c r="AE1291">
        <v>10</v>
      </c>
      <c r="AF1291" s="11">
        <v>0.31</v>
      </c>
    </row>
    <row r="1292" spans="1:32" x14ac:dyDescent="0.3">
      <c r="A1292" t="s">
        <v>156</v>
      </c>
      <c r="B1292" t="s">
        <v>15</v>
      </c>
      <c r="C1292">
        <v>0.28000000000000003</v>
      </c>
      <c r="D1292">
        <v>331.34</v>
      </c>
      <c r="E1292">
        <v>2.2000000000000002</v>
      </c>
      <c r="F1292">
        <v>2.34</v>
      </c>
      <c r="G1292">
        <v>0.7</v>
      </c>
      <c r="H1292">
        <v>2.52</v>
      </c>
      <c r="I1292">
        <v>2.3047</v>
      </c>
      <c r="J1292">
        <v>72.900000000000006</v>
      </c>
      <c r="K1292" t="s">
        <v>132</v>
      </c>
      <c r="L1292" t="s">
        <v>51</v>
      </c>
      <c r="M1292">
        <v>2</v>
      </c>
      <c r="N1292" s="1">
        <v>48.122599999999998</v>
      </c>
      <c r="O1292">
        <v>5.3</v>
      </c>
      <c r="P1292" s="13">
        <v>1.81</v>
      </c>
      <c r="Q1292" t="s">
        <v>52</v>
      </c>
      <c r="R1292">
        <v>60</v>
      </c>
      <c r="S1292">
        <v>12</v>
      </c>
      <c r="T1292" t="s">
        <v>164</v>
      </c>
      <c r="U1292" t="s">
        <v>164</v>
      </c>
      <c r="V1292" s="7">
        <v>0.76159409213113394</v>
      </c>
      <c r="W1292">
        <v>3.5449999999999999</v>
      </c>
      <c r="X1292">
        <v>5.8742000000000004E-3</v>
      </c>
      <c r="Y1292">
        <v>3.4135</v>
      </c>
      <c r="AA1292">
        <v>6</v>
      </c>
      <c r="AB1292">
        <v>25</v>
      </c>
      <c r="AC1292" s="17">
        <f t="shared" si="40"/>
        <v>3</v>
      </c>
      <c r="AD1292">
        <v>0.8</v>
      </c>
      <c r="AE1292">
        <v>1.25</v>
      </c>
      <c r="AF1292" s="11">
        <v>0.1</v>
      </c>
    </row>
    <row r="1293" spans="1:32" x14ac:dyDescent="0.3">
      <c r="A1293" t="s">
        <v>156</v>
      </c>
      <c r="B1293" t="s">
        <v>15</v>
      </c>
      <c r="C1293">
        <v>0.28000000000000003</v>
      </c>
      <c r="D1293">
        <v>331.34</v>
      </c>
      <c r="E1293">
        <v>2.2000000000000002</v>
      </c>
      <c r="F1293">
        <v>2.34</v>
      </c>
      <c r="G1293">
        <v>0.7</v>
      </c>
      <c r="H1293">
        <v>2.52</v>
      </c>
      <c r="I1293">
        <v>2.3047</v>
      </c>
      <c r="J1293">
        <v>72.900000000000006</v>
      </c>
      <c r="K1293" t="s">
        <v>132</v>
      </c>
      <c r="L1293" t="s">
        <v>51</v>
      </c>
      <c r="M1293">
        <v>2</v>
      </c>
      <c r="N1293" s="1">
        <v>48.122599999999998</v>
      </c>
      <c r="O1293">
        <v>5.3</v>
      </c>
      <c r="P1293" s="13">
        <v>1.81</v>
      </c>
      <c r="Q1293" t="s">
        <v>52</v>
      </c>
      <c r="R1293">
        <v>60</v>
      </c>
      <c r="S1293">
        <v>12</v>
      </c>
      <c r="T1293" t="s">
        <v>164</v>
      </c>
      <c r="U1293" t="s">
        <v>164</v>
      </c>
      <c r="V1293" s="7">
        <v>0.76159409213113394</v>
      </c>
      <c r="W1293">
        <v>3.5449999999999999</v>
      </c>
      <c r="X1293">
        <v>5.8742000000000004E-3</v>
      </c>
      <c r="Y1293">
        <v>3.4135</v>
      </c>
      <c r="AA1293">
        <v>6</v>
      </c>
      <c r="AB1293">
        <v>25</v>
      </c>
      <c r="AC1293" s="17">
        <f t="shared" si="40"/>
        <v>3</v>
      </c>
      <c r="AD1293">
        <v>0.8</v>
      </c>
      <c r="AE1293">
        <v>2.5</v>
      </c>
      <c r="AF1293" s="11">
        <v>0.15</v>
      </c>
    </row>
    <row r="1294" spans="1:32" x14ac:dyDescent="0.3">
      <c r="A1294" t="s">
        <v>156</v>
      </c>
      <c r="B1294" t="s">
        <v>15</v>
      </c>
      <c r="C1294">
        <v>0.28000000000000003</v>
      </c>
      <c r="D1294">
        <v>331.34</v>
      </c>
      <c r="E1294">
        <v>2.2000000000000002</v>
      </c>
      <c r="F1294">
        <v>2.34</v>
      </c>
      <c r="G1294">
        <v>0.7</v>
      </c>
      <c r="H1294">
        <v>2.52</v>
      </c>
      <c r="I1294">
        <v>2.3047</v>
      </c>
      <c r="J1294">
        <v>72.900000000000006</v>
      </c>
      <c r="K1294" t="s">
        <v>132</v>
      </c>
      <c r="L1294" t="s">
        <v>51</v>
      </c>
      <c r="M1294">
        <v>2</v>
      </c>
      <c r="N1294" s="1">
        <v>48.122599999999998</v>
      </c>
      <c r="O1294">
        <v>5.3</v>
      </c>
      <c r="P1294" s="13">
        <v>1.81</v>
      </c>
      <c r="Q1294" t="s">
        <v>52</v>
      </c>
      <c r="R1294">
        <v>60</v>
      </c>
      <c r="S1294">
        <v>12</v>
      </c>
      <c r="T1294" t="s">
        <v>164</v>
      </c>
      <c r="U1294" t="s">
        <v>164</v>
      </c>
      <c r="V1294" s="7">
        <v>0.76159409213113394</v>
      </c>
      <c r="W1294">
        <v>3.5449999999999999</v>
      </c>
      <c r="X1294">
        <v>5.8742000000000004E-3</v>
      </c>
      <c r="Y1294">
        <v>3.4135</v>
      </c>
      <c r="AA1294">
        <v>6</v>
      </c>
      <c r="AB1294">
        <v>25</v>
      </c>
      <c r="AC1294" s="17">
        <f t="shared" si="40"/>
        <v>3</v>
      </c>
      <c r="AD1294">
        <v>0.8</v>
      </c>
      <c r="AE1294">
        <v>5</v>
      </c>
      <c r="AF1294" s="11">
        <v>0.245</v>
      </c>
    </row>
    <row r="1295" spans="1:32" x14ac:dyDescent="0.3">
      <c r="A1295" t="s">
        <v>156</v>
      </c>
      <c r="B1295" t="s">
        <v>15</v>
      </c>
      <c r="C1295">
        <v>0.28000000000000003</v>
      </c>
      <c r="D1295">
        <v>331.34</v>
      </c>
      <c r="E1295">
        <v>2.2000000000000002</v>
      </c>
      <c r="F1295">
        <v>2.34</v>
      </c>
      <c r="G1295">
        <v>0.7</v>
      </c>
      <c r="H1295">
        <v>2.52</v>
      </c>
      <c r="I1295">
        <v>2.3047</v>
      </c>
      <c r="J1295">
        <v>72.900000000000006</v>
      </c>
      <c r="K1295" t="s">
        <v>132</v>
      </c>
      <c r="L1295" t="s">
        <v>51</v>
      </c>
      <c r="M1295">
        <v>2</v>
      </c>
      <c r="N1295" s="1">
        <v>48.122599999999998</v>
      </c>
      <c r="O1295">
        <v>5.3</v>
      </c>
      <c r="P1295" s="13">
        <v>1.81</v>
      </c>
      <c r="Q1295" t="s">
        <v>52</v>
      </c>
      <c r="R1295">
        <v>60</v>
      </c>
      <c r="S1295">
        <v>12</v>
      </c>
      <c r="T1295" t="s">
        <v>164</v>
      </c>
      <c r="U1295" t="s">
        <v>164</v>
      </c>
      <c r="V1295" s="7">
        <v>0.76159409213113394</v>
      </c>
      <c r="W1295">
        <v>3.5449999999999999</v>
      </c>
      <c r="X1295">
        <v>5.8742000000000004E-3</v>
      </c>
      <c r="Y1295">
        <v>3.4135</v>
      </c>
      <c r="AA1295">
        <v>6</v>
      </c>
      <c r="AB1295">
        <v>25</v>
      </c>
      <c r="AC1295" s="17">
        <f t="shared" si="40"/>
        <v>3</v>
      </c>
      <c r="AD1295">
        <v>0.8</v>
      </c>
      <c r="AE1295">
        <v>10</v>
      </c>
      <c r="AF1295" s="11">
        <v>0.27</v>
      </c>
    </row>
    <row r="1296" spans="1:32" x14ac:dyDescent="0.3">
      <c r="A1296" t="s">
        <v>156</v>
      </c>
      <c r="B1296" t="s">
        <v>15</v>
      </c>
      <c r="C1296">
        <v>0.28000000000000003</v>
      </c>
      <c r="D1296">
        <v>331.34</v>
      </c>
      <c r="E1296">
        <v>2.2000000000000002</v>
      </c>
      <c r="F1296">
        <v>2.34</v>
      </c>
      <c r="G1296">
        <v>0.7</v>
      </c>
      <c r="H1296">
        <v>2.52</v>
      </c>
      <c r="I1296">
        <v>2.3047</v>
      </c>
      <c r="J1296">
        <v>72.900000000000006</v>
      </c>
      <c r="K1296" t="s">
        <v>132</v>
      </c>
      <c r="L1296" t="s">
        <v>51</v>
      </c>
      <c r="M1296">
        <v>2</v>
      </c>
      <c r="N1296" s="1">
        <v>48.122599999999998</v>
      </c>
      <c r="O1296">
        <v>5.3</v>
      </c>
      <c r="P1296" s="13">
        <v>1.81</v>
      </c>
      <c r="Q1296" t="s">
        <v>52</v>
      </c>
      <c r="R1296">
        <v>60</v>
      </c>
      <c r="S1296">
        <v>12</v>
      </c>
      <c r="T1296" t="s">
        <v>164</v>
      </c>
      <c r="U1296" t="s">
        <v>164</v>
      </c>
      <c r="V1296" s="7">
        <v>0.76159409213113394</v>
      </c>
      <c r="W1296">
        <v>3.5449999999999999</v>
      </c>
      <c r="X1296">
        <v>5.8742000000000004E-3</v>
      </c>
      <c r="Y1296">
        <v>3.4135</v>
      </c>
      <c r="AA1296">
        <v>6</v>
      </c>
      <c r="AB1296">
        <v>25</v>
      </c>
      <c r="AC1296" s="17">
        <f t="shared" si="40"/>
        <v>3</v>
      </c>
      <c r="AD1296">
        <v>0.8</v>
      </c>
      <c r="AE1296">
        <v>15</v>
      </c>
      <c r="AF1296" s="11">
        <v>0.25</v>
      </c>
    </row>
    <row r="1297" spans="1:32" x14ac:dyDescent="0.3">
      <c r="A1297" t="s">
        <v>156</v>
      </c>
      <c r="B1297" t="s">
        <v>15</v>
      </c>
      <c r="C1297">
        <v>0.28000000000000003</v>
      </c>
      <c r="D1297">
        <v>331.34</v>
      </c>
      <c r="E1297">
        <v>2.2000000000000002</v>
      </c>
      <c r="F1297">
        <v>2.34</v>
      </c>
      <c r="G1297">
        <v>0.7</v>
      </c>
      <c r="H1297">
        <v>2.52</v>
      </c>
      <c r="I1297">
        <v>2.3047</v>
      </c>
      <c r="J1297">
        <v>72.900000000000006</v>
      </c>
      <c r="K1297" t="s">
        <v>132</v>
      </c>
      <c r="L1297" t="s">
        <v>51</v>
      </c>
      <c r="M1297">
        <v>2</v>
      </c>
      <c r="N1297" s="1">
        <v>48.122599999999998</v>
      </c>
      <c r="O1297">
        <v>5.3</v>
      </c>
      <c r="P1297" s="13">
        <v>1.81</v>
      </c>
      <c r="Q1297" t="s">
        <v>52</v>
      </c>
      <c r="R1297">
        <v>60</v>
      </c>
      <c r="S1297">
        <v>12</v>
      </c>
      <c r="T1297" t="s">
        <v>164</v>
      </c>
      <c r="U1297" t="s">
        <v>164</v>
      </c>
      <c r="V1297" s="7">
        <v>0.76159409213113394</v>
      </c>
      <c r="W1297">
        <v>3.5449999999999999</v>
      </c>
      <c r="X1297">
        <v>5.8742000000000004E-3</v>
      </c>
      <c r="Y1297">
        <v>3.4135</v>
      </c>
      <c r="AA1297">
        <v>6</v>
      </c>
      <c r="AB1297">
        <v>25</v>
      </c>
      <c r="AC1297" s="17">
        <f t="shared" si="40"/>
        <v>3</v>
      </c>
      <c r="AD1297">
        <v>0.8</v>
      </c>
      <c r="AE1297">
        <v>20</v>
      </c>
      <c r="AF1297" s="11">
        <v>0.25</v>
      </c>
    </row>
    <row r="1298" spans="1:32" x14ac:dyDescent="0.3">
      <c r="A1298" t="s">
        <v>156</v>
      </c>
      <c r="B1298" t="s">
        <v>15</v>
      </c>
      <c r="C1298">
        <v>0.28000000000000003</v>
      </c>
      <c r="D1298">
        <v>331.34</v>
      </c>
      <c r="E1298">
        <v>2.2000000000000002</v>
      </c>
      <c r="F1298">
        <v>2.34</v>
      </c>
      <c r="G1298">
        <v>0.7</v>
      </c>
      <c r="H1298">
        <v>2.52</v>
      </c>
      <c r="I1298">
        <v>2.3047</v>
      </c>
      <c r="J1298">
        <v>72.900000000000006</v>
      </c>
      <c r="K1298" t="s">
        <v>132</v>
      </c>
      <c r="L1298" t="s">
        <v>51</v>
      </c>
      <c r="M1298">
        <v>2</v>
      </c>
      <c r="N1298" s="1">
        <v>48.122599999999998</v>
      </c>
      <c r="O1298">
        <v>5.3</v>
      </c>
      <c r="P1298" s="13">
        <v>1.81</v>
      </c>
      <c r="Q1298" t="s">
        <v>52</v>
      </c>
      <c r="R1298">
        <v>60</v>
      </c>
      <c r="S1298">
        <v>12</v>
      </c>
      <c r="T1298" t="s">
        <v>164</v>
      </c>
      <c r="U1298" t="s">
        <v>164</v>
      </c>
      <c r="V1298" s="7">
        <v>0.76159409213113394</v>
      </c>
      <c r="W1298">
        <v>3.5449999999999999</v>
      </c>
      <c r="X1298">
        <v>5.8742000000000004E-3</v>
      </c>
      <c r="Y1298">
        <v>3.4135</v>
      </c>
      <c r="AA1298">
        <v>6</v>
      </c>
      <c r="AB1298">
        <v>25</v>
      </c>
      <c r="AC1298" s="17">
        <f t="shared" si="40"/>
        <v>3</v>
      </c>
      <c r="AD1298">
        <v>0.8</v>
      </c>
      <c r="AE1298">
        <v>25</v>
      </c>
      <c r="AF1298" s="11">
        <v>0.215</v>
      </c>
    </row>
    <row r="1299" spans="1:32" x14ac:dyDescent="0.3">
      <c r="A1299" t="s">
        <v>156</v>
      </c>
      <c r="B1299" t="s">
        <v>15</v>
      </c>
      <c r="C1299">
        <v>0.28000000000000003</v>
      </c>
      <c r="D1299">
        <v>331.34</v>
      </c>
      <c r="E1299">
        <v>2.2000000000000002</v>
      </c>
      <c r="F1299">
        <v>2.34</v>
      </c>
      <c r="G1299">
        <v>0.7</v>
      </c>
      <c r="H1299">
        <v>2.52</v>
      </c>
      <c r="I1299">
        <v>2.3047</v>
      </c>
      <c r="J1299">
        <v>72.900000000000006</v>
      </c>
      <c r="K1299" t="s">
        <v>132</v>
      </c>
      <c r="L1299" t="s">
        <v>51</v>
      </c>
      <c r="M1299">
        <v>2</v>
      </c>
      <c r="N1299" s="1">
        <v>48.122599999999998</v>
      </c>
      <c r="O1299">
        <v>5.3</v>
      </c>
      <c r="P1299" s="13">
        <v>1.81</v>
      </c>
      <c r="Q1299" t="s">
        <v>52</v>
      </c>
      <c r="R1299">
        <v>60</v>
      </c>
      <c r="S1299">
        <v>12</v>
      </c>
      <c r="T1299" t="s">
        <v>164</v>
      </c>
      <c r="U1299" t="s">
        <v>164</v>
      </c>
      <c r="V1299" s="7">
        <v>0.76159409213113394</v>
      </c>
      <c r="W1299">
        <v>3.5449999999999999</v>
      </c>
      <c r="X1299">
        <v>5.8742000000000004E-3</v>
      </c>
      <c r="Y1299">
        <v>3.4135</v>
      </c>
      <c r="AA1299">
        <v>6</v>
      </c>
      <c r="AB1299">
        <v>25</v>
      </c>
      <c r="AC1299" s="17">
        <f t="shared" si="40"/>
        <v>3</v>
      </c>
      <c r="AD1299">
        <v>0.8</v>
      </c>
      <c r="AE1299">
        <v>30</v>
      </c>
      <c r="AF1299" s="11">
        <v>0.2</v>
      </c>
    </row>
    <row r="1300" spans="1:32" x14ac:dyDescent="0.3">
      <c r="A1300" t="s">
        <v>156</v>
      </c>
      <c r="B1300" t="s">
        <v>15</v>
      </c>
      <c r="C1300">
        <v>0.28000000000000003</v>
      </c>
      <c r="D1300">
        <v>331.34</v>
      </c>
      <c r="E1300">
        <v>2.2000000000000002</v>
      </c>
      <c r="F1300">
        <v>2.34</v>
      </c>
      <c r="G1300">
        <v>0.7</v>
      </c>
      <c r="H1300">
        <v>2.52</v>
      </c>
      <c r="I1300">
        <v>2.3047</v>
      </c>
      <c r="J1300">
        <v>72.900000000000006</v>
      </c>
      <c r="K1300" t="s">
        <v>132</v>
      </c>
      <c r="L1300" t="s">
        <v>51</v>
      </c>
      <c r="M1300">
        <v>2</v>
      </c>
      <c r="N1300" s="1">
        <v>48.122599999999998</v>
      </c>
      <c r="O1300">
        <v>5.3</v>
      </c>
      <c r="P1300" s="13">
        <v>1.81</v>
      </c>
      <c r="Q1300" t="s">
        <v>52</v>
      </c>
      <c r="R1300">
        <v>60</v>
      </c>
      <c r="S1300">
        <v>12</v>
      </c>
      <c r="T1300" t="s">
        <v>164</v>
      </c>
      <c r="U1300" t="s">
        <v>164</v>
      </c>
      <c r="V1300" s="7">
        <v>0.76159409213113394</v>
      </c>
      <c r="W1300">
        <v>3.5449999999999999</v>
      </c>
      <c r="X1300">
        <v>5.8742000000000004E-3</v>
      </c>
      <c r="Y1300">
        <v>3.4135</v>
      </c>
      <c r="AA1300">
        <v>6</v>
      </c>
      <c r="AB1300">
        <v>25</v>
      </c>
      <c r="AC1300" s="17">
        <f t="shared" si="40"/>
        <v>3</v>
      </c>
      <c r="AD1300">
        <v>0.8</v>
      </c>
      <c r="AE1300">
        <v>35</v>
      </c>
      <c r="AF1300" s="11">
        <v>0.2</v>
      </c>
    </row>
    <row r="1301" spans="1:32" x14ac:dyDescent="0.3">
      <c r="A1301" t="s">
        <v>156</v>
      </c>
      <c r="B1301" t="s">
        <v>15</v>
      </c>
      <c r="C1301">
        <v>0.28000000000000003</v>
      </c>
      <c r="D1301">
        <v>331.34</v>
      </c>
      <c r="E1301">
        <v>2.2000000000000002</v>
      </c>
      <c r="F1301">
        <v>2.34</v>
      </c>
      <c r="G1301">
        <v>0.7</v>
      </c>
      <c r="H1301">
        <v>2.52</v>
      </c>
      <c r="I1301">
        <v>2.3047</v>
      </c>
      <c r="J1301">
        <v>72.900000000000006</v>
      </c>
      <c r="K1301" t="s">
        <v>132</v>
      </c>
      <c r="L1301" t="s">
        <v>51</v>
      </c>
      <c r="M1301">
        <v>2</v>
      </c>
      <c r="N1301" s="1">
        <v>48.122599999999998</v>
      </c>
      <c r="O1301">
        <v>5.3</v>
      </c>
      <c r="P1301" s="13">
        <v>1.81</v>
      </c>
      <c r="Q1301" t="s">
        <v>52</v>
      </c>
      <c r="R1301">
        <v>60</v>
      </c>
      <c r="S1301">
        <v>12</v>
      </c>
      <c r="T1301" t="s">
        <v>164</v>
      </c>
      <c r="U1301" t="s">
        <v>164</v>
      </c>
      <c r="V1301" s="7">
        <v>0.76159409213113394</v>
      </c>
      <c r="W1301">
        <v>3.5449999999999999</v>
      </c>
      <c r="X1301">
        <v>5.8742000000000004E-3</v>
      </c>
      <c r="Y1301">
        <v>3.4135</v>
      </c>
      <c r="AA1301">
        <v>6</v>
      </c>
      <c r="AB1301">
        <v>25</v>
      </c>
      <c r="AC1301" s="17">
        <f t="shared" si="40"/>
        <v>3</v>
      </c>
      <c r="AD1301">
        <v>0.8</v>
      </c>
      <c r="AE1301">
        <v>40</v>
      </c>
      <c r="AF1301" s="11">
        <v>0.2</v>
      </c>
    </row>
    <row r="1302" spans="1:32" x14ac:dyDescent="0.3">
      <c r="A1302" t="s">
        <v>156</v>
      </c>
      <c r="B1302" t="s">
        <v>15</v>
      </c>
      <c r="C1302">
        <v>0.28000000000000003</v>
      </c>
      <c r="D1302">
        <v>331.34</v>
      </c>
      <c r="E1302">
        <v>2.2000000000000002</v>
      </c>
      <c r="F1302">
        <v>2.34</v>
      </c>
      <c r="G1302">
        <v>0.7</v>
      </c>
      <c r="H1302">
        <v>2.52</v>
      </c>
      <c r="I1302">
        <v>2.3047</v>
      </c>
      <c r="J1302">
        <v>72.900000000000006</v>
      </c>
      <c r="K1302" t="s">
        <v>132</v>
      </c>
      <c r="L1302" t="s">
        <v>51</v>
      </c>
      <c r="M1302">
        <v>2</v>
      </c>
      <c r="N1302" s="1">
        <v>48.122599999999998</v>
      </c>
      <c r="O1302">
        <v>5.3</v>
      </c>
      <c r="P1302" s="13">
        <v>1.81</v>
      </c>
      <c r="Q1302" t="s">
        <v>52</v>
      </c>
      <c r="R1302">
        <v>60</v>
      </c>
      <c r="S1302">
        <v>12</v>
      </c>
      <c r="T1302" t="s">
        <v>164</v>
      </c>
      <c r="U1302" t="s">
        <v>164</v>
      </c>
      <c r="V1302" s="7">
        <v>0.76159409213113394</v>
      </c>
      <c r="W1302">
        <v>3.5449999999999999</v>
      </c>
      <c r="X1302">
        <v>5.8742000000000004E-3</v>
      </c>
      <c r="Y1302">
        <v>3.4135</v>
      </c>
      <c r="AA1302">
        <v>6</v>
      </c>
      <c r="AB1302">
        <v>25</v>
      </c>
      <c r="AC1302" s="17">
        <v>0.5</v>
      </c>
      <c r="AD1302">
        <v>0.8</v>
      </c>
      <c r="AE1302">
        <v>10</v>
      </c>
      <c r="AF1302" s="11">
        <v>0.16</v>
      </c>
    </row>
    <row r="1303" spans="1:32" x14ac:dyDescent="0.3">
      <c r="A1303" t="s">
        <v>156</v>
      </c>
      <c r="B1303" t="s">
        <v>15</v>
      </c>
      <c r="C1303">
        <v>0.28000000000000003</v>
      </c>
      <c r="D1303">
        <v>331.34</v>
      </c>
      <c r="E1303">
        <v>2.2000000000000002</v>
      </c>
      <c r="F1303">
        <v>2.34</v>
      </c>
      <c r="G1303">
        <v>0.7</v>
      </c>
      <c r="H1303">
        <v>2.52</v>
      </c>
      <c r="I1303">
        <v>2.3047</v>
      </c>
      <c r="J1303">
        <v>72.900000000000006</v>
      </c>
      <c r="K1303" t="s">
        <v>132</v>
      </c>
      <c r="L1303" t="s">
        <v>51</v>
      </c>
      <c r="M1303">
        <v>2</v>
      </c>
      <c r="N1303" s="1">
        <v>48.122599999999998</v>
      </c>
      <c r="O1303">
        <v>5.3</v>
      </c>
      <c r="P1303" s="13">
        <v>1.81</v>
      </c>
      <c r="Q1303" t="s">
        <v>52</v>
      </c>
      <c r="R1303">
        <v>60</v>
      </c>
      <c r="S1303">
        <v>12</v>
      </c>
      <c r="T1303" t="s">
        <v>164</v>
      </c>
      <c r="U1303" t="s">
        <v>164</v>
      </c>
      <c r="V1303" s="7">
        <v>0.76159409213113394</v>
      </c>
      <c r="W1303">
        <v>3.5449999999999999</v>
      </c>
      <c r="X1303">
        <v>5.8742000000000004E-3</v>
      </c>
      <c r="Y1303">
        <v>3.4135</v>
      </c>
      <c r="AA1303">
        <v>6</v>
      </c>
      <c r="AB1303">
        <v>25</v>
      </c>
      <c r="AC1303" s="17">
        <v>1</v>
      </c>
      <c r="AD1303">
        <v>0.8</v>
      </c>
      <c r="AE1303">
        <v>10</v>
      </c>
      <c r="AF1303" s="11">
        <v>0.2</v>
      </c>
    </row>
    <row r="1304" spans="1:32" x14ac:dyDescent="0.3">
      <c r="A1304" t="s">
        <v>156</v>
      </c>
      <c r="B1304" t="s">
        <v>15</v>
      </c>
      <c r="C1304">
        <v>0.28000000000000003</v>
      </c>
      <c r="D1304">
        <v>331.34</v>
      </c>
      <c r="E1304">
        <v>2.2000000000000002</v>
      </c>
      <c r="F1304">
        <v>2.34</v>
      </c>
      <c r="G1304">
        <v>0.7</v>
      </c>
      <c r="H1304">
        <v>2.52</v>
      </c>
      <c r="I1304">
        <v>2.3047</v>
      </c>
      <c r="J1304">
        <v>72.900000000000006</v>
      </c>
      <c r="K1304" t="s">
        <v>132</v>
      </c>
      <c r="L1304" t="s">
        <v>51</v>
      </c>
      <c r="M1304">
        <v>2</v>
      </c>
      <c r="N1304" s="1">
        <v>48.122599999999998</v>
      </c>
      <c r="O1304">
        <v>5.3</v>
      </c>
      <c r="P1304" s="13">
        <v>1.81</v>
      </c>
      <c r="Q1304" t="s">
        <v>52</v>
      </c>
      <c r="R1304">
        <v>60</v>
      </c>
      <c r="S1304">
        <v>12</v>
      </c>
      <c r="T1304" t="s">
        <v>164</v>
      </c>
      <c r="U1304" t="s">
        <v>164</v>
      </c>
      <c r="V1304" s="7">
        <v>0.76159409213113394</v>
      </c>
      <c r="W1304">
        <v>3.5449999999999999</v>
      </c>
      <c r="X1304">
        <v>5.8742000000000004E-3</v>
      </c>
      <c r="Y1304">
        <v>3.4135</v>
      </c>
      <c r="AA1304">
        <v>6</v>
      </c>
      <c r="AB1304">
        <v>25</v>
      </c>
      <c r="AC1304" s="17">
        <v>1.5</v>
      </c>
      <c r="AD1304">
        <v>0.8</v>
      </c>
      <c r="AE1304">
        <v>10</v>
      </c>
      <c r="AF1304" s="11">
        <v>0.22</v>
      </c>
    </row>
    <row r="1305" spans="1:32" x14ac:dyDescent="0.3">
      <c r="A1305" t="s">
        <v>156</v>
      </c>
      <c r="B1305" t="s">
        <v>15</v>
      </c>
      <c r="C1305">
        <v>0.28000000000000003</v>
      </c>
      <c r="D1305">
        <v>331.34</v>
      </c>
      <c r="E1305">
        <v>2.2000000000000002</v>
      </c>
      <c r="F1305">
        <v>2.34</v>
      </c>
      <c r="G1305">
        <v>0.7</v>
      </c>
      <c r="H1305">
        <v>2.52</v>
      </c>
      <c r="I1305">
        <v>2.3047</v>
      </c>
      <c r="J1305">
        <v>72.900000000000006</v>
      </c>
      <c r="K1305" t="s">
        <v>132</v>
      </c>
      <c r="L1305" t="s">
        <v>51</v>
      </c>
      <c r="M1305">
        <v>2</v>
      </c>
      <c r="N1305" s="1">
        <v>48.122599999999998</v>
      </c>
      <c r="O1305">
        <v>5.3</v>
      </c>
      <c r="P1305" s="13">
        <v>1.81</v>
      </c>
      <c r="Q1305" t="s">
        <v>52</v>
      </c>
      <c r="R1305">
        <v>60</v>
      </c>
      <c r="S1305">
        <v>12</v>
      </c>
      <c r="T1305" t="s">
        <v>164</v>
      </c>
      <c r="U1305" t="s">
        <v>164</v>
      </c>
      <c r="V1305" s="7">
        <v>0.76159409213113394</v>
      </c>
      <c r="W1305">
        <v>3.5449999999999999</v>
      </c>
      <c r="X1305">
        <v>5.8742000000000004E-3</v>
      </c>
      <c r="Y1305">
        <v>3.4135</v>
      </c>
      <c r="AA1305">
        <v>6</v>
      </c>
      <c r="AB1305">
        <v>25</v>
      </c>
      <c r="AC1305" s="17">
        <v>2</v>
      </c>
      <c r="AD1305">
        <v>0.8</v>
      </c>
      <c r="AE1305">
        <v>10</v>
      </c>
      <c r="AF1305" s="11">
        <v>0.24</v>
      </c>
    </row>
    <row r="1306" spans="1:32" x14ac:dyDescent="0.3">
      <c r="A1306" t="s">
        <v>156</v>
      </c>
      <c r="B1306" t="s">
        <v>15</v>
      </c>
      <c r="C1306">
        <v>0.28000000000000003</v>
      </c>
      <c r="D1306">
        <v>331.34</v>
      </c>
      <c r="E1306">
        <v>2.2000000000000002</v>
      </c>
      <c r="F1306">
        <v>2.34</v>
      </c>
      <c r="G1306">
        <v>0.7</v>
      </c>
      <c r="H1306">
        <v>2.52</v>
      </c>
      <c r="I1306">
        <v>2.3047</v>
      </c>
      <c r="J1306">
        <v>72.900000000000006</v>
      </c>
      <c r="K1306" t="s">
        <v>132</v>
      </c>
      <c r="L1306" t="s">
        <v>51</v>
      </c>
      <c r="M1306">
        <v>2</v>
      </c>
      <c r="N1306" s="1">
        <v>48.122599999999998</v>
      </c>
      <c r="O1306">
        <v>5.3</v>
      </c>
      <c r="P1306" s="13">
        <v>1.81</v>
      </c>
      <c r="Q1306" t="s">
        <v>52</v>
      </c>
      <c r="R1306">
        <v>60</v>
      </c>
      <c r="S1306">
        <v>12</v>
      </c>
      <c r="T1306" t="s">
        <v>164</v>
      </c>
      <c r="U1306" t="s">
        <v>164</v>
      </c>
      <c r="V1306" s="7">
        <v>0.76159409213113394</v>
      </c>
      <c r="W1306">
        <v>3.5449999999999999</v>
      </c>
      <c r="X1306">
        <v>5.8742000000000004E-3</v>
      </c>
      <c r="Y1306">
        <v>3.4135</v>
      </c>
      <c r="AA1306">
        <v>6</v>
      </c>
      <c r="AB1306">
        <v>25</v>
      </c>
      <c r="AC1306" s="17">
        <v>2.5</v>
      </c>
      <c r="AD1306">
        <v>0.8</v>
      </c>
      <c r="AE1306">
        <v>10</v>
      </c>
      <c r="AF1306" s="11">
        <v>0.26</v>
      </c>
    </row>
    <row r="1307" spans="1:32" x14ac:dyDescent="0.3">
      <c r="A1307" t="s">
        <v>156</v>
      </c>
      <c r="B1307" t="s">
        <v>15</v>
      </c>
      <c r="C1307">
        <v>0.28000000000000003</v>
      </c>
      <c r="D1307">
        <v>331.34</v>
      </c>
      <c r="E1307">
        <v>2.2000000000000002</v>
      </c>
      <c r="F1307">
        <v>2.34</v>
      </c>
      <c r="G1307">
        <v>0.7</v>
      </c>
      <c r="H1307">
        <v>2.52</v>
      </c>
      <c r="I1307">
        <v>2.3047</v>
      </c>
      <c r="J1307">
        <v>72.900000000000006</v>
      </c>
      <c r="K1307" t="s">
        <v>132</v>
      </c>
      <c r="L1307" t="s">
        <v>51</v>
      </c>
      <c r="M1307">
        <v>2</v>
      </c>
      <c r="N1307" s="1">
        <v>48.122599999999998</v>
      </c>
      <c r="O1307">
        <v>5.3</v>
      </c>
      <c r="P1307" s="13">
        <v>1.81</v>
      </c>
      <c r="Q1307" t="s">
        <v>52</v>
      </c>
      <c r="R1307">
        <v>60</v>
      </c>
      <c r="S1307">
        <v>12</v>
      </c>
      <c r="T1307" t="s">
        <v>164</v>
      </c>
      <c r="U1307" t="s">
        <v>164</v>
      </c>
      <c r="V1307" s="7">
        <v>0.76159409213113394</v>
      </c>
      <c r="W1307">
        <v>3.5449999999999999</v>
      </c>
      <c r="X1307">
        <v>5.8742000000000004E-3</v>
      </c>
      <c r="Y1307">
        <v>3.4135</v>
      </c>
      <c r="AA1307">
        <v>6</v>
      </c>
      <c r="AB1307">
        <v>25</v>
      </c>
      <c r="AC1307" s="17">
        <v>3</v>
      </c>
      <c r="AD1307">
        <v>0.8</v>
      </c>
      <c r="AE1307">
        <v>10</v>
      </c>
      <c r="AF1307" s="11">
        <v>0.27</v>
      </c>
    </row>
    <row r="1308" spans="1:32" x14ac:dyDescent="0.3">
      <c r="A1308" t="s">
        <v>156</v>
      </c>
      <c r="B1308" t="s">
        <v>15</v>
      </c>
      <c r="C1308">
        <v>0.28000000000000003</v>
      </c>
      <c r="D1308">
        <v>331.34</v>
      </c>
      <c r="E1308">
        <v>2.2000000000000002</v>
      </c>
      <c r="F1308">
        <v>2.34</v>
      </c>
      <c r="G1308">
        <v>0.7</v>
      </c>
      <c r="H1308">
        <v>2.52</v>
      </c>
      <c r="I1308">
        <v>2.3047</v>
      </c>
      <c r="J1308">
        <v>72.900000000000006</v>
      </c>
      <c r="K1308" t="s">
        <v>132</v>
      </c>
      <c r="L1308" t="s">
        <v>51</v>
      </c>
      <c r="M1308">
        <v>2</v>
      </c>
      <c r="N1308" s="1">
        <v>48.122599999999998</v>
      </c>
      <c r="O1308">
        <v>5.3</v>
      </c>
      <c r="P1308" s="13">
        <v>1.81</v>
      </c>
      <c r="Q1308" t="s">
        <v>52</v>
      </c>
      <c r="R1308">
        <v>60</v>
      </c>
      <c r="S1308">
        <v>12</v>
      </c>
      <c r="T1308" t="s">
        <v>164</v>
      </c>
      <c r="U1308" t="s">
        <v>164</v>
      </c>
      <c r="V1308" s="7">
        <v>0.76159409213113394</v>
      </c>
      <c r="W1308">
        <v>3.5449999999999999</v>
      </c>
      <c r="X1308">
        <v>5.8742000000000004E-3</v>
      </c>
      <c r="Y1308">
        <v>3.4135</v>
      </c>
      <c r="AA1308">
        <v>6</v>
      </c>
      <c r="AB1308">
        <v>25</v>
      </c>
      <c r="AC1308" s="17">
        <v>3.5</v>
      </c>
      <c r="AD1308">
        <v>0.8</v>
      </c>
      <c r="AE1308">
        <v>10</v>
      </c>
      <c r="AF1308" s="11">
        <v>0.27</v>
      </c>
    </row>
    <row r="1309" spans="1:32" x14ac:dyDescent="0.3">
      <c r="A1309" t="s">
        <v>156</v>
      </c>
      <c r="B1309" t="s">
        <v>15</v>
      </c>
      <c r="C1309">
        <v>0.28000000000000003</v>
      </c>
      <c r="D1309">
        <v>331.34</v>
      </c>
      <c r="E1309">
        <v>2.2000000000000002</v>
      </c>
      <c r="F1309">
        <v>2.34</v>
      </c>
      <c r="G1309">
        <v>0.7</v>
      </c>
      <c r="H1309">
        <v>2.52</v>
      </c>
      <c r="I1309">
        <v>2.3047</v>
      </c>
      <c r="J1309">
        <v>72.900000000000006</v>
      </c>
      <c r="K1309" t="s">
        <v>132</v>
      </c>
      <c r="L1309" t="s">
        <v>51</v>
      </c>
      <c r="M1309">
        <v>2</v>
      </c>
      <c r="N1309" s="1">
        <v>48.122599999999998</v>
      </c>
      <c r="O1309">
        <v>5.3</v>
      </c>
      <c r="P1309" s="13">
        <v>1.81</v>
      </c>
      <c r="Q1309" t="s">
        <v>52</v>
      </c>
      <c r="R1309">
        <v>60</v>
      </c>
      <c r="S1309">
        <v>12</v>
      </c>
      <c r="T1309" t="s">
        <v>164</v>
      </c>
      <c r="U1309" t="s">
        <v>164</v>
      </c>
      <c r="V1309" s="7">
        <v>0.76159409213113394</v>
      </c>
      <c r="W1309">
        <v>3.5449999999999999</v>
      </c>
      <c r="X1309">
        <v>5.8742000000000004E-3</v>
      </c>
      <c r="Y1309">
        <v>3.4135</v>
      </c>
      <c r="AA1309">
        <v>6</v>
      </c>
      <c r="AB1309">
        <v>25</v>
      </c>
      <c r="AC1309" s="17">
        <v>4</v>
      </c>
      <c r="AD1309">
        <v>0.8</v>
      </c>
      <c r="AE1309">
        <v>10</v>
      </c>
      <c r="AF1309" s="11">
        <v>0.27</v>
      </c>
    </row>
    <row r="1310" spans="1:32" x14ac:dyDescent="0.3">
      <c r="A1310" t="s">
        <v>156</v>
      </c>
      <c r="B1310" t="s">
        <v>15</v>
      </c>
      <c r="C1310">
        <v>0.28000000000000003</v>
      </c>
      <c r="D1310">
        <v>331.34</v>
      </c>
      <c r="E1310">
        <v>2.2000000000000002</v>
      </c>
      <c r="F1310">
        <v>2.34</v>
      </c>
      <c r="G1310">
        <v>0.7</v>
      </c>
      <c r="H1310">
        <v>2.52</v>
      </c>
      <c r="I1310">
        <v>2.3047</v>
      </c>
      <c r="J1310">
        <v>72.900000000000006</v>
      </c>
      <c r="K1310" t="s">
        <v>132</v>
      </c>
      <c r="L1310" t="s">
        <v>51</v>
      </c>
      <c r="M1310">
        <v>2</v>
      </c>
      <c r="N1310" s="1">
        <v>48.122599999999998</v>
      </c>
      <c r="O1310">
        <v>5.3</v>
      </c>
      <c r="P1310" s="13">
        <v>1.81</v>
      </c>
      <c r="Q1310" t="s">
        <v>52</v>
      </c>
      <c r="R1310">
        <v>60</v>
      </c>
      <c r="S1310">
        <v>12</v>
      </c>
      <c r="T1310" t="s">
        <v>164</v>
      </c>
      <c r="U1310" t="s">
        <v>164</v>
      </c>
      <c r="V1310" s="7">
        <v>0.76159409213113394</v>
      </c>
      <c r="W1310">
        <v>3.5449999999999999</v>
      </c>
      <c r="X1310">
        <v>5.8742000000000004E-3</v>
      </c>
      <c r="Y1310">
        <v>3.4135</v>
      </c>
      <c r="AA1310">
        <v>6</v>
      </c>
      <c r="AB1310">
        <v>25</v>
      </c>
      <c r="AC1310" s="17">
        <v>4.5</v>
      </c>
      <c r="AD1310">
        <v>0.8</v>
      </c>
      <c r="AE1310">
        <v>10</v>
      </c>
      <c r="AF1310" s="11">
        <v>0.27</v>
      </c>
    </row>
    <row r="1311" spans="1:32" x14ac:dyDescent="0.3">
      <c r="A1311" t="s">
        <v>156</v>
      </c>
      <c r="B1311" t="s">
        <v>15</v>
      </c>
      <c r="C1311">
        <v>0.28000000000000003</v>
      </c>
      <c r="D1311">
        <v>331.34</v>
      </c>
      <c r="E1311">
        <v>2.2000000000000002</v>
      </c>
      <c r="F1311">
        <v>2.34</v>
      </c>
      <c r="G1311">
        <v>0.7</v>
      </c>
      <c r="H1311">
        <v>2.52</v>
      </c>
      <c r="I1311">
        <v>2.3047</v>
      </c>
      <c r="J1311">
        <v>72.900000000000006</v>
      </c>
      <c r="K1311" t="s">
        <v>132</v>
      </c>
      <c r="L1311" t="s">
        <v>51</v>
      </c>
      <c r="M1311">
        <v>2</v>
      </c>
      <c r="N1311" s="1">
        <v>48.122599999999998</v>
      </c>
      <c r="O1311">
        <v>5.3</v>
      </c>
      <c r="P1311" s="13">
        <v>1.81</v>
      </c>
      <c r="Q1311" t="s">
        <v>52</v>
      </c>
      <c r="R1311">
        <v>60</v>
      </c>
      <c r="S1311">
        <v>12</v>
      </c>
      <c r="T1311" t="s">
        <v>164</v>
      </c>
      <c r="U1311" t="s">
        <v>164</v>
      </c>
      <c r="V1311" s="7">
        <v>0.76159409213113394</v>
      </c>
      <c r="W1311">
        <v>3.5449999999999999</v>
      </c>
      <c r="X1311">
        <v>5.8742000000000004E-3</v>
      </c>
      <c r="Y1311">
        <v>3.4135</v>
      </c>
      <c r="AA1311">
        <v>6</v>
      </c>
      <c r="AB1311">
        <v>25</v>
      </c>
      <c r="AC1311" s="17">
        <v>5</v>
      </c>
      <c r="AD1311">
        <v>0.8</v>
      </c>
      <c r="AE1311">
        <v>10</v>
      </c>
      <c r="AF1311" s="11">
        <v>0.27</v>
      </c>
    </row>
    <row r="1312" spans="1:32" x14ac:dyDescent="0.3">
      <c r="A1312" t="s">
        <v>156</v>
      </c>
      <c r="B1312" t="s">
        <v>15</v>
      </c>
      <c r="C1312">
        <v>0.28000000000000003</v>
      </c>
      <c r="D1312">
        <v>331.34</v>
      </c>
      <c r="E1312">
        <v>2.2000000000000002</v>
      </c>
      <c r="F1312">
        <v>2.34</v>
      </c>
      <c r="G1312">
        <v>0.7</v>
      </c>
      <c r="H1312">
        <v>2.52</v>
      </c>
      <c r="I1312">
        <v>2.3047</v>
      </c>
      <c r="J1312">
        <v>72.900000000000006</v>
      </c>
      <c r="K1312" t="s">
        <v>132</v>
      </c>
      <c r="L1312" t="s">
        <v>51</v>
      </c>
      <c r="M1312">
        <v>2</v>
      </c>
      <c r="N1312" s="1">
        <v>48.122599999999998</v>
      </c>
      <c r="O1312">
        <v>5.3</v>
      </c>
      <c r="P1312" s="13">
        <v>1.81</v>
      </c>
      <c r="Q1312" t="s">
        <v>52</v>
      </c>
      <c r="R1312">
        <v>60</v>
      </c>
      <c r="S1312">
        <v>12</v>
      </c>
      <c r="T1312" t="s">
        <v>164</v>
      </c>
      <c r="U1312" t="s">
        <v>164</v>
      </c>
      <c r="V1312" s="7">
        <v>0.76159409213113394</v>
      </c>
      <c r="W1312">
        <v>3.5449999999999999</v>
      </c>
      <c r="X1312">
        <v>5.8742000000000004E-3</v>
      </c>
      <c r="Y1312">
        <v>3.4135</v>
      </c>
      <c r="AA1312">
        <v>2</v>
      </c>
      <c r="AB1312">
        <v>25</v>
      </c>
      <c r="AC1312" s="17">
        <v>3</v>
      </c>
      <c r="AD1312">
        <v>0.8</v>
      </c>
      <c r="AE1312">
        <v>10</v>
      </c>
      <c r="AF1312" s="11">
        <v>0.11</v>
      </c>
    </row>
    <row r="1313" spans="1:32" x14ac:dyDescent="0.3">
      <c r="A1313" t="s">
        <v>156</v>
      </c>
      <c r="B1313" t="s">
        <v>15</v>
      </c>
      <c r="C1313">
        <v>0.28000000000000003</v>
      </c>
      <c r="D1313">
        <v>331.34</v>
      </c>
      <c r="E1313">
        <v>2.2000000000000002</v>
      </c>
      <c r="F1313">
        <v>2.34</v>
      </c>
      <c r="G1313">
        <v>0.7</v>
      </c>
      <c r="H1313">
        <v>2.52</v>
      </c>
      <c r="I1313">
        <v>2.3047</v>
      </c>
      <c r="J1313">
        <v>72.900000000000006</v>
      </c>
      <c r="K1313" t="s">
        <v>132</v>
      </c>
      <c r="L1313" t="s">
        <v>51</v>
      </c>
      <c r="M1313">
        <v>2</v>
      </c>
      <c r="N1313" s="1">
        <v>48.122599999999998</v>
      </c>
      <c r="O1313">
        <v>5.3</v>
      </c>
      <c r="P1313" s="13">
        <v>1.81</v>
      </c>
      <c r="Q1313" t="s">
        <v>52</v>
      </c>
      <c r="R1313">
        <v>60</v>
      </c>
      <c r="S1313">
        <v>12</v>
      </c>
      <c r="T1313" t="s">
        <v>164</v>
      </c>
      <c r="U1313" t="s">
        <v>164</v>
      </c>
      <c r="V1313" s="7">
        <v>0.76159409213113394</v>
      </c>
      <c r="W1313">
        <v>3.5449999999999999</v>
      </c>
      <c r="X1313">
        <v>5.8742000000000004E-3</v>
      </c>
      <c r="Y1313">
        <v>3.4135</v>
      </c>
      <c r="AA1313">
        <v>4</v>
      </c>
      <c r="AB1313">
        <v>25</v>
      </c>
      <c r="AC1313" s="17">
        <v>3</v>
      </c>
      <c r="AD1313">
        <v>0.8</v>
      </c>
      <c r="AE1313">
        <v>10</v>
      </c>
      <c r="AF1313" s="11">
        <v>0.16</v>
      </c>
    </row>
    <row r="1314" spans="1:32" x14ac:dyDescent="0.3">
      <c r="A1314" t="s">
        <v>156</v>
      </c>
      <c r="B1314" t="s">
        <v>15</v>
      </c>
      <c r="C1314">
        <v>0.28000000000000003</v>
      </c>
      <c r="D1314">
        <v>331.34</v>
      </c>
      <c r="E1314">
        <v>2.2000000000000002</v>
      </c>
      <c r="F1314">
        <v>2.34</v>
      </c>
      <c r="G1314">
        <v>0.7</v>
      </c>
      <c r="H1314">
        <v>2.52</v>
      </c>
      <c r="I1314">
        <v>2.3047</v>
      </c>
      <c r="J1314">
        <v>72.900000000000006</v>
      </c>
      <c r="K1314" t="s">
        <v>132</v>
      </c>
      <c r="L1314" t="s">
        <v>51</v>
      </c>
      <c r="M1314">
        <v>2</v>
      </c>
      <c r="N1314" s="1">
        <v>48.122599999999998</v>
      </c>
      <c r="O1314">
        <v>5.3</v>
      </c>
      <c r="P1314" s="13">
        <v>1.81</v>
      </c>
      <c r="Q1314" t="s">
        <v>52</v>
      </c>
      <c r="R1314">
        <v>60</v>
      </c>
      <c r="S1314">
        <v>12</v>
      </c>
      <c r="T1314" t="s">
        <v>164</v>
      </c>
      <c r="U1314" t="s">
        <v>164</v>
      </c>
      <c r="V1314" s="7">
        <v>0.76159409213113394</v>
      </c>
      <c r="W1314">
        <v>3.5449999999999999</v>
      </c>
      <c r="X1314">
        <v>5.8742000000000004E-3</v>
      </c>
      <c r="Y1314">
        <v>3.4135</v>
      </c>
      <c r="AA1314">
        <v>6</v>
      </c>
      <c r="AB1314">
        <v>25</v>
      </c>
      <c r="AC1314" s="17">
        <v>3</v>
      </c>
      <c r="AD1314">
        <v>0.8</v>
      </c>
      <c r="AE1314">
        <v>10</v>
      </c>
      <c r="AF1314" s="11">
        <v>0.27</v>
      </c>
    </row>
    <row r="1315" spans="1:32" x14ac:dyDescent="0.3">
      <c r="A1315" t="s">
        <v>156</v>
      </c>
      <c r="B1315" t="s">
        <v>15</v>
      </c>
      <c r="C1315">
        <v>0.28000000000000003</v>
      </c>
      <c r="D1315">
        <v>331.34</v>
      </c>
      <c r="E1315">
        <v>2.2000000000000002</v>
      </c>
      <c r="F1315">
        <v>2.34</v>
      </c>
      <c r="G1315">
        <v>0.7</v>
      </c>
      <c r="H1315">
        <v>2.52</v>
      </c>
      <c r="I1315">
        <v>2.3047</v>
      </c>
      <c r="J1315">
        <v>72.900000000000006</v>
      </c>
      <c r="K1315" t="s">
        <v>132</v>
      </c>
      <c r="L1315" t="s">
        <v>51</v>
      </c>
      <c r="M1315">
        <v>2</v>
      </c>
      <c r="N1315" s="1">
        <v>48.122599999999998</v>
      </c>
      <c r="O1315">
        <v>5.3</v>
      </c>
      <c r="P1315" s="13">
        <v>1.81</v>
      </c>
      <c r="Q1315" t="s">
        <v>52</v>
      </c>
      <c r="R1315">
        <v>60</v>
      </c>
      <c r="S1315">
        <v>12</v>
      </c>
      <c r="T1315" t="s">
        <v>164</v>
      </c>
      <c r="U1315" t="s">
        <v>164</v>
      </c>
      <c r="V1315" s="7">
        <v>0.76159409213113394</v>
      </c>
      <c r="W1315">
        <v>3.5449999999999999</v>
      </c>
      <c r="X1315">
        <v>5.8742000000000004E-3</v>
      </c>
      <c r="Y1315">
        <v>3.4135</v>
      </c>
      <c r="AA1315">
        <v>8</v>
      </c>
      <c r="AB1315">
        <v>25</v>
      </c>
      <c r="AC1315" s="17">
        <v>3</v>
      </c>
      <c r="AD1315">
        <v>0.8</v>
      </c>
      <c r="AE1315">
        <v>10</v>
      </c>
      <c r="AF1315" s="11">
        <v>0.25</v>
      </c>
    </row>
    <row r="1316" spans="1:32" x14ac:dyDescent="0.3">
      <c r="A1316" t="s">
        <v>156</v>
      </c>
      <c r="B1316" t="s">
        <v>15</v>
      </c>
      <c r="C1316">
        <v>0.28000000000000003</v>
      </c>
      <c r="D1316">
        <v>331.34</v>
      </c>
      <c r="E1316">
        <v>2.2000000000000002</v>
      </c>
      <c r="F1316">
        <v>2.34</v>
      </c>
      <c r="G1316">
        <v>0.7</v>
      </c>
      <c r="H1316">
        <v>2.52</v>
      </c>
      <c r="I1316">
        <v>2.3047</v>
      </c>
      <c r="J1316">
        <v>72.900000000000006</v>
      </c>
      <c r="K1316" t="s">
        <v>132</v>
      </c>
      <c r="L1316" t="s">
        <v>51</v>
      </c>
      <c r="M1316">
        <v>2</v>
      </c>
      <c r="N1316" s="1">
        <v>48.122599999999998</v>
      </c>
      <c r="O1316">
        <v>5.3</v>
      </c>
      <c r="P1316" s="13">
        <v>1.81</v>
      </c>
      <c r="Q1316" t="s">
        <v>52</v>
      </c>
      <c r="R1316">
        <v>60</v>
      </c>
      <c r="S1316">
        <v>12</v>
      </c>
      <c r="T1316" t="s">
        <v>164</v>
      </c>
      <c r="U1316" t="s">
        <v>164</v>
      </c>
      <c r="V1316" s="7">
        <v>0.76159409213113394</v>
      </c>
      <c r="W1316">
        <v>3.5449999999999999</v>
      </c>
      <c r="X1316">
        <v>5.8742000000000004E-3</v>
      </c>
      <c r="Y1316">
        <v>3.4135</v>
      </c>
      <c r="AA1316">
        <v>10</v>
      </c>
      <c r="AB1316">
        <v>25</v>
      </c>
      <c r="AC1316" s="17">
        <v>3</v>
      </c>
      <c r="AD1316">
        <v>0.8</v>
      </c>
      <c r="AE1316">
        <v>10</v>
      </c>
      <c r="AF1316" s="11">
        <v>0.2</v>
      </c>
    </row>
    <row r="1317" spans="1:32" x14ac:dyDescent="0.3">
      <c r="A1317" t="s">
        <v>156</v>
      </c>
      <c r="B1317" t="s">
        <v>15</v>
      </c>
      <c r="C1317">
        <v>0.28000000000000003</v>
      </c>
      <c r="D1317">
        <v>331.34</v>
      </c>
      <c r="E1317">
        <v>2.2000000000000002</v>
      </c>
      <c r="F1317">
        <v>2.34</v>
      </c>
      <c r="G1317">
        <v>0.7</v>
      </c>
      <c r="H1317">
        <v>2.52</v>
      </c>
      <c r="I1317">
        <v>2.3047</v>
      </c>
      <c r="J1317">
        <v>72.900000000000006</v>
      </c>
      <c r="K1317" t="s">
        <v>132</v>
      </c>
      <c r="L1317" t="s">
        <v>51</v>
      </c>
      <c r="M1317">
        <v>2</v>
      </c>
      <c r="N1317" s="1">
        <v>48.122599999999998</v>
      </c>
      <c r="O1317">
        <v>5.3</v>
      </c>
      <c r="P1317" s="13">
        <v>1.81</v>
      </c>
      <c r="Q1317" t="s">
        <v>52</v>
      </c>
      <c r="R1317">
        <v>60</v>
      </c>
      <c r="S1317">
        <v>12</v>
      </c>
      <c r="T1317" t="s">
        <v>164</v>
      </c>
      <c r="U1317" t="s">
        <v>164</v>
      </c>
      <c r="V1317" s="7">
        <v>0.76159409213113394</v>
      </c>
      <c r="W1317">
        <v>3.5449999999999999</v>
      </c>
      <c r="X1317">
        <v>5.8742000000000004E-3</v>
      </c>
      <c r="Y1317">
        <v>3.4135</v>
      </c>
      <c r="AA1317">
        <v>12</v>
      </c>
      <c r="AB1317">
        <v>25</v>
      </c>
      <c r="AC1317" s="17">
        <v>3</v>
      </c>
      <c r="AD1317">
        <v>0.8</v>
      </c>
      <c r="AE1317">
        <v>10</v>
      </c>
      <c r="AF1317" s="11">
        <v>0.18</v>
      </c>
    </row>
    <row r="1318" spans="1:32" x14ac:dyDescent="0.3">
      <c r="A1318" t="s">
        <v>165</v>
      </c>
      <c r="B1318" t="s">
        <v>15</v>
      </c>
      <c r="C1318">
        <v>0.28000000000000003</v>
      </c>
      <c r="D1318">
        <v>331.34</v>
      </c>
      <c r="E1318">
        <v>2.2000000000000002</v>
      </c>
      <c r="F1318">
        <v>2.34</v>
      </c>
      <c r="G1318">
        <v>0.7</v>
      </c>
      <c r="H1318">
        <v>2.52</v>
      </c>
      <c r="I1318">
        <v>2.3047</v>
      </c>
      <c r="J1318">
        <v>72.900000000000006</v>
      </c>
      <c r="K1318" t="s">
        <v>45</v>
      </c>
      <c r="L1318" t="s">
        <v>51</v>
      </c>
      <c r="M1318">
        <v>4</v>
      </c>
      <c r="N1318" s="7">
        <v>57.700200000000002</v>
      </c>
      <c r="O1318">
        <v>8</v>
      </c>
      <c r="P1318" s="13">
        <v>1.6419999999999999</v>
      </c>
      <c r="Q1318" t="s">
        <v>52</v>
      </c>
      <c r="R1318">
        <v>25</v>
      </c>
      <c r="S1318">
        <v>24</v>
      </c>
      <c r="T1318" t="s">
        <v>164</v>
      </c>
      <c r="U1318" t="s">
        <v>164</v>
      </c>
      <c r="V1318" s="7">
        <v>0.76619804358985755</v>
      </c>
      <c r="W1318">
        <v>73.05</v>
      </c>
      <c r="X1318">
        <v>0.25</v>
      </c>
      <c r="Y1318">
        <v>13.87</v>
      </c>
      <c r="Z1318">
        <v>7.8</v>
      </c>
      <c r="AA1318" s="9">
        <v>9</v>
      </c>
      <c r="AB1318">
        <v>25</v>
      </c>
      <c r="AC1318" s="17">
        <v>2.67</v>
      </c>
      <c r="AD1318">
        <v>0.02</v>
      </c>
      <c r="AE1318">
        <v>100</v>
      </c>
      <c r="AF1318" s="11">
        <v>0.48</v>
      </c>
    </row>
    <row r="1319" spans="1:32" x14ac:dyDescent="0.3">
      <c r="A1319" t="s">
        <v>165</v>
      </c>
      <c r="B1319" t="s">
        <v>15</v>
      </c>
      <c r="C1319">
        <v>0.28000000000000003</v>
      </c>
      <c r="D1319">
        <v>331.34</v>
      </c>
      <c r="E1319">
        <v>2.2000000000000002</v>
      </c>
      <c r="F1319">
        <v>2.34</v>
      </c>
      <c r="G1319">
        <v>0.7</v>
      </c>
      <c r="H1319">
        <v>2.52</v>
      </c>
      <c r="I1319">
        <v>2.3047</v>
      </c>
      <c r="J1319">
        <v>72.900000000000006</v>
      </c>
      <c r="K1319" t="s">
        <v>45</v>
      </c>
      <c r="L1319" t="s">
        <v>51</v>
      </c>
      <c r="M1319">
        <v>4</v>
      </c>
      <c r="N1319" s="7">
        <v>57.700200000000002</v>
      </c>
      <c r="O1319">
        <v>8</v>
      </c>
      <c r="P1319" s="13">
        <v>1.6419999999999999</v>
      </c>
      <c r="Q1319" t="s">
        <v>52</v>
      </c>
      <c r="R1319">
        <v>25</v>
      </c>
      <c r="S1319">
        <v>24</v>
      </c>
      <c r="T1319" t="s">
        <v>164</v>
      </c>
      <c r="U1319" t="s">
        <v>164</v>
      </c>
      <c r="V1319" s="7">
        <v>0.76619804358985755</v>
      </c>
      <c r="W1319">
        <v>73.05</v>
      </c>
      <c r="X1319">
        <v>0.25</v>
      </c>
      <c r="Y1319">
        <v>13.87</v>
      </c>
      <c r="Z1319">
        <v>7.8</v>
      </c>
      <c r="AA1319" s="9">
        <v>9</v>
      </c>
      <c r="AB1319">
        <v>25</v>
      </c>
      <c r="AC1319" s="17">
        <v>2.67</v>
      </c>
      <c r="AD1319">
        <v>0.04</v>
      </c>
      <c r="AE1319">
        <v>100</v>
      </c>
      <c r="AF1319" s="11">
        <v>0.7</v>
      </c>
    </row>
    <row r="1320" spans="1:32" x14ac:dyDescent="0.3">
      <c r="A1320" t="s">
        <v>165</v>
      </c>
      <c r="B1320" t="s">
        <v>15</v>
      </c>
      <c r="C1320">
        <v>0.28000000000000003</v>
      </c>
      <c r="D1320">
        <v>331.34</v>
      </c>
      <c r="E1320">
        <v>2.2000000000000002</v>
      </c>
      <c r="F1320">
        <v>2.34</v>
      </c>
      <c r="G1320">
        <v>0.7</v>
      </c>
      <c r="H1320">
        <v>2.52</v>
      </c>
      <c r="I1320">
        <v>2.3047</v>
      </c>
      <c r="J1320">
        <v>72.900000000000006</v>
      </c>
      <c r="K1320" t="s">
        <v>45</v>
      </c>
      <c r="L1320" t="s">
        <v>51</v>
      </c>
      <c r="M1320">
        <v>4</v>
      </c>
      <c r="N1320" s="7">
        <v>57.700200000000002</v>
      </c>
      <c r="O1320">
        <v>8</v>
      </c>
      <c r="P1320" s="13">
        <v>1.6419999999999999</v>
      </c>
      <c r="Q1320" t="s">
        <v>52</v>
      </c>
      <c r="R1320">
        <v>25</v>
      </c>
      <c r="S1320">
        <v>24</v>
      </c>
      <c r="T1320" t="s">
        <v>164</v>
      </c>
      <c r="U1320" t="s">
        <v>164</v>
      </c>
      <c r="V1320" s="7">
        <v>0.76619804358985755</v>
      </c>
      <c r="W1320">
        <v>73.05</v>
      </c>
      <c r="X1320">
        <v>0.25</v>
      </c>
      <c r="Y1320">
        <v>13.87</v>
      </c>
      <c r="Z1320">
        <v>7.8</v>
      </c>
      <c r="AA1320" s="9">
        <v>9</v>
      </c>
      <c r="AB1320">
        <v>25</v>
      </c>
      <c r="AC1320" s="17">
        <v>2.67</v>
      </c>
      <c r="AD1320">
        <v>0.06</v>
      </c>
      <c r="AE1320">
        <v>100</v>
      </c>
      <c r="AF1320" s="11">
        <v>0.74</v>
      </c>
    </row>
    <row r="1321" spans="1:32" x14ac:dyDescent="0.3">
      <c r="A1321" t="s">
        <v>165</v>
      </c>
      <c r="B1321" t="s">
        <v>15</v>
      </c>
      <c r="C1321">
        <v>0.28000000000000003</v>
      </c>
      <c r="D1321">
        <v>331.34</v>
      </c>
      <c r="E1321">
        <v>2.2000000000000002</v>
      </c>
      <c r="F1321">
        <v>2.34</v>
      </c>
      <c r="G1321">
        <v>0.7</v>
      </c>
      <c r="H1321">
        <v>2.52</v>
      </c>
      <c r="I1321">
        <v>2.3047</v>
      </c>
      <c r="J1321">
        <v>72.900000000000006</v>
      </c>
      <c r="K1321" t="s">
        <v>45</v>
      </c>
      <c r="L1321" t="s">
        <v>51</v>
      </c>
      <c r="M1321">
        <v>4</v>
      </c>
      <c r="N1321" s="7">
        <v>57.700200000000002</v>
      </c>
      <c r="O1321">
        <v>8</v>
      </c>
      <c r="P1321" s="13">
        <v>1.6419999999999999</v>
      </c>
      <c r="Q1321" t="s">
        <v>52</v>
      </c>
      <c r="R1321">
        <v>25</v>
      </c>
      <c r="S1321">
        <v>24</v>
      </c>
      <c r="T1321" t="s">
        <v>164</v>
      </c>
      <c r="U1321" t="s">
        <v>164</v>
      </c>
      <c r="V1321" s="7">
        <v>0.76619804358985755</v>
      </c>
      <c r="W1321">
        <v>73.05</v>
      </c>
      <c r="X1321">
        <v>0.25</v>
      </c>
      <c r="Y1321">
        <v>13.87</v>
      </c>
      <c r="Z1321">
        <v>7.8</v>
      </c>
      <c r="AA1321" s="9">
        <v>9</v>
      </c>
      <c r="AB1321">
        <v>25</v>
      </c>
      <c r="AC1321" s="17">
        <v>2.67</v>
      </c>
      <c r="AD1321">
        <v>0.08</v>
      </c>
      <c r="AE1321">
        <v>100</v>
      </c>
      <c r="AF1321" s="11">
        <v>0.74</v>
      </c>
    </row>
    <row r="1322" spans="1:32" x14ac:dyDescent="0.3">
      <c r="A1322" t="s">
        <v>165</v>
      </c>
      <c r="B1322" t="s">
        <v>15</v>
      </c>
      <c r="C1322">
        <v>0.28000000000000003</v>
      </c>
      <c r="D1322">
        <v>331.34</v>
      </c>
      <c r="E1322">
        <v>2.2000000000000002</v>
      </c>
      <c r="F1322">
        <v>2.34</v>
      </c>
      <c r="G1322">
        <v>0.7</v>
      </c>
      <c r="H1322">
        <v>2.52</v>
      </c>
      <c r="I1322">
        <v>2.3047</v>
      </c>
      <c r="J1322">
        <v>72.900000000000006</v>
      </c>
      <c r="K1322" t="s">
        <v>45</v>
      </c>
      <c r="L1322" t="s">
        <v>51</v>
      </c>
      <c r="M1322">
        <v>4</v>
      </c>
      <c r="N1322" s="7">
        <v>57.700200000000002</v>
      </c>
      <c r="O1322">
        <v>8</v>
      </c>
      <c r="P1322" s="13">
        <v>1.6419999999999999</v>
      </c>
      <c r="Q1322" t="s">
        <v>52</v>
      </c>
      <c r="R1322">
        <v>25</v>
      </c>
      <c r="S1322">
        <v>24</v>
      </c>
      <c r="T1322" t="s">
        <v>164</v>
      </c>
      <c r="U1322" t="s">
        <v>164</v>
      </c>
      <c r="V1322" s="7">
        <v>0.76619804358985755</v>
      </c>
      <c r="W1322">
        <v>73.05</v>
      </c>
      <c r="X1322">
        <v>0.25</v>
      </c>
      <c r="Y1322">
        <v>13.87</v>
      </c>
      <c r="Z1322">
        <v>7.8</v>
      </c>
      <c r="AA1322" s="9">
        <v>9</v>
      </c>
      <c r="AB1322">
        <v>25</v>
      </c>
      <c r="AC1322" s="17">
        <v>2.67</v>
      </c>
      <c r="AD1322">
        <v>0.1</v>
      </c>
      <c r="AE1322">
        <v>100</v>
      </c>
      <c r="AF1322" s="11">
        <v>0.73</v>
      </c>
    </row>
    <row r="1323" spans="1:32" x14ac:dyDescent="0.3">
      <c r="A1323" t="s">
        <v>165</v>
      </c>
      <c r="B1323" t="s">
        <v>15</v>
      </c>
      <c r="C1323">
        <v>0.28000000000000003</v>
      </c>
      <c r="D1323">
        <v>331.34</v>
      </c>
      <c r="E1323">
        <v>2.2000000000000002</v>
      </c>
      <c r="F1323">
        <v>2.34</v>
      </c>
      <c r="G1323">
        <v>0.7</v>
      </c>
      <c r="H1323">
        <v>2.52</v>
      </c>
      <c r="I1323">
        <v>2.3047</v>
      </c>
      <c r="J1323">
        <v>72.900000000000006</v>
      </c>
      <c r="K1323" t="s">
        <v>45</v>
      </c>
      <c r="L1323" t="s">
        <v>51</v>
      </c>
      <c r="M1323">
        <v>4</v>
      </c>
      <c r="N1323" s="7">
        <v>57.700200000000002</v>
      </c>
      <c r="O1323">
        <v>8</v>
      </c>
      <c r="P1323" s="13">
        <v>1.6419999999999999</v>
      </c>
      <c r="Q1323" t="s">
        <v>52</v>
      </c>
      <c r="R1323">
        <v>25</v>
      </c>
      <c r="S1323">
        <v>24</v>
      </c>
      <c r="T1323" t="s">
        <v>164</v>
      </c>
      <c r="U1323" t="s">
        <v>164</v>
      </c>
      <c r="V1323" s="7">
        <v>0.76619804358985755</v>
      </c>
      <c r="W1323">
        <v>73.05</v>
      </c>
      <c r="X1323">
        <v>0.25</v>
      </c>
      <c r="Y1323">
        <v>13.87</v>
      </c>
      <c r="Z1323">
        <v>7.8</v>
      </c>
      <c r="AA1323" s="9">
        <v>9</v>
      </c>
      <c r="AB1323">
        <v>25</v>
      </c>
      <c r="AC1323" s="17">
        <v>2.67</v>
      </c>
      <c r="AD1323">
        <v>0.06</v>
      </c>
      <c r="AE1323">
        <v>100</v>
      </c>
      <c r="AF1323" s="11">
        <v>0.74</v>
      </c>
    </row>
    <row r="1324" spans="1:32" x14ac:dyDescent="0.3">
      <c r="A1324" t="s">
        <v>165</v>
      </c>
      <c r="B1324" t="s">
        <v>15</v>
      </c>
      <c r="C1324">
        <v>0.28000000000000003</v>
      </c>
      <c r="D1324">
        <v>331.34</v>
      </c>
      <c r="E1324">
        <v>2.2000000000000002</v>
      </c>
      <c r="F1324">
        <v>2.34</v>
      </c>
      <c r="G1324">
        <v>0.7</v>
      </c>
      <c r="H1324">
        <v>2.52</v>
      </c>
      <c r="I1324">
        <v>2.3047</v>
      </c>
      <c r="J1324">
        <v>72.900000000000006</v>
      </c>
      <c r="K1324" t="s">
        <v>45</v>
      </c>
      <c r="L1324" t="s">
        <v>51</v>
      </c>
      <c r="M1324">
        <v>4</v>
      </c>
      <c r="N1324" s="7">
        <v>57.700200000000002</v>
      </c>
      <c r="O1324">
        <v>8</v>
      </c>
      <c r="P1324" s="13">
        <v>1.6419999999999999</v>
      </c>
      <c r="Q1324" t="s">
        <v>52</v>
      </c>
      <c r="R1324">
        <v>25</v>
      </c>
      <c r="S1324">
        <v>24</v>
      </c>
      <c r="T1324" t="s">
        <v>164</v>
      </c>
      <c r="U1324" t="s">
        <v>164</v>
      </c>
      <c r="V1324" s="7">
        <v>0.76619804358985755</v>
      </c>
      <c r="W1324">
        <v>73.05</v>
      </c>
      <c r="X1324">
        <v>0.25</v>
      </c>
      <c r="Y1324">
        <v>13.87</v>
      </c>
      <c r="Z1324">
        <v>7.8</v>
      </c>
      <c r="AA1324" s="9">
        <v>9</v>
      </c>
      <c r="AB1324">
        <v>25</v>
      </c>
      <c r="AC1324" s="17">
        <v>2.67</v>
      </c>
      <c r="AD1324">
        <v>0.06</v>
      </c>
      <c r="AE1324">
        <v>120</v>
      </c>
      <c r="AF1324" s="11">
        <v>0.72</v>
      </c>
    </row>
    <row r="1325" spans="1:32" x14ac:dyDescent="0.3">
      <c r="A1325" t="s">
        <v>165</v>
      </c>
      <c r="B1325" t="s">
        <v>15</v>
      </c>
      <c r="C1325">
        <v>0.28000000000000003</v>
      </c>
      <c r="D1325">
        <v>331.34</v>
      </c>
      <c r="E1325">
        <v>2.2000000000000002</v>
      </c>
      <c r="F1325">
        <v>2.34</v>
      </c>
      <c r="G1325">
        <v>0.7</v>
      </c>
      <c r="H1325">
        <v>2.52</v>
      </c>
      <c r="I1325">
        <v>2.3047</v>
      </c>
      <c r="J1325">
        <v>72.900000000000006</v>
      </c>
      <c r="K1325" t="s">
        <v>45</v>
      </c>
      <c r="L1325" t="s">
        <v>51</v>
      </c>
      <c r="M1325">
        <v>4</v>
      </c>
      <c r="N1325" s="7">
        <v>57.700200000000002</v>
      </c>
      <c r="O1325">
        <v>8</v>
      </c>
      <c r="P1325" s="13">
        <v>1.6419999999999999</v>
      </c>
      <c r="Q1325" t="s">
        <v>52</v>
      </c>
      <c r="R1325">
        <v>25</v>
      </c>
      <c r="S1325">
        <v>24</v>
      </c>
      <c r="T1325" t="s">
        <v>164</v>
      </c>
      <c r="U1325" t="s">
        <v>164</v>
      </c>
      <c r="V1325" s="7">
        <v>0.76619804358985755</v>
      </c>
      <c r="W1325">
        <v>73.05</v>
      </c>
      <c r="X1325">
        <v>0.25</v>
      </c>
      <c r="Y1325">
        <v>13.87</v>
      </c>
      <c r="Z1325">
        <v>7.8</v>
      </c>
      <c r="AA1325" s="9">
        <v>9</v>
      </c>
      <c r="AB1325">
        <v>25</v>
      </c>
      <c r="AC1325" s="17">
        <v>2.67</v>
      </c>
      <c r="AD1325">
        <v>0.06</v>
      </c>
      <c r="AE1325">
        <v>140</v>
      </c>
      <c r="AF1325" s="11">
        <v>0.7</v>
      </c>
    </row>
    <row r="1326" spans="1:32" x14ac:dyDescent="0.3">
      <c r="A1326" t="s">
        <v>165</v>
      </c>
      <c r="B1326" t="s">
        <v>15</v>
      </c>
      <c r="C1326">
        <v>0.28000000000000003</v>
      </c>
      <c r="D1326">
        <v>331.34</v>
      </c>
      <c r="E1326">
        <v>2.2000000000000002</v>
      </c>
      <c r="F1326">
        <v>2.34</v>
      </c>
      <c r="G1326">
        <v>0.7</v>
      </c>
      <c r="H1326">
        <v>2.52</v>
      </c>
      <c r="I1326">
        <v>2.3047</v>
      </c>
      <c r="J1326">
        <v>72.900000000000006</v>
      </c>
      <c r="K1326" t="s">
        <v>45</v>
      </c>
      <c r="L1326" t="s">
        <v>51</v>
      </c>
      <c r="M1326">
        <v>4</v>
      </c>
      <c r="N1326" s="7">
        <v>57.700200000000002</v>
      </c>
      <c r="O1326">
        <v>8</v>
      </c>
      <c r="P1326" s="13">
        <v>1.6419999999999999</v>
      </c>
      <c r="Q1326" t="s">
        <v>52</v>
      </c>
      <c r="R1326">
        <v>25</v>
      </c>
      <c r="S1326">
        <v>24</v>
      </c>
      <c r="T1326" t="s">
        <v>164</v>
      </c>
      <c r="U1326" t="s">
        <v>164</v>
      </c>
      <c r="V1326" s="7">
        <v>0.76619804358985755</v>
      </c>
      <c r="W1326">
        <v>73.05</v>
      </c>
      <c r="X1326">
        <v>0.25</v>
      </c>
      <c r="Y1326">
        <v>13.87</v>
      </c>
      <c r="Z1326">
        <v>7.8</v>
      </c>
      <c r="AA1326" s="9">
        <v>9</v>
      </c>
      <c r="AB1326">
        <v>25</v>
      </c>
      <c r="AC1326" s="17">
        <v>2.67</v>
      </c>
      <c r="AD1326">
        <v>0.06</v>
      </c>
      <c r="AE1326">
        <v>160</v>
      </c>
      <c r="AF1326" s="11">
        <v>0.68</v>
      </c>
    </row>
    <row r="1327" spans="1:32" x14ac:dyDescent="0.3">
      <c r="A1327" t="s">
        <v>165</v>
      </c>
      <c r="B1327" t="s">
        <v>15</v>
      </c>
      <c r="C1327">
        <v>0.28000000000000003</v>
      </c>
      <c r="D1327">
        <v>331.34</v>
      </c>
      <c r="E1327">
        <v>2.2000000000000002</v>
      </c>
      <c r="F1327">
        <v>2.34</v>
      </c>
      <c r="G1327">
        <v>0.7</v>
      </c>
      <c r="H1327">
        <v>2.52</v>
      </c>
      <c r="I1327">
        <v>2.3047</v>
      </c>
      <c r="J1327">
        <v>72.900000000000006</v>
      </c>
      <c r="K1327" t="s">
        <v>45</v>
      </c>
      <c r="L1327" t="s">
        <v>51</v>
      </c>
      <c r="M1327">
        <v>4</v>
      </c>
      <c r="N1327" s="7">
        <v>57.700200000000002</v>
      </c>
      <c r="O1327">
        <v>8</v>
      </c>
      <c r="P1327" s="13">
        <v>1.6419999999999999</v>
      </c>
      <c r="Q1327" t="s">
        <v>52</v>
      </c>
      <c r="R1327">
        <v>25</v>
      </c>
      <c r="S1327">
        <v>24</v>
      </c>
      <c r="T1327" t="s">
        <v>164</v>
      </c>
      <c r="U1327" t="s">
        <v>164</v>
      </c>
      <c r="V1327" s="7">
        <v>0.76619804358985755</v>
      </c>
      <c r="W1327">
        <v>73.05</v>
      </c>
      <c r="X1327">
        <v>0.25</v>
      </c>
      <c r="Y1327">
        <v>13.87</v>
      </c>
      <c r="Z1327">
        <v>7.8</v>
      </c>
      <c r="AA1327" s="9">
        <v>9</v>
      </c>
      <c r="AB1327">
        <v>25</v>
      </c>
      <c r="AC1327" s="17">
        <v>2.67</v>
      </c>
      <c r="AD1327">
        <v>0.06</v>
      </c>
      <c r="AE1327">
        <v>180</v>
      </c>
      <c r="AF1327" s="11">
        <v>0.64</v>
      </c>
    </row>
    <row r="1328" spans="1:32" x14ac:dyDescent="0.3">
      <c r="A1328" t="s">
        <v>165</v>
      </c>
      <c r="B1328" t="s">
        <v>15</v>
      </c>
      <c r="C1328">
        <v>0.28000000000000003</v>
      </c>
      <c r="D1328">
        <v>331.34</v>
      </c>
      <c r="E1328">
        <v>2.2000000000000002</v>
      </c>
      <c r="F1328">
        <v>2.34</v>
      </c>
      <c r="G1328">
        <v>0.7</v>
      </c>
      <c r="H1328">
        <v>2.52</v>
      </c>
      <c r="I1328">
        <v>2.3047</v>
      </c>
      <c r="J1328">
        <v>72.900000000000006</v>
      </c>
      <c r="K1328" t="s">
        <v>45</v>
      </c>
      <c r="L1328" t="s">
        <v>51</v>
      </c>
      <c r="M1328">
        <v>4</v>
      </c>
      <c r="N1328" s="7">
        <v>57.700200000000002</v>
      </c>
      <c r="O1328">
        <v>8</v>
      </c>
      <c r="P1328" s="13">
        <v>1.6419999999999999</v>
      </c>
      <c r="Q1328" t="s">
        <v>52</v>
      </c>
      <c r="R1328">
        <v>25</v>
      </c>
      <c r="S1328">
        <v>24</v>
      </c>
      <c r="T1328" t="s">
        <v>164</v>
      </c>
      <c r="U1328" t="s">
        <v>164</v>
      </c>
      <c r="V1328" s="7">
        <v>0.76619804358985755</v>
      </c>
      <c r="W1328">
        <v>73.05</v>
      </c>
      <c r="X1328">
        <v>0.25</v>
      </c>
      <c r="Y1328">
        <v>13.87</v>
      </c>
      <c r="Z1328">
        <v>7.8</v>
      </c>
      <c r="AA1328" s="9">
        <v>9</v>
      </c>
      <c r="AB1328">
        <v>25</v>
      </c>
      <c r="AC1328" s="17">
        <v>2.67</v>
      </c>
      <c r="AD1328">
        <v>0.06</v>
      </c>
      <c r="AE1328">
        <v>200</v>
      </c>
      <c r="AF1328" s="11">
        <v>0.59</v>
      </c>
    </row>
    <row r="1329" spans="1:32" x14ac:dyDescent="0.3">
      <c r="A1329" t="s">
        <v>165</v>
      </c>
      <c r="B1329" t="s">
        <v>15</v>
      </c>
      <c r="C1329">
        <v>0.28000000000000003</v>
      </c>
      <c r="D1329">
        <v>331.34</v>
      </c>
      <c r="E1329">
        <v>2.2000000000000002</v>
      </c>
      <c r="F1329">
        <v>2.34</v>
      </c>
      <c r="G1329">
        <v>0.7</v>
      </c>
      <c r="H1329">
        <v>2.52</v>
      </c>
      <c r="I1329">
        <v>2.3047</v>
      </c>
      <c r="J1329">
        <v>72.900000000000006</v>
      </c>
      <c r="K1329" t="s">
        <v>45</v>
      </c>
      <c r="L1329" t="s">
        <v>51</v>
      </c>
      <c r="M1329">
        <v>4</v>
      </c>
      <c r="N1329" s="7">
        <v>57.700200000000002</v>
      </c>
      <c r="O1329">
        <v>8</v>
      </c>
      <c r="P1329" s="13">
        <v>1.6419999999999999</v>
      </c>
      <c r="Q1329" t="s">
        <v>52</v>
      </c>
      <c r="R1329">
        <v>25</v>
      </c>
      <c r="S1329">
        <v>24</v>
      </c>
      <c r="T1329" t="s">
        <v>164</v>
      </c>
      <c r="U1329" t="s">
        <v>164</v>
      </c>
      <c r="V1329" s="7">
        <v>0.76619804358985755</v>
      </c>
      <c r="W1329">
        <v>73.05</v>
      </c>
      <c r="X1329">
        <v>0.25</v>
      </c>
      <c r="Y1329">
        <v>13.87</v>
      </c>
      <c r="Z1329">
        <v>7.8</v>
      </c>
      <c r="AA1329">
        <v>3</v>
      </c>
      <c r="AB1329">
        <v>25</v>
      </c>
      <c r="AC1329" s="17">
        <v>2.67</v>
      </c>
      <c r="AD1329">
        <v>0.06</v>
      </c>
      <c r="AE1329">
        <v>100</v>
      </c>
      <c r="AF1329" s="11">
        <v>0.42</v>
      </c>
    </row>
    <row r="1330" spans="1:32" x14ac:dyDescent="0.3">
      <c r="A1330" t="s">
        <v>165</v>
      </c>
      <c r="B1330" t="s">
        <v>15</v>
      </c>
      <c r="C1330">
        <v>0.28000000000000003</v>
      </c>
      <c r="D1330">
        <v>331.34</v>
      </c>
      <c r="E1330">
        <v>2.2000000000000002</v>
      </c>
      <c r="F1330">
        <v>2.34</v>
      </c>
      <c r="G1330">
        <v>0.7</v>
      </c>
      <c r="H1330">
        <v>2.52</v>
      </c>
      <c r="I1330">
        <v>2.3047</v>
      </c>
      <c r="J1330">
        <v>72.900000000000006</v>
      </c>
      <c r="K1330" t="s">
        <v>45</v>
      </c>
      <c r="L1330" t="s">
        <v>51</v>
      </c>
      <c r="M1330">
        <v>4</v>
      </c>
      <c r="N1330" s="7">
        <v>57.700200000000002</v>
      </c>
      <c r="O1330">
        <v>8</v>
      </c>
      <c r="P1330" s="13">
        <v>1.6419999999999999</v>
      </c>
      <c r="Q1330" t="s">
        <v>52</v>
      </c>
      <c r="R1330">
        <v>25</v>
      </c>
      <c r="S1330">
        <v>24</v>
      </c>
      <c r="T1330" t="s">
        <v>164</v>
      </c>
      <c r="U1330" t="s">
        <v>164</v>
      </c>
      <c r="V1330" s="7">
        <v>0.76619804358985755</v>
      </c>
      <c r="W1330">
        <v>73.05</v>
      </c>
      <c r="X1330">
        <v>0.25</v>
      </c>
      <c r="Y1330">
        <v>13.87</v>
      </c>
      <c r="Z1330">
        <v>7.8</v>
      </c>
      <c r="AA1330">
        <v>5</v>
      </c>
      <c r="AB1330">
        <v>25</v>
      </c>
      <c r="AC1330" s="17">
        <v>2.67</v>
      </c>
      <c r="AD1330">
        <v>0.06</v>
      </c>
      <c r="AE1330">
        <v>100</v>
      </c>
      <c r="AF1330" s="11">
        <v>0.57999999999999996</v>
      </c>
    </row>
    <row r="1331" spans="1:32" x14ac:dyDescent="0.3">
      <c r="A1331" t="s">
        <v>165</v>
      </c>
      <c r="B1331" t="s">
        <v>15</v>
      </c>
      <c r="C1331">
        <v>0.28000000000000003</v>
      </c>
      <c r="D1331">
        <v>331.34</v>
      </c>
      <c r="E1331">
        <v>2.2000000000000002</v>
      </c>
      <c r="F1331">
        <v>2.34</v>
      </c>
      <c r="G1331">
        <v>0.7</v>
      </c>
      <c r="H1331">
        <v>2.52</v>
      </c>
      <c r="I1331">
        <v>2.3047</v>
      </c>
      <c r="J1331">
        <v>72.900000000000006</v>
      </c>
      <c r="K1331" t="s">
        <v>45</v>
      </c>
      <c r="L1331" t="s">
        <v>51</v>
      </c>
      <c r="M1331">
        <v>4</v>
      </c>
      <c r="N1331" s="7">
        <v>57.700200000000002</v>
      </c>
      <c r="O1331">
        <v>8</v>
      </c>
      <c r="P1331" s="13">
        <v>1.6419999999999999</v>
      </c>
      <c r="Q1331" t="s">
        <v>52</v>
      </c>
      <c r="R1331">
        <v>25</v>
      </c>
      <c r="S1331">
        <v>24</v>
      </c>
      <c r="T1331" t="s">
        <v>164</v>
      </c>
      <c r="U1331" t="s">
        <v>164</v>
      </c>
      <c r="V1331" s="7">
        <v>0.76619804358985755</v>
      </c>
      <c r="W1331">
        <v>73.05</v>
      </c>
      <c r="X1331">
        <v>0.25</v>
      </c>
      <c r="Y1331">
        <v>13.87</v>
      </c>
      <c r="Z1331">
        <v>7.8</v>
      </c>
      <c r="AA1331">
        <v>7</v>
      </c>
      <c r="AB1331">
        <v>25</v>
      </c>
      <c r="AC1331" s="17">
        <v>2.67</v>
      </c>
      <c r="AD1331">
        <v>0.06</v>
      </c>
      <c r="AE1331">
        <v>100</v>
      </c>
      <c r="AF1331" s="11">
        <v>0.74</v>
      </c>
    </row>
    <row r="1332" spans="1:32" x14ac:dyDescent="0.3">
      <c r="A1332" t="s">
        <v>165</v>
      </c>
      <c r="B1332" t="s">
        <v>15</v>
      </c>
      <c r="C1332">
        <v>0.28000000000000003</v>
      </c>
      <c r="D1332">
        <v>331.34</v>
      </c>
      <c r="E1332">
        <v>2.2000000000000002</v>
      </c>
      <c r="F1332">
        <v>2.34</v>
      </c>
      <c r="G1332">
        <v>0.7</v>
      </c>
      <c r="H1332">
        <v>2.52</v>
      </c>
      <c r="I1332">
        <v>2.3047</v>
      </c>
      <c r="J1332">
        <v>72.900000000000006</v>
      </c>
      <c r="K1332" t="s">
        <v>45</v>
      </c>
      <c r="L1332" t="s">
        <v>51</v>
      </c>
      <c r="M1332">
        <v>4</v>
      </c>
      <c r="N1332" s="7">
        <v>57.700200000000002</v>
      </c>
      <c r="O1332">
        <v>8</v>
      </c>
      <c r="P1332" s="13">
        <v>1.6419999999999999</v>
      </c>
      <c r="Q1332" t="s">
        <v>52</v>
      </c>
      <c r="R1332">
        <v>25</v>
      </c>
      <c r="S1332">
        <v>24</v>
      </c>
      <c r="T1332" t="s">
        <v>164</v>
      </c>
      <c r="U1332" t="s">
        <v>164</v>
      </c>
      <c r="V1332" s="7">
        <v>0.76619804358985755</v>
      </c>
      <c r="W1332">
        <v>73.05</v>
      </c>
      <c r="X1332">
        <v>0.25</v>
      </c>
      <c r="Y1332">
        <v>13.87</v>
      </c>
      <c r="Z1332">
        <v>7.8</v>
      </c>
      <c r="AA1332">
        <v>9</v>
      </c>
      <c r="AB1332">
        <v>25</v>
      </c>
      <c r="AC1332" s="17">
        <v>2.67</v>
      </c>
      <c r="AD1332">
        <v>0.06</v>
      </c>
      <c r="AE1332">
        <v>100</v>
      </c>
      <c r="AF1332" s="11">
        <v>0.67</v>
      </c>
    </row>
    <row r="1333" spans="1:32" x14ac:dyDescent="0.3">
      <c r="A1333" t="s">
        <v>165</v>
      </c>
      <c r="B1333" t="s">
        <v>15</v>
      </c>
      <c r="C1333">
        <v>0.28000000000000003</v>
      </c>
      <c r="D1333">
        <v>331.34</v>
      </c>
      <c r="E1333">
        <v>2.2000000000000002</v>
      </c>
      <c r="F1333">
        <v>2.34</v>
      </c>
      <c r="G1333">
        <v>0.7</v>
      </c>
      <c r="H1333">
        <v>2.52</v>
      </c>
      <c r="I1333">
        <v>2.3047</v>
      </c>
      <c r="J1333">
        <v>72.900000000000006</v>
      </c>
      <c r="K1333" t="s">
        <v>45</v>
      </c>
      <c r="L1333" t="s">
        <v>51</v>
      </c>
      <c r="M1333">
        <v>4</v>
      </c>
      <c r="N1333" s="7">
        <v>57.700200000000002</v>
      </c>
      <c r="O1333">
        <v>8</v>
      </c>
      <c r="P1333" s="13">
        <v>1.6419999999999999</v>
      </c>
      <c r="Q1333" t="s">
        <v>52</v>
      </c>
      <c r="R1333">
        <v>25</v>
      </c>
      <c r="S1333">
        <v>24</v>
      </c>
      <c r="T1333" t="s">
        <v>164</v>
      </c>
      <c r="U1333" t="s">
        <v>164</v>
      </c>
      <c r="V1333" s="7">
        <v>0.76619804358985755</v>
      </c>
      <c r="W1333">
        <v>73.05</v>
      </c>
      <c r="X1333">
        <v>0.25</v>
      </c>
      <c r="Y1333">
        <v>13.87</v>
      </c>
      <c r="Z1333">
        <v>7.8</v>
      </c>
      <c r="AA1333">
        <v>11</v>
      </c>
      <c r="AB1333">
        <v>25</v>
      </c>
      <c r="AC1333" s="17">
        <v>2.67</v>
      </c>
      <c r="AD1333">
        <v>0.06</v>
      </c>
      <c r="AE1333">
        <v>100</v>
      </c>
      <c r="AF1333" s="11">
        <v>0.6</v>
      </c>
    </row>
    <row r="1334" spans="1:32" x14ac:dyDescent="0.3">
      <c r="A1334" t="s">
        <v>165</v>
      </c>
      <c r="B1334" t="s">
        <v>15</v>
      </c>
      <c r="C1334">
        <v>0.28000000000000003</v>
      </c>
      <c r="D1334">
        <v>331.34</v>
      </c>
      <c r="E1334">
        <v>2.2000000000000002</v>
      </c>
      <c r="F1334">
        <v>2.34</v>
      </c>
      <c r="G1334">
        <v>0.7</v>
      </c>
      <c r="H1334">
        <v>2.52</v>
      </c>
      <c r="I1334">
        <v>2.3047</v>
      </c>
      <c r="J1334">
        <v>72.900000000000006</v>
      </c>
      <c r="K1334" t="s">
        <v>45</v>
      </c>
      <c r="L1334" t="s">
        <v>51</v>
      </c>
      <c r="M1334">
        <v>4</v>
      </c>
      <c r="N1334" s="7">
        <v>57.700200000000002</v>
      </c>
      <c r="O1334">
        <v>8</v>
      </c>
      <c r="P1334" s="13">
        <v>1.6419999999999999</v>
      </c>
      <c r="Q1334" t="s">
        <v>52</v>
      </c>
      <c r="R1334">
        <v>25</v>
      </c>
      <c r="S1334">
        <v>24</v>
      </c>
      <c r="T1334" t="s">
        <v>164</v>
      </c>
      <c r="U1334" t="s">
        <v>164</v>
      </c>
      <c r="V1334" s="7">
        <v>0.76619804358985755</v>
      </c>
      <c r="W1334">
        <v>73.05</v>
      </c>
      <c r="X1334">
        <v>0.25</v>
      </c>
      <c r="Y1334">
        <v>13.87</v>
      </c>
      <c r="Z1334">
        <v>7.8</v>
      </c>
      <c r="AA1334">
        <v>9</v>
      </c>
      <c r="AB1334">
        <v>25</v>
      </c>
      <c r="AC1334" s="21">
        <v>8.3333333333333329E-2</v>
      </c>
      <c r="AD1334">
        <v>0.06</v>
      </c>
      <c r="AE1334">
        <v>100</v>
      </c>
      <c r="AF1334" s="11">
        <v>0.06</v>
      </c>
    </row>
    <row r="1335" spans="1:32" x14ac:dyDescent="0.3">
      <c r="A1335" t="s">
        <v>165</v>
      </c>
      <c r="B1335" t="s">
        <v>15</v>
      </c>
      <c r="C1335">
        <v>0.28000000000000003</v>
      </c>
      <c r="D1335">
        <v>331.34</v>
      </c>
      <c r="E1335">
        <v>2.2000000000000002</v>
      </c>
      <c r="F1335">
        <v>2.34</v>
      </c>
      <c r="G1335">
        <v>0.7</v>
      </c>
      <c r="H1335">
        <v>2.52</v>
      </c>
      <c r="I1335">
        <v>2.3047</v>
      </c>
      <c r="J1335">
        <v>72.900000000000006</v>
      </c>
      <c r="K1335" t="s">
        <v>45</v>
      </c>
      <c r="L1335" t="s">
        <v>51</v>
      </c>
      <c r="M1335">
        <v>4</v>
      </c>
      <c r="N1335" s="7">
        <v>57.700200000000002</v>
      </c>
      <c r="O1335">
        <v>8</v>
      </c>
      <c r="P1335" s="13">
        <v>1.6419999999999999</v>
      </c>
      <c r="Q1335" t="s">
        <v>52</v>
      </c>
      <c r="R1335">
        <v>25</v>
      </c>
      <c r="S1335">
        <v>24</v>
      </c>
      <c r="T1335" t="s">
        <v>164</v>
      </c>
      <c r="U1335" t="s">
        <v>164</v>
      </c>
      <c r="V1335" s="7">
        <v>0.76619804358985755</v>
      </c>
      <c r="W1335">
        <v>73.05</v>
      </c>
      <c r="X1335">
        <v>0.25</v>
      </c>
      <c r="Y1335">
        <v>13.87</v>
      </c>
      <c r="Z1335">
        <v>7.8</v>
      </c>
      <c r="AA1335">
        <v>9</v>
      </c>
      <c r="AB1335">
        <v>25</v>
      </c>
      <c r="AC1335" s="21">
        <v>0.16666666666666666</v>
      </c>
      <c r="AD1335">
        <v>0.06</v>
      </c>
      <c r="AE1335">
        <v>100</v>
      </c>
      <c r="AF1335" s="11">
        <v>0.12</v>
      </c>
    </row>
    <row r="1336" spans="1:32" x14ac:dyDescent="0.3">
      <c r="A1336" t="s">
        <v>165</v>
      </c>
      <c r="B1336" t="s">
        <v>15</v>
      </c>
      <c r="C1336">
        <v>0.28000000000000003</v>
      </c>
      <c r="D1336">
        <v>331.34</v>
      </c>
      <c r="E1336">
        <v>2.2000000000000002</v>
      </c>
      <c r="F1336">
        <v>2.34</v>
      </c>
      <c r="G1336">
        <v>0.7</v>
      </c>
      <c r="H1336">
        <v>2.52</v>
      </c>
      <c r="I1336">
        <v>2.3047</v>
      </c>
      <c r="J1336">
        <v>72.900000000000006</v>
      </c>
      <c r="K1336" t="s">
        <v>45</v>
      </c>
      <c r="L1336" t="s">
        <v>51</v>
      </c>
      <c r="M1336">
        <v>4</v>
      </c>
      <c r="N1336" s="7">
        <v>57.700200000000002</v>
      </c>
      <c r="O1336">
        <v>8</v>
      </c>
      <c r="P1336" s="13">
        <v>1.6419999999999999</v>
      </c>
      <c r="Q1336" t="s">
        <v>52</v>
      </c>
      <c r="R1336">
        <v>25</v>
      </c>
      <c r="S1336">
        <v>24</v>
      </c>
      <c r="T1336" t="s">
        <v>164</v>
      </c>
      <c r="U1336" t="s">
        <v>164</v>
      </c>
      <c r="V1336" s="7">
        <v>0.76619804358985755</v>
      </c>
      <c r="W1336">
        <v>73.05</v>
      </c>
      <c r="X1336">
        <v>0.25</v>
      </c>
      <c r="Y1336">
        <v>13.87</v>
      </c>
      <c r="Z1336">
        <v>7.8</v>
      </c>
      <c r="AA1336">
        <v>9</v>
      </c>
      <c r="AB1336">
        <v>25</v>
      </c>
      <c r="AC1336" s="21">
        <v>0.33333333333333331</v>
      </c>
      <c r="AD1336">
        <v>0.06</v>
      </c>
      <c r="AE1336">
        <v>100</v>
      </c>
      <c r="AF1336" s="11">
        <v>0.2</v>
      </c>
    </row>
    <row r="1337" spans="1:32" x14ac:dyDescent="0.3">
      <c r="A1337" t="s">
        <v>165</v>
      </c>
      <c r="B1337" t="s">
        <v>15</v>
      </c>
      <c r="C1337">
        <v>0.28000000000000003</v>
      </c>
      <c r="D1337">
        <v>331.34</v>
      </c>
      <c r="E1337">
        <v>2.2000000000000002</v>
      </c>
      <c r="F1337">
        <v>2.34</v>
      </c>
      <c r="G1337">
        <v>0.7</v>
      </c>
      <c r="H1337">
        <v>2.52</v>
      </c>
      <c r="I1337">
        <v>2.3047</v>
      </c>
      <c r="J1337">
        <v>72.900000000000006</v>
      </c>
      <c r="K1337" t="s">
        <v>45</v>
      </c>
      <c r="L1337" t="s">
        <v>51</v>
      </c>
      <c r="M1337">
        <v>4</v>
      </c>
      <c r="N1337" s="7">
        <v>57.700200000000002</v>
      </c>
      <c r="O1337">
        <v>8</v>
      </c>
      <c r="P1337" s="13">
        <v>1.6419999999999999</v>
      </c>
      <c r="Q1337" t="s">
        <v>52</v>
      </c>
      <c r="R1337">
        <v>25</v>
      </c>
      <c r="S1337">
        <v>24</v>
      </c>
      <c r="T1337" t="s">
        <v>164</v>
      </c>
      <c r="U1337" t="s">
        <v>164</v>
      </c>
      <c r="V1337" s="7">
        <v>0.76619804358985755</v>
      </c>
      <c r="W1337">
        <v>73.05</v>
      </c>
      <c r="X1337">
        <v>0.25</v>
      </c>
      <c r="Y1337">
        <v>13.87</v>
      </c>
      <c r="Z1337">
        <v>7.8</v>
      </c>
      <c r="AA1337">
        <v>9</v>
      </c>
      <c r="AB1337">
        <v>25</v>
      </c>
      <c r="AC1337" s="21">
        <v>0.66666666666666663</v>
      </c>
      <c r="AD1337">
        <v>0.06</v>
      </c>
      <c r="AE1337">
        <v>100</v>
      </c>
      <c r="AF1337" s="11">
        <v>0.32</v>
      </c>
    </row>
    <row r="1338" spans="1:32" x14ac:dyDescent="0.3">
      <c r="A1338" t="s">
        <v>165</v>
      </c>
      <c r="B1338" t="s">
        <v>15</v>
      </c>
      <c r="C1338">
        <v>0.28000000000000003</v>
      </c>
      <c r="D1338">
        <v>331.34</v>
      </c>
      <c r="E1338">
        <v>2.2000000000000002</v>
      </c>
      <c r="F1338">
        <v>2.34</v>
      </c>
      <c r="G1338">
        <v>0.7</v>
      </c>
      <c r="H1338">
        <v>2.52</v>
      </c>
      <c r="I1338">
        <v>2.3047</v>
      </c>
      <c r="J1338">
        <v>72.900000000000006</v>
      </c>
      <c r="K1338" t="s">
        <v>45</v>
      </c>
      <c r="L1338" t="s">
        <v>51</v>
      </c>
      <c r="M1338">
        <v>4</v>
      </c>
      <c r="N1338" s="7">
        <v>57.700200000000002</v>
      </c>
      <c r="O1338">
        <v>8</v>
      </c>
      <c r="P1338" s="13">
        <v>1.6419999999999999</v>
      </c>
      <c r="Q1338" t="s">
        <v>52</v>
      </c>
      <c r="R1338">
        <v>25</v>
      </c>
      <c r="S1338">
        <v>24</v>
      </c>
      <c r="T1338" t="s">
        <v>164</v>
      </c>
      <c r="U1338" t="s">
        <v>164</v>
      </c>
      <c r="V1338" s="7">
        <v>0.76619804358985755</v>
      </c>
      <c r="W1338">
        <v>73.05</v>
      </c>
      <c r="X1338">
        <v>0.25</v>
      </c>
      <c r="Y1338">
        <v>13.87</v>
      </c>
      <c r="Z1338">
        <v>7.8</v>
      </c>
      <c r="AA1338">
        <v>9</v>
      </c>
      <c r="AB1338">
        <v>25</v>
      </c>
      <c r="AC1338" s="17">
        <v>1</v>
      </c>
      <c r="AD1338">
        <v>0.06</v>
      </c>
      <c r="AE1338">
        <v>100</v>
      </c>
      <c r="AF1338" s="11">
        <v>0.44</v>
      </c>
    </row>
    <row r="1339" spans="1:32" x14ac:dyDescent="0.3">
      <c r="A1339" t="s">
        <v>165</v>
      </c>
      <c r="B1339" t="s">
        <v>15</v>
      </c>
      <c r="C1339">
        <v>0.28000000000000003</v>
      </c>
      <c r="D1339">
        <v>331.34</v>
      </c>
      <c r="E1339">
        <v>2.2000000000000002</v>
      </c>
      <c r="F1339">
        <v>2.34</v>
      </c>
      <c r="G1339">
        <v>0.7</v>
      </c>
      <c r="H1339">
        <v>2.52</v>
      </c>
      <c r="I1339">
        <v>2.3047</v>
      </c>
      <c r="J1339">
        <v>72.900000000000006</v>
      </c>
      <c r="K1339" t="s">
        <v>45</v>
      </c>
      <c r="L1339" t="s">
        <v>51</v>
      </c>
      <c r="M1339">
        <v>4</v>
      </c>
      <c r="N1339" s="7">
        <v>57.700200000000002</v>
      </c>
      <c r="O1339">
        <v>8</v>
      </c>
      <c r="P1339" s="13">
        <v>1.6419999999999999</v>
      </c>
      <c r="Q1339" t="s">
        <v>52</v>
      </c>
      <c r="R1339">
        <v>25</v>
      </c>
      <c r="S1339">
        <v>24</v>
      </c>
      <c r="T1339" t="s">
        <v>164</v>
      </c>
      <c r="U1339" t="s">
        <v>164</v>
      </c>
      <c r="V1339" s="7">
        <v>0.76619804358985755</v>
      </c>
      <c r="W1339">
        <v>73.05</v>
      </c>
      <c r="X1339">
        <v>0.25</v>
      </c>
      <c r="Y1339">
        <v>13.87</v>
      </c>
      <c r="Z1339">
        <v>7.8</v>
      </c>
      <c r="AA1339">
        <v>9</v>
      </c>
      <c r="AB1339">
        <v>25</v>
      </c>
      <c r="AC1339" s="21">
        <v>1.3333333333333333</v>
      </c>
      <c r="AD1339">
        <v>0.06</v>
      </c>
      <c r="AE1339">
        <v>100</v>
      </c>
      <c r="AF1339" s="11">
        <v>0.57999999999999996</v>
      </c>
    </row>
    <row r="1340" spans="1:32" x14ac:dyDescent="0.3">
      <c r="A1340" t="s">
        <v>165</v>
      </c>
      <c r="B1340" t="s">
        <v>15</v>
      </c>
      <c r="C1340">
        <v>0.28000000000000003</v>
      </c>
      <c r="D1340">
        <v>331.34</v>
      </c>
      <c r="E1340">
        <v>2.2000000000000002</v>
      </c>
      <c r="F1340">
        <v>2.34</v>
      </c>
      <c r="G1340">
        <v>0.7</v>
      </c>
      <c r="H1340">
        <v>2.52</v>
      </c>
      <c r="I1340">
        <v>2.3047</v>
      </c>
      <c r="J1340">
        <v>72.900000000000006</v>
      </c>
      <c r="K1340" t="s">
        <v>45</v>
      </c>
      <c r="L1340" t="s">
        <v>51</v>
      </c>
      <c r="M1340">
        <v>4</v>
      </c>
      <c r="N1340" s="7">
        <v>57.700200000000002</v>
      </c>
      <c r="O1340">
        <v>8</v>
      </c>
      <c r="P1340" s="13">
        <v>1.6419999999999999</v>
      </c>
      <c r="Q1340" t="s">
        <v>52</v>
      </c>
      <c r="R1340">
        <v>25</v>
      </c>
      <c r="S1340">
        <v>24</v>
      </c>
      <c r="T1340" t="s">
        <v>164</v>
      </c>
      <c r="U1340" t="s">
        <v>164</v>
      </c>
      <c r="V1340" s="7">
        <v>0.76619804358985755</v>
      </c>
      <c r="W1340">
        <v>73.05</v>
      </c>
      <c r="X1340">
        <v>0.25</v>
      </c>
      <c r="Y1340">
        <v>13.87</v>
      </c>
      <c r="Z1340">
        <v>7.8</v>
      </c>
      <c r="AA1340">
        <v>9</v>
      </c>
      <c r="AB1340">
        <v>25</v>
      </c>
      <c r="AC1340" s="21">
        <v>1.6666666666666667</v>
      </c>
      <c r="AD1340">
        <v>0.06</v>
      </c>
      <c r="AE1340">
        <v>100</v>
      </c>
      <c r="AF1340" s="11">
        <v>0.64</v>
      </c>
    </row>
    <row r="1341" spans="1:32" x14ac:dyDescent="0.3">
      <c r="A1341" t="s">
        <v>165</v>
      </c>
      <c r="B1341" t="s">
        <v>15</v>
      </c>
      <c r="C1341">
        <v>0.28000000000000003</v>
      </c>
      <c r="D1341">
        <v>331.34</v>
      </c>
      <c r="E1341">
        <v>2.2000000000000002</v>
      </c>
      <c r="F1341">
        <v>2.34</v>
      </c>
      <c r="G1341">
        <v>0.7</v>
      </c>
      <c r="H1341">
        <v>2.52</v>
      </c>
      <c r="I1341">
        <v>2.3047</v>
      </c>
      <c r="J1341">
        <v>72.900000000000006</v>
      </c>
      <c r="K1341" t="s">
        <v>45</v>
      </c>
      <c r="L1341" t="s">
        <v>51</v>
      </c>
      <c r="M1341">
        <v>4</v>
      </c>
      <c r="N1341" s="7">
        <v>57.700200000000002</v>
      </c>
      <c r="O1341">
        <v>8</v>
      </c>
      <c r="P1341" s="13">
        <v>1.6419999999999999</v>
      </c>
      <c r="Q1341" t="s">
        <v>52</v>
      </c>
      <c r="R1341">
        <v>25</v>
      </c>
      <c r="S1341">
        <v>24</v>
      </c>
      <c r="T1341" t="s">
        <v>164</v>
      </c>
      <c r="U1341" t="s">
        <v>164</v>
      </c>
      <c r="V1341" s="7">
        <v>0.76619804358985755</v>
      </c>
      <c r="W1341">
        <v>73.05</v>
      </c>
      <c r="X1341">
        <v>0.25</v>
      </c>
      <c r="Y1341">
        <v>13.87</v>
      </c>
      <c r="Z1341">
        <v>7.8</v>
      </c>
      <c r="AA1341">
        <v>9</v>
      </c>
      <c r="AB1341">
        <v>25</v>
      </c>
      <c r="AC1341" s="17">
        <v>2</v>
      </c>
      <c r="AD1341">
        <v>0.06</v>
      </c>
      <c r="AE1341">
        <v>100</v>
      </c>
      <c r="AF1341" s="11">
        <v>0.71</v>
      </c>
    </row>
    <row r="1342" spans="1:32" x14ac:dyDescent="0.3">
      <c r="A1342" t="s">
        <v>165</v>
      </c>
      <c r="B1342" t="s">
        <v>15</v>
      </c>
      <c r="C1342">
        <v>0.28000000000000003</v>
      </c>
      <c r="D1342">
        <v>331.34</v>
      </c>
      <c r="E1342">
        <v>2.2000000000000002</v>
      </c>
      <c r="F1342">
        <v>2.34</v>
      </c>
      <c r="G1342">
        <v>0.7</v>
      </c>
      <c r="H1342">
        <v>2.52</v>
      </c>
      <c r="I1342">
        <v>2.3047</v>
      </c>
      <c r="J1342">
        <v>72.900000000000006</v>
      </c>
      <c r="K1342" t="s">
        <v>45</v>
      </c>
      <c r="L1342" t="s">
        <v>51</v>
      </c>
      <c r="M1342">
        <v>4</v>
      </c>
      <c r="N1342" s="7">
        <v>57.700200000000002</v>
      </c>
      <c r="O1342">
        <v>8</v>
      </c>
      <c r="P1342" s="13">
        <v>1.6419999999999999</v>
      </c>
      <c r="Q1342" t="s">
        <v>52</v>
      </c>
      <c r="R1342">
        <v>25</v>
      </c>
      <c r="S1342">
        <v>24</v>
      </c>
      <c r="T1342" t="s">
        <v>164</v>
      </c>
      <c r="U1342" t="s">
        <v>164</v>
      </c>
      <c r="V1342" s="7">
        <v>0.76619804358985755</v>
      </c>
      <c r="W1342">
        <v>73.05</v>
      </c>
      <c r="X1342">
        <v>0.25</v>
      </c>
      <c r="Y1342">
        <v>13.87</v>
      </c>
      <c r="Z1342">
        <v>7.8</v>
      </c>
      <c r="AA1342">
        <v>9</v>
      </c>
      <c r="AB1342">
        <v>25</v>
      </c>
      <c r="AC1342" s="21">
        <v>2.3333333333333335</v>
      </c>
      <c r="AD1342">
        <v>0.06</v>
      </c>
      <c r="AE1342">
        <v>100</v>
      </c>
      <c r="AF1342" s="11">
        <v>0.73</v>
      </c>
    </row>
    <row r="1343" spans="1:32" x14ac:dyDescent="0.3">
      <c r="A1343" t="s">
        <v>165</v>
      </c>
      <c r="B1343" t="s">
        <v>15</v>
      </c>
      <c r="C1343">
        <v>0.28000000000000003</v>
      </c>
      <c r="D1343">
        <v>331.34</v>
      </c>
      <c r="E1343">
        <v>2.2000000000000002</v>
      </c>
      <c r="F1343">
        <v>2.34</v>
      </c>
      <c r="G1343">
        <v>0.7</v>
      </c>
      <c r="H1343">
        <v>2.52</v>
      </c>
      <c r="I1343">
        <v>2.3047</v>
      </c>
      <c r="J1343">
        <v>72.900000000000006</v>
      </c>
      <c r="K1343" t="s">
        <v>45</v>
      </c>
      <c r="L1343" t="s">
        <v>51</v>
      </c>
      <c r="M1343">
        <v>4</v>
      </c>
      <c r="N1343" s="7">
        <v>57.700200000000002</v>
      </c>
      <c r="O1343">
        <v>8</v>
      </c>
      <c r="P1343" s="13">
        <v>1.6419999999999999</v>
      </c>
      <c r="Q1343" t="s">
        <v>52</v>
      </c>
      <c r="R1343">
        <v>25</v>
      </c>
      <c r="S1343">
        <v>24</v>
      </c>
      <c r="T1343" t="s">
        <v>164</v>
      </c>
      <c r="U1343" t="s">
        <v>164</v>
      </c>
      <c r="V1343" s="7">
        <v>0.76619804358985755</v>
      </c>
      <c r="W1343">
        <v>73.05</v>
      </c>
      <c r="X1343">
        <v>0.25</v>
      </c>
      <c r="Y1343">
        <v>13.87</v>
      </c>
      <c r="Z1343">
        <v>7.8</v>
      </c>
      <c r="AA1343">
        <v>9</v>
      </c>
      <c r="AB1343">
        <v>25</v>
      </c>
      <c r="AC1343" s="21">
        <v>2.6666666666666665</v>
      </c>
      <c r="AD1343">
        <v>0.06</v>
      </c>
      <c r="AE1343">
        <v>100</v>
      </c>
      <c r="AF1343" s="11">
        <v>0.74</v>
      </c>
    </row>
    <row r="1344" spans="1:32" x14ac:dyDescent="0.3">
      <c r="A1344" t="s">
        <v>165</v>
      </c>
      <c r="B1344" t="s">
        <v>15</v>
      </c>
      <c r="C1344">
        <v>0.28000000000000003</v>
      </c>
      <c r="D1344">
        <v>331.34</v>
      </c>
      <c r="E1344">
        <v>2.2000000000000002</v>
      </c>
      <c r="F1344">
        <v>2.34</v>
      </c>
      <c r="G1344">
        <v>0.7</v>
      </c>
      <c r="H1344">
        <v>2.52</v>
      </c>
      <c r="I1344">
        <v>2.3047</v>
      </c>
      <c r="J1344">
        <v>72.900000000000006</v>
      </c>
      <c r="K1344" t="s">
        <v>45</v>
      </c>
      <c r="L1344" t="s">
        <v>51</v>
      </c>
      <c r="M1344">
        <v>4</v>
      </c>
      <c r="N1344" s="7">
        <v>57.700200000000002</v>
      </c>
      <c r="O1344">
        <v>8</v>
      </c>
      <c r="P1344" s="13">
        <v>1.6419999999999999</v>
      </c>
      <c r="Q1344" t="s">
        <v>52</v>
      </c>
      <c r="R1344">
        <v>25</v>
      </c>
      <c r="S1344">
        <v>24</v>
      </c>
      <c r="T1344" t="s">
        <v>164</v>
      </c>
      <c r="U1344" t="s">
        <v>164</v>
      </c>
      <c r="V1344" s="7">
        <v>0.76619804358985755</v>
      </c>
      <c r="W1344">
        <v>73.05</v>
      </c>
      <c r="X1344">
        <v>0.25</v>
      </c>
      <c r="Y1344">
        <v>13.87</v>
      </c>
      <c r="Z1344">
        <v>7.8</v>
      </c>
      <c r="AA1344">
        <v>9</v>
      </c>
      <c r="AB1344">
        <v>25</v>
      </c>
      <c r="AC1344" s="17">
        <v>3</v>
      </c>
      <c r="AD1344">
        <v>0.06</v>
      </c>
      <c r="AE1344">
        <v>100</v>
      </c>
      <c r="AF1344" s="11">
        <v>0.74</v>
      </c>
    </row>
  </sheetData>
  <autoFilter ref="B1:B1352" xr:uid="{00000000-0009-0000-0000-000000000000}"/>
  <mergeCells count="3">
    <mergeCell ref="B1:I1"/>
    <mergeCell ref="AA1:AE1"/>
    <mergeCell ref="K1:Z1"/>
  </mergeCells>
  <phoneticPr fontId="7" type="noConversion"/>
  <pageMargins left="0.7" right="0.7" top="0.75" bottom="0.75" header="0.3" footer="0.3"/>
  <pageSetup paperSize="9" orientation="portrait" r:id="rId1"/>
  <ignoredErrors>
    <ignoredError sqref="AC561:AD561 AD562:AD563 AD568 AC569:AC571 AC576 AC586:AD586 AD587:AD588 AD593 AC594:AC596 AD661 AD66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opLeftCell="A4" zoomScale="145" zoomScaleNormal="145" workbookViewId="0">
      <selection activeCell="J14" sqref="J14"/>
    </sheetView>
  </sheetViews>
  <sheetFormatPr defaultColWidth="8.6640625" defaultRowHeight="14.4" x14ac:dyDescent="0.3"/>
  <cols>
    <col min="2" max="2" width="10.88671875" customWidth="1"/>
    <col min="3" max="3" width="36.44140625" customWidth="1"/>
  </cols>
  <sheetData>
    <row r="1" spans="1:10" x14ac:dyDescent="0.3">
      <c r="B1" t="s">
        <v>67</v>
      </c>
      <c r="C1" s="8" t="s">
        <v>68</v>
      </c>
      <c r="D1" s="8" t="s">
        <v>69</v>
      </c>
    </row>
    <row r="2" spans="1:10" ht="15.6" x14ac:dyDescent="0.3">
      <c r="A2" s="32" t="s">
        <v>70</v>
      </c>
      <c r="B2" s="3" t="s">
        <v>71</v>
      </c>
      <c r="C2" s="4" t="s">
        <v>72</v>
      </c>
      <c r="D2" t="s">
        <v>73</v>
      </c>
    </row>
    <row r="3" spans="1:10" ht="15.6" x14ac:dyDescent="0.3">
      <c r="A3" s="32"/>
      <c r="B3" t="s">
        <v>74</v>
      </c>
      <c r="C3" s="4" t="s">
        <v>75</v>
      </c>
    </row>
    <row r="4" spans="1:10" ht="15.6" x14ac:dyDescent="0.3">
      <c r="A4" s="32"/>
      <c r="B4" t="s">
        <v>2</v>
      </c>
      <c r="C4" s="4"/>
    </row>
    <row r="5" spans="1:10" ht="15.6" x14ac:dyDescent="0.3">
      <c r="A5" s="32"/>
      <c r="B5" t="s">
        <v>3</v>
      </c>
      <c r="C5" s="4"/>
    </row>
    <row r="6" spans="1:10" ht="15.6" x14ac:dyDescent="0.3">
      <c r="A6" s="32"/>
      <c r="B6" t="s">
        <v>4</v>
      </c>
      <c r="C6" s="4"/>
    </row>
    <row r="7" spans="1:10" ht="15.6" x14ac:dyDescent="0.3">
      <c r="A7" s="32"/>
      <c r="B7" t="s">
        <v>5</v>
      </c>
      <c r="C7" s="4"/>
    </row>
    <row r="8" spans="1:10" ht="15.6" x14ac:dyDescent="0.3">
      <c r="A8" s="32"/>
      <c r="B8" t="s">
        <v>6</v>
      </c>
      <c r="C8" s="4"/>
    </row>
    <row r="9" spans="1:10" x14ac:dyDescent="0.3">
      <c r="A9" s="32" t="s">
        <v>18</v>
      </c>
      <c r="B9" t="s">
        <v>76</v>
      </c>
      <c r="C9" t="s">
        <v>77</v>
      </c>
      <c r="G9" s="3"/>
    </row>
    <row r="10" spans="1:10" x14ac:dyDescent="0.3">
      <c r="A10" s="32"/>
      <c r="B10" t="s">
        <v>22</v>
      </c>
      <c r="C10" t="s">
        <v>78</v>
      </c>
      <c r="G10" s="3"/>
    </row>
    <row r="11" spans="1:10" x14ac:dyDescent="0.3">
      <c r="A11" s="32"/>
      <c r="B11" t="s">
        <v>23</v>
      </c>
      <c r="C11" t="s">
        <v>79</v>
      </c>
      <c r="G11" s="3"/>
    </row>
    <row r="12" spans="1:10" x14ac:dyDescent="0.3">
      <c r="A12" s="32"/>
      <c r="B12" t="s">
        <v>24</v>
      </c>
      <c r="E12" t="s">
        <v>80</v>
      </c>
      <c r="G12" s="3"/>
      <c r="J12" t="s">
        <v>81</v>
      </c>
    </row>
    <row r="13" spans="1:10" x14ac:dyDescent="0.3">
      <c r="A13" s="22"/>
      <c r="B13" t="s">
        <v>82</v>
      </c>
      <c r="C13" t="s">
        <v>83</v>
      </c>
      <c r="J13" t="s">
        <v>84</v>
      </c>
    </row>
    <row r="14" spans="1:10" x14ac:dyDescent="0.3">
      <c r="A14" s="22"/>
      <c r="B14" t="s">
        <v>85</v>
      </c>
      <c r="C14" t="s">
        <v>86</v>
      </c>
      <c r="J14" t="s">
        <v>87</v>
      </c>
    </row>
    <row r="15" spans="1:10" x14ac:dyDescent="0.3">
      <c r="A15" s="22"/>
      <c r="B15" t="s">
        <v>27</v>
      </c>
      <c r="J15" t="s">
        <v>88</v>
      </c>
    </row>
    <row r="16" spans="1:10" x14ac:dyDescent="0.3">
      <c r="A16" s="22"/>
      <c r="B16" t="s">
        <v>28</v>
      </c>
      <c r="C16" t="s">
        <v>89</v>
      </c>
      <c r="J16" t="s">
        <v>90</v>
      </c>
    </row>
    <row r="17" spans="1:10" x14ac:dyDescent="0.3">
      <c r="A17" s="22"/>
      <c r="B17" t="s">
        <v>29</v>
      </c>
      <c r="C17" t="s">
        <v>91</v>
      </c>
      <c r="D17" t="s">
        <v>92</v>
      </c>
      <c r="J17" t="s">
        <v>93</v>
      </c>
    </row>
    <row r="18" spans="1:10" x14ac:dyDescent="0.3">
      <c r="A18" s="22"/>
      <c r="B18" t="s">
        <v>30</v>
      </c>
      <c r="C18" t="s">
        <v>94</v>
      </c>
      <c r="D18" t="s">
        <v>95</v>
      </c>
      <c r="J18" t="s">
        <v>96</v>
      </c>
    </row>
    <row r="19" spans="1:10" x14ac:dyDescent="0.3">
      <c r="A19" s="22"/>
      <c r="B19" t="s">
        <v>97</v>
      </c>
      <c r="C19" t="s">
        <v>98</v>
      </c>
      <c r="D19" t="s">
        <v>99</v>
      </c>
      <c r="J19" t="s">
        <v>100</v>
      </c>
    </row>
    <row r="20" spans="1:10" x14ac:dyDescent="0.3">
      <c r="A20" s="22"/>
      <c r="B20" t="s">
        <v>32</v>
      </c>
      <c r="C20" t="s">
        <v>101</v>
      </c>
    </row>
    <row r="21" spans="1:10" ht="21.6" customHeight="1" x14ac:dyDescent="0.3">
      <c r="A21" s="32" t="s">
        <v>102</v>
      </c>
      <c r="B21" s="3" t="s">
        <v>7</v>
      </c>
      <c r="C21" t="s">
        <v>103</v>
      </c>
      <c r="D21" t="s">
        <v>104</v>
      </c>
    </row>
    <row r="22" spans="1:10" x14ac:dyDescent="0.3">
      <c r="A22" s="32"/>
      <c r="B22" s="3" t="s">
        <v>8</v>
      </c>
      <c r="C22" t="s">
        <v>105</v>
      </c>
      <c r="D22" t="s">
        <v>106</v>
      </c>
    </row>
    <row r="23" spans="1:10" x14ac:dyDescent="0.3">
      <c r="A23" s="32"/>
      <c r="B23" s="3" t="s">
        <v>10</v>
      </c>
      <c r="C23" t="s">
        <v>107</v>
      </c>
      <c r="D23" t="s">
        <v>108</v>
      </c>
    </row>
    <row r="24" spans="1:10" x14ac:dyDescent="0.3">
      <c r="A24" s="32"/>
      <c r="B24" s="3" t="s">
        <v>9</v>
      </c>
      <c r="C24" t="s">
        <v>109</v>
      </c>
      <c r="D24" t="s">
        <v>110</v>
      </c>
    </row>
    <row r="25" spans="1:10" x14ac:dyDescent="0.3">
      <c r="A25" s="32"/>
      <c r="B25" s="3" t="s">
        <v>111</v>
      </c>
      <c r="C25" t="s">
        <v>112</v>
      </c>
      <c r="D25" t="s">
        <v>108</v>
      </c>
      <c r="E25" t="s">
        <v>113</v>
      </c>
    </row>
    <row r="26" spans="1:10" x14ac:dyDescent="0.3">
      <c r="A26" s="32"/>
      <c r="B26" s="5" t="s">
        <v>37</v>
      </c>
      <c r="C26" s="2" t="s">
        <v>114</v>
      </c>
      <c r="D26" s="2" t="s">
        <v>115</v>
      </c>
      <c r="E26" t="s">
        <v>116</v>
      </c>
    </row>
    <row r="27" spans="1:10" x14ac:dyDescent="0.3">
      <c r="A27" s="32"/>
      <c r="B27" s="5" t="s">
        <v>117</v>
      </c>
      <c r="C27" s="2" t="s">
        <v>118</v>
      </c>
      <c r="D27" s="2" t="s">
        <v>119</v>
      </c>
    </row>
    <row r="29" spans="1:10" x14ac:dyDescent="0.3">
      <c r="A29" s="6" t="s">
        <v>120</v>
      </c>
    </row>
    <row r="30" spans="1:10" x14ac:dyDescent="0.3">
      <c r="A30" t="s">
        <v>121</v>
      </c>
    </row>
  </sheetData>
  <mergeCells count="3">
    <mergeCell ref="A2:A8"/>
    <mergeCell ref="A9:A12"/>
    <mergeCell ref="A21:A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Tien Nguyen</cp:lastModifiedBy>
  <cp:revision/>
  <dcterms:created xsi:type="dcterms:W3CDTF">2020-11-29T05:59:30Z</dcterms:created>
  <dcterms:modified xsi:type="dcterms:W3CDTF">2026-10-28T21:19:20Z</dcterms:modified>
  <cp:category/>
  <cp:contentStatus/>
</cp:coreProperties>
</file>